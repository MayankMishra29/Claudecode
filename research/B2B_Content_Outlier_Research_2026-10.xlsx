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ICP &amp; Positioning" sheetId="2" state="visible" r:id="rId4"/>
    <sheet name="Strategy &amp; Funnel" sheetId="3" state="visible" r:id="rId5"/>
    <sheet name="Master Database" sheetId="4" state="visible" r:id="rId6"/>
    <sheet name="Top 30 Teardowns" sheetId="5" state="visible" r:id="rId7"/>
    <sheet name="Hidden Gems" sheetId="6" state="visible" r:id="rId8"/>
    <sheet name="Reels Teardown" sheetId="7" state="visible" r:id="rId9"/>
    <sheet name="Hook Library" sheetId="8" state="visible" r:id="rId10"/>
    <sheet name="Creator Watchlist" sheetId="9" state="visible" r:id="rId11"/>
    <sheet name="Cluster x Platform" sheetId="10" state="visible" r:id="rId12"/>
    <sheet name="30-Day Calendar" sheetId="11" state="visible" r:id="rId13"/>
    <sheet name="India &amp; Hindi" sheetId="12" state="visible" r:id="rId14"/>
    <sheet name="Carousel Formula" sheetId="13" state="visible" r:id="rId15"/>
    <sheet name="Format References" sheetId="14" state="visible" r:id="rId16"/>
    <sheet name="Methodology" sheetId="15" state="visible" r:id="rId17"/>
  </sheets>
  <definedNames>
    <definedName function="false" hidden="true" localSheetId="10" name="_xlnm._FilterDatabase" vbProcedure="false">'30-Day Calendar'!$A$4:$O$56</definedName>
    <definedName function="false" hidden="true" localSheetId="8" name="_xlnm._FilterDatabase" vbProcedure="false">'Creator Watchlist'!$A$2:$P$196</definedName>
    <definedName function="false" hidden="true" localSheetId="13" name="_xlnm._FilterDatabase" vbProcedure="false">'Format References'!$A$2:$J$72</definedName>
    <definedName function="false" hidden="true" localSheetId="5" name="_xlnm._FilterDatabase" vbProcedure="false">'Hidden Gems'!$A$2:$O$165</definedName>
    <definedName function="false" hidden="true" localSheetId="11" name="_xlnm._FilterDatabase" vbProcedure="false">'India &amp; Hindi'!$A$11:$J$118</definedName>
    <definedName function="false" hidden="true" localSheetId="3" name="_xlnm._FilterDatabase" vbProcedure="false">'Master Database'!$A$1:$AS$396</definedName>
    <definedName function="false" hidden="true" localSheetId="6" name="_xlnm._FilterDatabase" vbProcedure="false">'Reels Teardown'!$A$2:$T$175</definedName>
    <definedName function="false" hidden="true" localSheetId="4" name="_xlnm._FilterDatabase" vbProcedure="false">'Top 30 Teardowns'!$A$1:$N$31</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AD1" authorId="0">
      <text>
        <r>
          <rPr>
            <sz val="10"/>
            <rFont val="Arial"/>
            <family val="2"/>
          </rPr>
          <t xml:space="preserve">Post ÷ creator median. &gt;1000x usually means a near-zero baseline (new/inactive account); flagged in "Anomalous Baseline?".</t>
        </r>
      </text>
    </comment>
    <comment ref="AH1" authorId="0">
      <text>
        <r>
          <rPr>
            <sz val="10"/>
            <rFont val="Arial"/>
            <family val="2"/>
          </rPr>
          <t xml:space="preserve">Model-assigned keyword relevance to your 9 clusters minus penalties (off-niche, AI-tool hype, aspirant audience, outside 5k-100k).</t>
        </r>
      </text>
    </comment>
    <comment ref="AL1" authorId="0">
      <text>
        <r>
          <rPr>
            <sz val="10"/>
            <rFont val="Arial"/>
            <family val="2"/>
          </rPr>
          <t xml:space="preserve">Formula. Weights live on the Start Here sheet (yellow cells).</t>
        </r>
      </text>
    </comment>
  </commentList>
</comments>
</file>

<file path=xl/sharedStrings.xml><?xml version="1.0" encoding="utf-8"?>
<sst xmlns="http://schemas.openxmlformats.org/spreadsheetml/2006/main" count="20714" uniqueCount="5178">
  <si>
    <t xml:space="preserve">B2B Growth Content Intelligence: Outlier Research Workbook</t>
  </si>
  <si>
    <t xml:space="preserve">Built 17 Oct 2026 from Eden (LinkedIn, X, Instagram index) and vidIQ (Instagram Reels outliers). Accounts with 5k-100k followers, last 6-12 months, English + Hindi/Hinglish.</t>
  </si>
  <si>
    <t xml:space="preserve">How to use this workbook</t>
  </si>
  <si>
    <t xml:space="preserve">1. ICP &amp; Positioning</t>
  </si>
  <si>
    <t xml:space="preserve">Read first. Sharpened ICP, the assumptions I disagree with, and the reasoning. Decide before you write anything.</t>
  </si>
  <si>
    <t xml:space="preserve">2. Strategy &amp; Funnel</t>
  </si>
  <si>
    <t xml:space="preserve">Pillars, platform roles, funnel math, cadence and KPIs, grounded in the outlier data.</t>
  </si>
  <si>
    <t xml:space="preserve">3. Master Database</t>
  </si>
  <si>
    <t xml:space="preserve">Every relevant post (ICP fit ≥3/10). Filter by Platform, Cluster, Signal, Hook Archetype, Offer. Sort by Priority Score. Use the Status column to track what you have reverse-engineered.</t>
  </si>
  <si>
    <t xml:space="preserve">4. Top 30 Teardowns</t>
  </si>
  <si>
    <t xml:space="preserve">Hand-written analysis of the 30 most useful posts: why each worked and the exact adaptation for your offers.</t>
  </si>
  <si>
    <t xml:space="preserve">5. Hidden Gems</t>
  </si>
  <si>
    <t xml:space="preserve">Accounts ≤30k followers whose post did ≥5x their own baseline. Idea beat audience, which is the most transferable signal for a new account.</t>
  </si>
  <si>
    <t xml:space="preserve">6. Reels Teardown</t>
  </si>
  <si>
    <t xml:space="preserve">vidIQ Instagram outliers with 0-3s hook (visual, text, audio), format template, pacing, editing effort.</t>
  </si>
  <si>
    <t xml:space="preserve">7. Hook Library</t>
  </si>
  <si>
    <t xml:space="preserve">Hook archetypes ranked by performance per platform, with fill-in templates for your niche.</t>
  </si>
  <si>
    <t xml:space="preserve">8. Creator Watchlist</t>
  </si>
  <si>
    <t xml:space="preserve">Creators to study and engage with (comment-to-pipeline). Ranked by repeat outlier performance.</t>
  </si>
  <si>
    <t xml:space="preserve">9. Cluster x Platform</t>
  </si>
  <si>
    <t xml:space="preserve">Live COUNTIFS/AVERAGEIFS pivot on the Master Database. Shows where each topic over-performs.</t>
  </si>
  <si>
    <t xml:space="preserve">10. 30-Day Calendar</t>
  </si>
  <si>
    <t xml:space="preserve">52 ready-to-write slots across LinkedIn, X and IG, each linked to a reference post. Change the start date (yellow cell) to re-date it.</t>
  </si>
  <si>
    <t xml:space="preserve">11. India &amp; Hindi</t>
  </si>
  <si>
    <t xml:space="preserve">What the Hindi/Hinglish data says, and why it changes your India plan.</t>
  </si>
  <si>
    <t xml:space="preserve">12. Carousel Formula</t>
  </si>
  <si>
    <t xml:space="preserve">Design recipe from Eden study of top B2B client-acquisition carousels.</t>
  </si>
  <si>
    <t xml:space="preserve">13. Format References</t>
  </si>
  <si>
    <t xml:space="preserve">High-outlier posts OUTSIDE your niche whose format/hook is worth stealing.</t>
  </si>
  <si>
    <t xml:space="preserve">14. Methodology</t>
  </si>
  <si>
    <t xml:space="preserve">Sources, queries, filters, definitions, caveats. Read before quoting any number.</t>
  </si>
  <si>
    <t xml:space="preserve">Signal definitions</t>
  </si>
  <si>
    <t xml:space="preserve">Outlier score</t>
  </si>
  <si>
    <t xml:space="preserve">Post performance ÷ that creator's own median (Eden: engagement-based; vidIQ: views ÷ median views). 10x = 10 times their normal post.</t>
  </si>
  <si>
    <t xml:space="preserve">Breakout</t>
  </si>
  <si>
    <t xml:space="preserve">Outlier ≥10x.</t>
  </si>
  <si>
    <t xml:space="preserve">Hidden Gem</t>
  </si>
  <si>
    <t xml:space="preserve">Creator ≤30k followers AND outlier ≥5x. Highest priority label when multiple apply.</t>
  </si>
  <si>
    <t xml:space="preserve">Viral</t>
  </si>
  <si>
    <t xml:space="preserve">≥500k views, or ≥1k likes on LinkedIn, or ≥2k likes on X (absolute reach).</t>
  </si>
  <si>
    <t xml:space="preserve">Outlier</t>
  </si>
  <si>
    <t xml:space="preserve">2-10x. Above baseline, not a breakout.</t>
  </si>
  <si>
    <t xml:space="preserve">ICP Fit (1-10)</t>
  </si>
  <si>
    <t xml:space="preserve">Model-assigned: topic keyword match to your 9 clusters, minus penalties for off-niche, AI-tool hype, aspirant/side-hustle audiences, and accounts outside 5k-100k. Directional, not gospel.</t>
  </si>
  <si>
    <t xml:space="preserve">Priority Score weights (editable inputs)</t>
  </si>
  <si>
    <t xml:space="preserve">Weight: ICP Fit</t>
  </si>
  <si>
    <t xml:space="preserve">Weight: Outlier (capped 50x, ÷5)</t>
  </si>
  <si>
    <t xml:space="preserve">Bonus: ≤30k followers</t>
  </si>
  <si>
    <t xml:space="preserve">Bonus: 30-60k followers</t>
  </si>
  <si>
    <t xml:space="preserve">Priority = W_fit × Fit + W_out × MIN(Outlier,50)/5 + small-account bonus. Blue/yellow cells are inputs: change them and every Priority Score in the Master Database recalculates.</t>
  </si>
  <si>
    <t xml:space="preserve">ICP &amp; Positioning: sharpened, with the assumptions I disagree with</t>
  </si>
  <si>
    <t xml:space="preserve">Assumptions I disagree with (read these first)</t>
  </si>
  <si>
    <t xml:space="preserve">#1 "Boutique firms, consultants, fractional execs" AND "10-50 employees" contradict each other</t>
  </si>
  <si>
    <t xml:space="preserve">Fractional executives and most independent consultants are 1-5 people, not 10-50. These are two different buyers with different budgets. A 1-3 person fractional practice ($300k-$1.5M revenue) cannot sustain a $6-10k/mo DFY retainer. A 25-person consultancy ($4-6M revenue) can. Pick the firm as the buyer. Treat solo fractionals as a referral channel, not a client.</t>
  </si>
  <si>
    <t xml:space="preserve">#2 "10-50 employees = has money" is only half true</t>
  </si>
  <si>
    <t xml:space="preserve">Professional-services revenue per employee is roughly $150-250k, so 10-50 staff is roughly $1.5M-$12M revenue. B2B firms spend about 3-8% of revenue on marketing. At $1.5M that is $45-120k/yr in total, so your retainer would eat the entire budget. At $4M it is $120-320k/yr, where a $90-120k/yr engagement fits. Real floor: about $3M revenue / 20+ staff. Qualify on revenue and founder-sourced-deal %, not headcount.</t>
  </si>
  <si>
    <t xml:space="preserve">#3 Two offers × two markets × three platforms × two languages is four businesses, not one</t>
  </si>
  <si>
    <t xml:space="preserve">One personal brand cannot credibly speak Hinglish cohort-pricing on Instagram and $10k/mo DFY on LinkedIn without diluting both. The data shows the winners in this research are mono-positioned (e.g. @nickavaria = agency numbers, @theroborourke = service-business sales). Fix: one system, two delivery modes (below).</t>
  </si>
  <si>
    <t xml:space="preserve">#4 Hindi-first content will not reach your Indian ICP</t>
  </si>
  <si>
    <t xml:space="preserve">I ran 5 dedicated Hindi/Hinglish pulls. At 5k-100k followers, Hindi business content is dominated by "earn in dollars", side hustles, numerology, retail/MSME tips and Raj Shamani clips (see "India &amp; Hindi"). Almost nothing targets 10-50 person B2B service owners. Those owners read English on LinkedIn. Hindi is whitespace, but whitespace here mostly signals low buyer density, not an opportunity.</t>
  </si>
  <si>
    <t xml:space="preserve">#5 Virality is the wrong success metric for a content + warm-outbound offer</t>
  </si>
  <si>
    <t xml:space="preserve">For a firm selling $90k+/yr engagements, a post with 400 impressions that 6 target founders read beats one with 400k impressions from aspirants. Content's job is to (a) lift outbound reply rate, (b) give prospects proof when they check your profile, and (c) surface warm signals (who engages) to feed outbound. Use outliers to learn hooks and formats, not to chase reach.</t>
  </si>
  <si>
    <t xml:space="preserve">The reframe: one system, two delivery modes</t>
  </si>
  <si>
    <t xml:space="preserve">Core system (the thing you are known for)</t>
  </si>
  <si>
    <t xml:space="preserve">"Authority-to-Pipeline": founder-led content + signal-based warm outbound + a simple pipeline operating rhythm. Turns referral-dependent B2B firms into predictable new-logo machines.</t>
  </si>
  <si>
    <t xml:space="preserve">Delivery mode A: DFY (international, primary revenue)</t>
  </si>
  <si>
    <t xml:space="preserve">Done-for-you install + run for 10-50 person boutique B2B firms in US/UK/AU/CA/EU-English. $15-25k setup + $6-10k/mo, 6-month minimum. Target: 3-5 clients = $25-50k MRR.</t>
  </si>
  <si>
    <t xml:space="preserve">Delivery mode B: Cohort (India, cash flow + case studies)</t>
  </si>
  <si>
    <t xml:space="preserve">6-8 week implementation cohort for Indian B2B service firms, prioritising EXPORT-ORIENTED firms (IT services, dev shops, B2B agencies, KPO/analytics) that want US/UK/ME clients. Same system, taught. ₹1-2.5L per firm (founder + 1 operator). 12-20 firms per cohort.</t>
  </si>
  <si>
    <t xml:space="preserve">Why this is sharper</t>
  </si>
  <si>
    <t xml:space="preserve">"International client hunting" stops being a separate topic and becomes the bridge. You teach Indian firms to win international clients using the exact system you run for international firms. Every DFY result becomes cohort curriculum; every cohort win becomes DFY social proof ("installed in 40+ firms"). One content engine feeds both.</t>
  </si>
  <si>
    <t xml:space="preserve">ICP A: Primary (DFY, international)</t>
  </si>
  <si>
    <t xml:space="preserve">Firmographics</t>
  </si>
  <si>
    <t xml:space="preserve">B2B professional-services firms, 15-50 staff, $3-12M revenue. US, UK, Canada, Australia, Netherlands/Nordics (English-fluent). Founder-led, not PE-owned.</t>
  </si>
  <si>
    <t xml:space="preserve">Sub-verticals (rank 1 to 5)</t>
  </si>
  <si>
    <t xml:space="preserve">1) Boutique management/ops/RevOps consultancies  2) Specialist B2B agencies (demand gen, ABM, dev shops)  3) IT/cyber/compliance services  4) Advisory (M&amp;A, fractional-exec collectives, finance)  5) Engineering/technical consultancies. Avoid: legal/medical (posting constraints), pure B2C agencies.</t>
  </si>
  <si>
    <t xml:space="preserve">Buyer</t>
  </si>
  <si>
    <t xml:space="preserve">Founder / Managing Partner / CEO. Still the #1 rainmaker. Influencer: Head of Growth or Ops if one exists.</t>
  </si>
  <si>
    <t xml:space="preserve">Trigger events (use as outbound signals)</t>
  </si>
  <si>
    <t xml:space="preserve">• &gt;50% of new revenue from referrals or founder network  • Lost or about to lose a top-3 client (concentration risk)  • Hired a salesperson who failed in &lt;9 months  • Founder starts posting on LinkedIn inconsistently  • Raised prices or launched a new service line  • Hiring for "Business Development" or "Marketing Manager"  • Just crossed or stalled at $3M / $5M / $10M</t>
  </si>
  <si>
    <t xml:space="preserve">Painful status quo (their words)</t>
  </si>
  <si>
    <t xml:space="preserve">"Pipeline is feast or famine." "Everything still comes through me." "We're the best-kept secret in our niche." "We tried an agency, got junk leads." "I don't have time to post."</t>
  </si>
  <si>
    <t xml:space="preserve">Expensive problem (quantified)</t>
  </si>
  <si>
    <t xml:space="preserve">A 25-person firm at $5M with 30% annual client churn must replace about $1.5M/yr of revenue. If the founder closes 70% of deals, that founder's time IS the growth ceiling. One extra $150k/yr client = 1.25x to 2x a $90-120k engagement. The ROI story is new logos, not leads.</t>
  </si>
  <si>
    <t xml:space="preserve">Disqualifiers</t>
  </si>
  <si>
    <t xml:space="preserve">&lt;$2M revenue; no case studies/clients willing to be named; founder unwilling to be the face (content is founder-led); expects leads in 30 days; &gt;100 staff with in-house marketing.</t>
  </si>
  <si>
    <t xml:space="preserve">ICP B: Secondary (India cohort)</t>
  </si>
  <si>
    <t xml:space="preserve">Indian B2B service firms, 10-50 staff, ₹5-60 Cr revenue. Priority: firms selling or wanting to sell to international clients (IT services, SaaS dev, design/marketing agencies, data/analytics, KPO). Secondary: domestic B2B services.</t>
  </si>
  <si>
    <t xml:space="preserve">Core pains</t>
  </si>
  <si>
    <t xml:space="preserve">Dependent on Upwork/Clutch/referrals; competing on price; founder does all sales; no outbound system; LinkedIn profiles that read like CVs; can't articulate an expensive problem (see post: India-based design agency, 40x outlier).</t>
  </si>
  <si>
    <t xml:space="preserve">Language/platform reality</t>
  </si>
  <si>
    <t xml:space="preserve">English on LinkedIn (where they buy). Hinglish on IG reels for warmth and reach. Hindi only for selective clips. Do not build a Hindi-first channel.</t>
  </si>
  <si>
    <t xml:space="preserve">Offer and price logic</t>
  </si>
  <si>
    <t xml:space="preserve">Cohort ₹1-2.5L/firm. Outcome-based: "Installed: ICP + offer + 4 profiles + 30 posts + 2 outbound sequences + pipeline cadence in 6 weeks". Optional done-with-you upgrade ₹50-75k/mo.</t>
  </si>
  <si>
    <t xml:space="preserve">ICP C: Channel partners (not clients)</t>
  </si>
  <si>
    <t xml:space="preserve">Fractional execs &amp; solo consultants</t>
  </si>
  <si>
    <t xml:space="preserve">1-5 people, $300k-$1.5M. They sit inside your ICP A firms. Content for them builds referrals. Offer: referral fee (10-15% of year 1) or white-label. Data: fractional-exec content had the lowest median outlier (7.4x), so do not make them a content pillar; treat them as a relationship play.</t>
  </si>
  <si>
    <t xml:space="preserve">Positioning statement (draft)</t>
  </si>
  <si>
    <t xml:space="preserve">For founder-led B2B firms with 15-50 people who are stuck relying on referrals, I install an Authority-to-Pipeline system (founder content + signal-based warm outbound + a weekly pipeline rhythm) that produces 8-15 qualified conversations a month without the founder writing every post or sending every DM. Unlike lead-gen agencies, we build on the founder's authority and warm signals, so meetings come pre-trusted.</t>
  </si>
  <si>
    <t xml:space="preserve">Profile one-liners (test 2 for 30 days each)</t>
  </si>
  <si>
    <t xml:space="preserve">A (outcome)</t>
  </si>
  <si>
    <t xml:space="preserve">I help 15-50 person B2B firms get off referral dependency: founder-led content + warm outbound that books 8-15 qualified calls/month.</t>
  </si>
  <si>
    <t xml:space="preserve">B (mechanism)</t>
  </si>
  <si>
    <t xml:space="preserve">Authority-to-Pipeline for boutique consultancies &amp; agencies | Content that warms. Outbound that converts. | Installed in 6 weeks.</t>
  </si>
  <si>
    <t xml:space="preserve">Content Strategy &amp; Funnel</t>
  </si>
  <si>
    <t xml:space="preserve">Numbers marked [data] come from this research (ICP-fit ≥4, n=303, anomalous baselines excluded; all multiples quoted here are MEDIANS, while the Hook Library and Cluster sheets show capped AVERAGES, so the two differ). Numbers marked [assumption] are planning inputs; replace them with your own as you collect data.</t>
  </si>
  <si>
    <t xml:space="preserve">What the data says (and what it does not)</t>
  </si>
  <si>
    <t xml:space="preserve">Topic heat [data]</t>
  </si>
  <si>
    <t xml:space="preserve">Median outlier by cluster: High-Ticket Sales 52x (n=29) &gt; Freelancing &amp; International Clients 46x (n=11, aspirant-heavy) &gt; Business Growth &amp; Scale 24x (n=63) &gt; Agency Growth 24x (n=19) &gt; Outbound 23x (n=29) &gt; Marketing Strategy 20x (n=95) &gt; Content Marketing 16x (n=26) &gt; Client Acquisition 12x (n=15) &gt; Consulting/Fractional 7x (n=16).</t>
  </si>
  <si>
    <t xml:space="preserve">Implication</t>
  </si>
  <si>
    <t xml:space="preserve">Lead with SALES and PIPELINE ECONOMICS, not "content strategy". "How to do content" is crowded and under-performs (16x). Talk about content only as the warm layer of the pipeline system.</t>
  </si>
  <si>
    <t xml:space="preserve">Account size [data]</t>
  </si>
  <si>
    <t xml:space="preserve">Median outlier by follower band: 10-20k = 44x, 20-30k = 32x, 5-10k = 20x, 30-50k = 19x, 50-100k = 11x. Small accounts break out more often relative to their baseline. The bar to "win" is idea quality, not audience. (Caveat: smaller accounts have lower baselines, so multiples inflate.)</t>
  </si>
  <si>
    <t xml:space="preserve">Hooks on LinkedIn [data]</t>
  </si>
  <si>
    <t xml:space="preserve">Contrarian/Myth-Bust 27x &gt; Objection/Quote 19x &gt; Result-led 17x &gt; Build/Demo 16x &gt; Story 10x &gt; Prediction 6x. Plain text "post" format 22x vs image posts 13x. Prediction/trend posts under-perform on LinkedIn.</t>
  </si>
  <si>
    <t xml:space="preserve">Hooks on X [data]</t>
  </si>
  <si>
    <t xml:space="preserve">Contrarian 52x &gt; Declarative one-liners 36x &gt; Result-led 35x &gt; Story 31x &gt; How-to 16x. X rewards compressed opinion and numbers.</t>
  </si>
  <si>
    <t xml:space="preserve">Hooks on IG [data]</t>
  </si>
  <si>
    <t xml:space="preserve">Objection/Quote hooks 108x (n=4) and Insider/Secret 69x (n=5) lead. Result-led 36x. Comment-gate reels 19x but convert reach into DMs. IG favours "here is the exact script/line" formats.</t>
  </si>
  <si>
    <t xml:space="preserve">CTA [data]</t>
  </si>
  <si>
    <t xml:space="preserve">Comment-keyword to DM posts: 26x median vs 20x for pure-value posts. On IG, 13 of 94 fit-qualified outliers used a comment gate. Use comment-gates for lead magnets 1 in 4 posts, not every post.</t>
  </si>
  <si>
    <t xml:space="preserve">What the data cannot tell you</t>
  </si>
  <si>
    <t xml:space="preserve">Which posts generated pipeline. Outlier = engagement, not revenue. Engagers on viral sales posts are often aspirants. Your own engager analysis (who from ICP engaged) is the real KPI.</t>
  </si>
  <si>
    <t xml:space="preserve">Content pillars and mix</t>
  </si>
  <si>
    <t xml:space="preserve">P1 Pipeline Diagnosis (25%)</t>
  </si>
  <si>
    <t xml:space="preserve">Referral dependency, founder-led sales ceiling, concentration risk, why agencies fail. Problem-aware TOFU. Hooks: contrarian, objection, number-led. Ref: @kathleenslatterybooth 351x, @silgofak 27x, @theroborourke India agency 41x.</t>
  </si>
  <si>
    <t xml:space="preserve">P2 Warm Outbound Plays (20%)</t>
  </si>
  <si>
    <t xml:space="preserve">Signal-based DMs, comment-to-pipeline, 2-sentence DMs, follow-up scripts. MOFU how-to. Ref: @theroborourke DM post 48x, @fin465 YC playbook 30x, @magalidereu comment system.</t>
  </si>
  <si>
    <t xml:space="preserve">P3 High-Ticket Sales &amp; Pricing (15%)</t>
  </si>
  <si>
    <t xml:space="preserve">Discovery lines, objections, proposal-to-close, pricing retainers. Highest-heat cluster (52x). Ref: @theroborourke two-extremes 46x, @writewithkush objection, @itsashleyboston follow-up 220x.</t>
  </si>
  <si>
    <t xml:space="preserve">P4 Proof &amp; Build-in-Public (15%)</t>
  </si>
  <si>
    <t xml:space="preserve">Client ledgers, pipeline reports, teardowns of real outbound, monthly revenue/source split. BOFU. Ref: @theroborourke $93k month 32x, @harry-wilson LinkedIn DM ledger 20x, @michlieben $153k MRR 326x.</t>
  </si>
  <si>
    <t xml:space="preserve">P5 Authority Content System (15%)</t>
  </si>
  <si>
    <t xml:space="preserve">How founder content converts (not how to go viral): attribution, invisible buyers, LinkedIn vs YouTube lead quality. Ref: @theroborourke web designer 35x, @paolo_scales whale clients.</t>
  </si>
  <si>
    <t xml:space="preserve">P6 Scale Systems (10%)</t>
  </si>
  <si>
    <t xml:space="preserve">Founder out of loops, team advocacy, KPI dashboards, onboarding docs. Ref: @nickavaria dashboard 44-112x, @agencysupply.co onboarding 60x.</t>
  </si>
  <si>
    <t xml:space="preserve">Series: International Client Hunting</t>
  </si>
  <si>
    <t xml:space="preserve">Cross-pillar weekly series for the India cohort: how Indian firms win US/UK clients (positioning, pricing in USD, outbound to international ICPs). English on LinkedIn, Hinglish reel cut on IG.</t>
  </si>
  <si>
    <t xml:space="preserve">Platform roles and cadence</t>
  </si>
  <si>
    <t xml:space="preserve">LinkedIn: conversion + proof (60% of effort)</t>
  </si>
  <si>
    <t xml:space="preserve">Where ICP A and ICP B buy. 5 posts/week (3 text, 1 carousel/doc, 1 proof). 20 strategic comments/day on ICP and adjacent-creator posts (comment-to-pipeline). Featured section: lead magnet + case study.</t>
  </si>
  <si>
    <t xml:space="preserve">X: idea lab + operator network (25%)</t>
  </si>
  <si>
    <t xml:space="preserve">1-2 short posts/day plus 1 thread/week. Test hooks here first; promote winners (top 20% by engagement rate) to LinkedIn 3-7 days later. Network with agency/consultancy operators (see Creator Watchlist: 15 X creators).</t>
  </si>
  <si>
    <t xml:space="preserve">Instagram: trust video + India cohort (15%)</t>
  </si>
  <si>
    <t xml:space="preserve">3 reels/week: 1 English talking-head (script/line format), 1 screen-record (system/tool), 1 Hinglish India-cohort reel. Pin an "If we've never met" intro reel. Comment-gate the lead magnet.</t>
  </si>
  <si>
    <t xml:space="preserve">Time budget [assumption]</t>
  </si>
  <si>
    <t xml:space="preserve">≈10 hrs/week: 4h writing (batch Mon), 1.5h filming (batch Tue, 6 reels/session), 3h engagement (30 min/day ×6), 1.5h review + repurposing.</t>
  </si>
  <si>
    <t xml:space="preserve">Funnel architecture</t>
  </si>
  <si>
    <t xml:space="preserve">TOFU: Attention</t>
  </si>
  <si>
    <t xml:space="preserve">Contrarian diagnosis posts, aphorisms, stories. Goal: profile visits from ICP. KPI: ICP-follower growth (not total followers), profile views.</t>
  </si>
  <si>
    <t xml:space="preserve">MOFU: Capture</t>
  </si>
  <si>
    <t xml:space="preserve">Lead magnet: "Pipeline Dependency Scorecard" (10 questions, scores referral %, founder-sourced %, concentration, cycle). Delivered via comment-keyword (LinkedIn/IG) and DM. KPI: scorecard completions/week.</t>
  </si>
  <si>
    <t xml:space="preserve">Warm signal capture</t>
  </si>
  <si>
    <t xml:space="preserve">Everyone who comments, completes the scorecard, or engages 2+ times goes into a warm list (CRM). Enrich: company size 15-50, revenue proxy. This is where content becomes outbound.</t>
  </si>
  <si>
    <t xml:space="preserve">Warm outbound</t>
  </si>
  <si>
    <t xml:space="preserve">Signal-triggered DM within 24h: reference their engagement/scorecard, one insight, one question. No pitch in message 1. 3-touch over 10 days. KPI: reply rate ≥15% (vs ~3-5% cold).</t>
  </si>
  <si>
    <t xml:space="preserve">BOFU: Convert</t>
  </si>
  <si>
    <t xml:space="preserve">30-min "Pipeline Diagnostic" call leading to a paid diagnostic ($1.5-2.5k, credited to setup) or a proposal. India: cohort application call or webinar.</t>
  </si>
  <si>
    <t xml:space="preserve">Proof loop</t>
  </si>
  <si>
    <t xml:space="preserve">Every client result becomes P4 content within 30 days; every objection heard becomes a P3 post.</t>
  </si>
  <si>
    <t xml:space="preserve">Funnel math: 6-month targets [assumption, replace with actuals]</t>
  </si>
  <si>
    <t xml:space="preserve">DFY goal</t>
  </si>
  <si>
    <t xml:space="preserve">4 clients × $7.5k/mo = $30k MRR by month 6.</t>
  </si>
  <si>
    <t xml:space="preserve">Back-solve</t>
  </si>
  <si>
    <t xml:space="preserve">4 clients ÷ 25% close = 16 qualified calls ÷ 80% show = 20 booked ÷ 30% positive-reply-to-call = 67 positive replies ÷ 15% warm reply rate ≈ 450 warm DMs ≈ 18/week. Content must generate ≥18 new warm ICP signals/week by month 3 (engagers + scorecard + profile viewers), topped up with signal-based outbound (hiring posts, funding, job changes).</t>
  </si>
  <si>
    <t xml:space="preserve">Cohort goal</t>
  </si>
  <si>
    <t xml:space="preserve">15 firms × ₹1.5L = ₹22.5L per cohort. At 10% application-to-enrol: 150 applications. From scorecard/lead-magnet at 20% apply rate: 750 leads per cohort cycle (≈8 weeks), or about 95/week. Needs IG + LinkedIn reach, a webinar, and partner promotion. Realistically cohort 1 = 8-10 firms.</t>
  </si>
  <si>
    <t xml:space="preserve">Leading KPIs (weekly)</t>
  </si>
  <si>
    <t xml:space="preserve">ICP-qualified engagers, scorecard completions, warm DMs sent, reply rate, calls booked, and % of calls sourced from content signals.</t>
  </si>
  <si>
    <t xml:space="preserve">Sequencing (opportunity-cost view)</t>
  </si>
  <si>
    <t xml:space="preserve">Months 0-2</t>
  </si>
  <si>
    <t xml:space="preserve">LinkedIn + X only. Build scorecard. 30 warm DMs/week from signals. Land 2 DFY pilots at a founder rate ($4-5k/mo) for case studies. Do NOT launch the cohort yet.</t>
  </si>
  <si>
    <t xml:space="preserve">Months 2-4</t>
  </si>
  <si>
    <t xml:space="preserve">Add IG (3 reels/wk). Publish the first 2 case studies. Raise DFY to $7.5k+. Run a free 60-min "International Client Hunting" workshop for Indian firms to validate cohort demand (target 100+ registrations).</t>
  </si>
  <si>
    <t xml:space="preserve">Months 4-6</t>
  </si>
  <si>
    <t xml:space="preserve">Launch cohort 1 if the workshop hits ≥100 registrations and ≥15 applications; otherwise sell done-with-you to the best 3 Indian firms instead.</t>
  </si>
  <si>
    <t xml:space="preserve">Biggest risks</t>
  </si>
  <si>
    <t xml:space="preserve">(1) Founder-led content needs YOUR proof. Without case studies, P4 is empty, so pilots come first. (2) Splitting focus across 2 offers too early. (3) Measuring views instead of ICP signals. (4) Copying AI-tool hype formats (common in the data) which attract builders, not buyers.</t>
  </si>
  <si>
    <t xml:space="preserve">#</t>
  </si>
  <si>
    <t xml:space="preserve">Platform</t>
  </si>
  <si>
    <t xml:space="preserve">Language</t>
  </si>
  <si>
    <t xml:space="preserve">Source</t>
  </si>
  <si>
    <t xml:space="preserve">Signal</t>
  </si>
  <si>
    <t xml:space="preserve">Breakout (≥10x)</t>
  </si>
  <si>
    <t xml:space="preserve">Primary Cluster</t>
  </si>
  <si>
    <t xml:space="preserve">Secondary Clusters</t>
  </si>
  <si>
    <t xml:space="preserve">Creator</t>
  </si>
  <si>
    <t xml:space="preserve">Handle</t>
  </si>
  <si>
    <t xml:space="preserve">Followers</t>
  </si>
  <si>
    <t xml:space="preserve">Follower Band</t>
  </si>
  <si>
    <t xml:space="preserve">Published</t>
  </si>
  <si>
    <t xml:space="preserve">URL</t>
  </si>
  <si>
    <t xml:space="preserve">Hook (first line / title)</t>
  </si>
  <si>
    <t xml:space="preserve">Post Text (preview)</t>
  </si>
  <si>
    <t xml:space="preserve">Hook Archetype</t>
  </si>
  <si>
    <t xml:space="preserve">CTA Mechanism</t>
  </si>
  <si>
    <t xml:space="preserve">Funnel Stage</t>
  </si>
  <si>
    <t xml:space="preserve">Format</t>
  </si>
  <si>
    <t xml:space="preserve">Content Type</t>
  </si>
  <si>
    <t xml:space="preserve">Mood</t>
  </si>
  <si>
    <t xml:space="preserve">Views</t>
  </si>
  <si>
    <t xml:space="preserve">Likes</t>
  </si>
  <si>
    <t xml:space="preserve">Comments</t>
  </si>
  <si>
    <t xml:space="preserve">Shares</t>
  </si>
  <si>
    <t xml:space="preserve">Engagement Rate</t>
  </si>
  <si>
    <t xml:space="preserve">Outlier (raw)</t>
  </si>
  <si>
    <t xml:space="preserve">Outlier (capped 100)</t>
  </si>
  <si>
    <t xml:space="preserve">Creator Percentile</t>
  </si>
  <si>
    <t xml:space="preserve">Anomalous Baseline?</t>
  </si>
  <si>
    <t xml:space="preserve">AI-Tool Angle</t>
  </si>
  <si>
    <t xml:space="preserve">Aspirant Audience</t>
  </si>
  <si>
    <t xml:space="preserve">Best-Fit Offer</t>
  </si>
  <si>
    <t xml:space="preserve">Priority Score</t>
  </si>
  <si>
    <t xml:space="preserve">Why It Worked</t>
  </si>
  <si>
    <t xml:space="preserve">Reverse-Engineer Prompt</t>
  </si>
  <si>
    <t xml:space="preserve">AI Summary</t>
  </si>
  <si>
    <t xml:space="preserve">Topic Tags</t>
  </si>
  <si>
    <t xml:space="preserve">Found Via (query)</t>
  </si>
  <si>
    <t xml:space="preserve">Status</t>
  </si>
  <si>
    <t xml:space="preserve">My Adaptation Notes</t>
  </si>
  <si>
    <t xml:space="preserve">X</t>
  </si>
  <si>
    <t xml:space="preserve">English</t>
  </si>
  <si>
    <t xml:space="preserve">Eden</t>
  </si>
  <si>
    <t xml:space="preserve">Yes</t>
  </si>
  <si>
    <t xml:space="preserve">No</t>
  </si>
  <si>
    <t xml:space="preserve">Marketing Strategy</t>
  </si>
  <si>
    <t xml:space="preserve">High-Ticket Sales, Outbound / Warm Outbound, Business Growth &amp; Scale Systems</t>
  </si>
  <si>
    <t xml:space="preserve">MONTE</t>
  </si>
  <si>
    <t xml:space="preserve">@fromzerotomill</t>
  </si>
  <si>
    <t xml:space="preserve">10-20k</t>
  </si>
  <si>
    <t xml:space="preserve">2025-11-24</t>
  </si>
  <si>
    <t xml:space="preserve">https://x.com/fromzerotomill/status/1992916088544256502</t>
  </si>
  <si>
    <t xml:space="preserve">i know a guy making $400k/yr selling "digital disappearance" guides to burned-out tech bros who want to delete their online presence</t>
  </si>
  <si>
    <t xml:space="preserve">i know a guy making $400k/yr selling "digital disappearance" guides to burned-out tech bros who want to delete their online presence
instead of teaching people how to BUILD an online presence, this guy is teaching people how to DESTROY theirs
and it's the smartest offer i've seen in years
first, he understood who's buying this
it's not paranoid preppers in bunkers
it's:
- 34 year old seni</t>
  </si>
  <si>
    <t xml:space="preserve">Story / Anecdote</t>
  </si>
  <si>
    <t xml:space="preserve">None (pure value)</t>
  </si>
  <si>
    <t xml:space="preserve">TOFU: Reach / POV</t>
  </si>
  <si>
    <t xml:space="preserve">text</t>
  </si>
  <si>
    <t xml:space="preserve">other</t>
  </si>
  <si>
    <t xml:space="preserve">informative</t>
  </si>
  <si>
    <t xml:space="preserve">Intl: Authority-to-Pipeline DFY</t>
  </si>
  <si>
    <t xml:space="preserve">Small-account breakout: the idea beat the audience size; Specific number/result in the hook; First-person or observed story: narrative pull</t>
  </si>
  <si>
    <t xml:space="preserve">Keep the story hook mechanic and swap in your own proof. Teach one marketing strategy lesson for founders of 10-50 person boutique firms (US/UK/AU). Ship it as a LinkedIn text/carousel.</t>
  </si>
  <si>
    <t xml:space="preserve">A text post analyzes a high-income entrepreneur's $400k/year business offering guides for digital self-erasure to stressed tech professionals, detailing client demographics, market demand, and the multi-tiered pricing strategy that leverages referrals from affluent customers.</t>
  </si>
  <si>
    <t xml:space="preserve">entrepreneurship, digital privacy, tech industry, business model, client acquisition, market demand, pricing strategy, cash flow</t>
  </si>
  <si>
    <t xml:space="preserve">referrals plateau service business founder stuck at revenue ceiling; premium pricing offer positioning charge more consulting retainer</t>
  </si>
  <si>
    <t xml:space="preserve">Backlog</t>
  </si>
  <si>
    <t xml:space="preserve">Instagram</t>
  </si>
  <si>
    <t xml:space="preserve">Agency Growth, High-Ticket Sales, Client Acquisition</t>
  </si>
  <si>
    <t xml:space="preserve">Meghan Clor • Marketing Agency</t>
  </si>
  <si>
    <t xml:space="preserve">@meghanclor</t>
  </si>
  <si>
    <t xml:space="preserve">2026-10-06</t>
  </si>
  <si>
    <t xml:space="preserve">https://www.instagram.com/reel/DeKt5O_Sz9_/</t>
  </si>
  <si>
    <t xml:space="preserve">Attract clients who don’t flinch at your price 👀</t>
  </si>
  <si>
    <t xml:space="preserve">Attract clients who don’t flinch at your price 👀
Love this clip from @prime.brains 
A small shift in messaging can completely change the type of buyer your offer attracts.
This is one of my favorite ways to make marketing do more of the qualifying for you 🔥🧲</t>
  </si>
  <si>
    <t xml:space="preserve">Statement / Declarative</t>
  </si>
  <si>
    <t xml:space="preserve">short_video</t>
  </si>
  <si>
    <t xml:space="preserve">tutorial</t>
  </si>
  <si>
    <t xml:space="preserve">educational</t>
  </si>
  <si>
    <t xml:space="preserve">Small-account breakout: the idea beat the audience size</t>
  </si>
  <si>
    <t xml:space="preserve">Keep the statement hook mechanic and swap in your own proof. Teach one marketing strategy lesson for founders of 10-50 person boutique firms (US/UK/AU). Ship it as a IG reel, then repurpose to LinkedIn.</t>
  </si>
  <si>
    <t xml:space="preserve">Marketing agency owner Meghan Clor shares a clip from @prime.brains explaining why words like "premium" and "luxury" don't sell, and how identity-based messaging attracts buyers who pay without flinching. Examples include a luxury travel offer rewritten for five-star travelers and the classic Rolls-Royce clock ad.</t>
  </si>
  <si>
    <t xml:space="preserve">marketing, messaging, pricing, positioning, premium brand, luxury, client attraction, offer</t>
  </si>
  <si>
    <t xml:space="preserve">premium pricing offer positioning charge more consulting retainer</t>
  </si>
  <si>
    <t xml:space="preserve">Consulting / Fractional</t>
  </si>
  <si>
    <t xml:space="preserve">High-Ticket Sales, Marketing Strategy, Client Acquisition</t>
  </si>
  <si>
    <t xml:space="preserve">David Boland</t>
  </si>
  <si>
    <t xml:space="preserve">@justdavidboland</t>
  </si>
  <si>
    <t xml:space="preserve">2026-05-22</t>
  </si>
  <si>
    <t xml:space="preserve">https://www.instagram.com/reel/DYo8Da5PPe3/</t>
  </si>
  <si>
    <t xml:space="preserve">Coaches and consultants: comment “chocolate” for the pricing masterclass for coaches &amp; consultants where you’ll learn exactly how to pick a price for your offer and a plan to land a client in the next few hours (yes, it </t>
  </si>
  <si>
    <t xml:space="preserve">Coaches and consultants: comment “chocolate” for the pricing masterclass for coaches &amp; consultants where you’ll learn exactly how to pick a price for your offer and a plan to land a client in the next few hours (yes, it is possible)</t>
  </si>
  <si>
    <t xml:space="preserve">Comment-Gate / Lead Magnet</t>
  </si>
  <si>
    <t xml:space="preserve">Comment keyword → DM</t>
  </si>
  <si>
    <t xml:space="preserve">Lead Capture (MOFU)</t>
  </si>
  <si>
    <t xml:space="preserve">promo</t>
  </si>
  <si>
    <t xml:space="preserve">Small-account breakout: the idea beat the audience size; Comment-gate inflates comments, which the algorithm rewards</t>
  </si>
  <si>
    <t xml:space="preserve">Keep the comment-gate hook mechanic and swap in your own proof. Teach one consulting / fractional lesson for founders of 10-50 person boutique firms (US/UK/AU). Ship it as a IG reel, then repurpose to LinkedIn.</t>
  </si>
  <si>
    <t xml:space="preserve">This video instructs coaches and consultants on premium pricing and differentiation strategies by encouraging exclusive client engagement rather than mass affordability. Audience is instructed to comment 'chocolate' to receive the pricing masterclass.</t>
  </si>
  <si>
    <t xml:space="preserve">pricing strategy, masterclass, exclusive clients, coaching, consulting, premium pricing, marketing</t>
  </si>
  <si>
    <t xml:space="preserve">Consulting / Fractional, Client Acquisition, Outbound / Warm Outbound</t>
  </si>
  <si>
    <t xml:space="preserve">Chris Dufey</t>
  </si>
  <si>
    <t xml:space="preserve">@chrisdufey</t>
  </si>
  <si>
    <t xml:space="preserve">5-10k</t>
  </si>
  <si>
    <t xml:space="preserve">2026-10-05</t>
  </si>
  <si>
    <t xml:space="preserve">https://www.instagram.com/reel/DeIN6T6zB0G/</t>
  </si>
  <si>
    <t xml:space="preserve">My 7 year old looked at me on the beach today, dead serious.</t>
  </si>
  <si>
    <t xml:space="preserve">My 7 year old looked at me on the beach today, dead serious.
“Dad. Why aren’t you at work?”
I am.
(She didn’t buy it. She went back to burying her sister.)
Most coaches can’t take half a day off without the whole business grinding to a halt.
So you go to the beach “with the kids”.
Your body’s on the sand. Your head’s in your phone, like a seagull guarding a chip.
But you didn’t start this f</t>
  </si>
  <si>
    <t xml:space="preserve">long_video</t>
  </si>
  <si>
    <t xml:space="preserve">aspirational</t>
  </si>
  <si>
    <t xml:space="preserve">Small-account breakout: the idea beat the audience size; First-person or observed story: narrative pull</t>
  </si>
  <si>
    <t xml:space="preserve">Keep the story hook mechanic and swap in your own proof. Teach one marketing strategy lesson for founders of 10-50 person boutique firms (US/UK/AU). Ship it as a IG reel, then repurpose to LinkedIn.</t>
  </si>
  <si>
    <t xml:space="preserve">Chris Dufey tells a beach story about his daughter asking why he isn't at work to argue that coaches should build businesses that run without them. He promotes his team's done-for-you marketing and growth service and asks viewers with a proven offer to DM "TUESDAY" for a free demo call.</t>
  </si>
  <si>
    <t xml:space="preserve">coaching business, client acquisition, time freedom, done-for-you marketing, demo call cta, freedom, business systems, lead generation</t>
  </si>
  <si>
    <t xml:space="preserve">client kaise laaye business grow kaise kare sales marketing agency</t>
  </si>
  <si>
    <t xml:space="preserve">Consulting / Fractional, Business Growth &amp; Scale Systems, Client Acquisition</t>
  </si>
  <si>
    <t xml:space="preserve">Ollie Carson | Business Growth Coach</t>
  </si>
  <si>
    <t xml:space="preserve">@olliecarson__</t>
  </si>
  <si>
    <t xml:space="preserve">20-30k</t>
  </si>
  <si>
    <t xml:space="preserve">2026-04-10</t>
  </si>
  <si>
    <t xml:space="preserve">https://www.instagram.com/reel/DW8TbCSDWOZ/</t>
  </si>
  <si>
    <t xml:space="preserve">�Comment “ROADMAP” and I’ll send you my full breakdown on building a coaching offer that actually sells.</t>
  </si>
  <si>
    <t xml:space="preserve">�Comment “ROADMAP” and I’ll send you my full breakdown on building a coaching offer that actually sells.
If we’ve never spoken before:
I’m Ollie. I run RemotePro.
I help online coaches and consultants build and scale their businesses without sleazy tactics or the copy-paste strategies that everyone else is selling.
I’m the founder of RemotePro - a hands-on one-to-one mentorship program where y</t>
  </si>
  <si>
    <t xml:space="preserve">Comment-gate inflates comments, which the algorithm rewards</t>
  </si>
  <si>
    <t xml:space="preserve">Keep the comment-gate hook mechanic and swap in your own proof. Teach one marketing strategy lesson for founders of 10-50 person boutique firms (US/UK/AU). Ship it as a IG reel, then repurpose to LinkedIn.</t>
  </si>
  <si>
    <t xml:space="preserve">A person explains a business funnel diagram on Instagram and Manychat for coaching, highlighting strategies for building and scaling coaching businesses with lead capture, personal branding, and social proof. Examples of client success are mentioned.</t>
  </si>
  <si>
    <t xml:space="preserve">coaching business, business funnel, lead capture, personal brand, social proof, instagram marketing, manychat, client retention</t>
  </si>
  <si>
    <t xml:space="preserve">founder dependency hiring delegation scaling agency beyond the founder</t>
  </si>
  <si>
    <t xml:space="preserve">Outbound / Warm Outbound</t>
  </si>
  <si>
    <t xml:space="preserve">Marketing Strategy, Client Acquisition, High-Ticket Sales</t>
  </si>
  <si>
    <t xml:space="preserve">Rob O'Rourke</t>
  </si>
  <si>
    <t xml:space="preserve">@theroborourke</t>
  </si>
  <si>
    <t xml:space="preserve">2025-11-17</t>
  </si>
  <si>
    <t xml:space="preserve">https://x.com/theroborourke/status/1990343987148775791</t>
  </si>
  <si>
    <t xml:space="preserve">I work with a few guys doing anywhere from $50k/m to $400k/m using mostly cold outreach.</t>
  </si>
  <si>
    <t xml:space="preserve">I work with a few guys doing anywhere from $50k/m to $400k/m using mostly cold outreach.
Here's what kills response rates...
Messages that look like copy-paste essays.
If your first DM is 6+ sentences in one huge block, you're done. Social media isn't email. People scan, they don't read.
- You need to break your pitch into 2-3 short messages
- Lead with the single most relevant thing about wh</t>
  </si>
  <si>
    <t xml:space="preserve">DM ask</t>
  </si>
  <si>
    <t xml:space="preserve">Authority by proximity ('I work with guys doing $50k-$400k/m') plus one concrete, checkable mistake (6+ sentence DMs). Instant self-audit for the reader.</t>
  </si>
  <si>
    <t xml:space="preserve">'I reviewed 214 LinkedIn DMs our clients' prospects actually replied to. The 3 that booked calls were all under 40 words.' Use your own outbound data. Attach a before/after DM screenshot.</t>
  </si>
  <si>
    <t xml:space="preserve">The post advises sales professionals on improving cold outreach response rates by avoiding long, essay-like messages and instead using brief, conversational messages that lead with relevant points and proof. The author emphasizes getting initial replies before attempting to close deals.</t>
  </si>
  <si>
    <t xml:space="preserve">cold outreach, sales advice, response rates, communication, dm strategy, sales tips, social media, email alternative</t>
  </si>
  <si>
    <t xml:space="preserve">LinkedIn DM outreach scripts and warm prospecting signals; cold email outbound that books meetings for consultants</t>
  </si>
  <si>
    <t xml:space="preserve">Business Growth &amp; Scale Systems</t>
  </si>
  <si>
    <t xml:space="preserve">Marketing Strategy, Outbound / Warm Outbound, Content Marketing &amp; Systems</t>
  </si>
  <si>
    <t xml:space="preserve">Romàn</t>
  </si>
  <si>
    <t xml:space="preserve">@romanbuildsaas</t>
  </si>
  <si>
    <t xml:space="preserve">2026-04-24</t>
  </si>
  <si>
    <t xml:space="preserve">https://x.com/romanbuildsaas/status/2047825608030494758</t>
  </si>
  <si>
    <t xml:space="preserve">Gojiberry AI just hit $2M ARR.</t>
  </si>
  <si>
    <t xml:space="preserve">Gojiberry AI just hit $2M ARR.
A few months ago we were at €0.
This is the second SaaS I've built. The first one I sold at €500K ARR.
This time, we moved faster. Here's exactly how we did it, so you can do it too.
The core principle that changed everything:
We used our own tool to grow our own tool.
Gojiberry AI finds high-intent leads and engages with them automatically.
We run it on ourse</t>
  </si>
  <si>
    <t xml:space="preserve">Result / Number-Led Claim</t>
  </si>
  <si>
    <t xml:space="preserve">image</t>
  </si>
  <si>
    <t xml:space="preserve">story</t>
  </si>
  <si>
    <t xml:space="preserve">inspirational</t>
  </si>
  <si>
    <t xml:space="preserve">Specific number/result in the hook; Proof-first opening</t>
  </si>
  <si>
    <t xml:space="preserve">Keep the result hook mechanic and swap in your own proof. Teach one business growth &amp; scale systems lesson for founders of 10-50 person boutique firms (US/UK/AU). Ship it as a LinkedIn text/carousel.</t>
  </si>
  <si>
    <t xml:space="preserve">The author shares how his SaaS product reached $2M ARR after starting from zero, detailing growth tactics including outreach, inbound marketing, and AI automation, and discussing scaling challenges.</t>
  </si>
  <si>
    <t xml:space="preserve">mrr milestones, saas, growth hacking, outreach, inbound marketing, reddit marketing, linkedin marketing, ai automation</t>
  </si>
  <si>
    <t xml:space="preserve">High-Ticket Sales</t>
  </si>
  <si>
    <t xml:space="preserve">Business Growth &amp; Scale Systems, Client Acquisition, Consulting / Fractional</t>
  </si>
  <si>
    <t xml:space="preserve">Nick Bennett</t>
  </si>
  <si>
    <t xml:space="preserve">@nickb2005</t>
  </si>
  <si>
    <t xml:space="preserve">2026-09-02</t>
  </si>
  <si>
    <t xml:space="preserve">https://x.com/NickB2005/status/2095121648710037913</t>
  </si>
  <si>
    <t xml:space="preserve">A client once asked me whether they should spend $40K on a sponsor booth at a major SaaS conference or try something smaller.</t>
  </si>
  <si>
    <t xml:space="preserve">A client once asked me whether they should spend $40K on a sponsor booth at a major SaaS conference or try something smaller.
I told them to take $800, book a private dining room at a steakhouse 4 blocks away, and invite 8 target VPs of Operations who were already attending the event.
We skipped the slide decks entirely. We ordered dry-aged ribeyes, poured two bottles of cabernet, and opened wit</t>
  </si>
  <si>
    <t xml:space="preserve">BOFU: Proof / Case Study</t>
  </si>
  <si>
    <t xml:space="preserve">Contrast in budget ($40K booth vs $800 dinner) + vivid detail + outcome. Small account (5k) at 240x: story quality beats audience size.</t>
  </si>
  <si>
    <t xml:space="preserve">'Skip the conference booth' play for boutique firms: 8-person founder dinner, then content recap, then warm outbound to attendees. Describe it as part of your system.</t>
  </si>
  <si>
    <t xml:space="preserve">A consultant shares a case study about using a targeted dinner with key decision-makers instead of a large conference booth investment, resulting in significant closed deals and ARR from minimal spending.</t>
  </si>
  <si>
    <t xml:space="preserve">saas, b2b, conference, client acquisition, sales strategy, dinner meeting, vp of operations, deal closing</t>
  </si>
  <si>
    <t xml:space="preserve">"fractional" CMO CFO COO getting clients</t>
  </si>
  <si>
    <t xml:space="preserve">Outbound / Warm Outbound, Client Acquisition, Marketing Strategy</t>
  </si>
  <si>
    <t xml:space="preserve">Matthew Berman</t>
  </si>
  <si>
    <t xml:space="preserve">@themattberman</t>
  </si>
  <si>
    <t xml:space="preserve">2026-02-20</t>
  </si>
  <si>
    <t xml:space="preserve">https://x.com/TheMattBerman/status/2024678503598235963</t>
  </si>
  <si>
    <t xml:space="preserve">I replaced a $200K GTM hire with @openclaw 😱</t>
  </si>
  <si>
    <t xml:space="preserve">I replaced a $200K GTM hire with @openclaw 😱
here's the system that runs my outbound:
step 1: mine LinkedIn engagement
→ @rapidapi scrapes everyone engaging with niche content
→ someone who commented on specific posts = 10x warmer 
step 2: enrich + verify
→ Hunter/Apollo finds the decision-maker + email
→ @Perplexity deep research pulls signals like hiring, fundraising, media appearances, quot</t>
  </si>
  <si>
    <t xml:space="preserve">Small-account breakout: the idea beat the audience size; Specific number/result in the hook; First-person or observed story: narrative pull; High comment-to-like ratio: debate driver</t>
  </si>
  <si>
    <t xml:space="preserve">Keep the story hook mechanic and swap in your own proof. Teach one business growth &amp; scale systems lesson for founders of 10-50 person boutique firms (US/UK/AU). Ship it as a LinkedIn text/carousel.</t>
  </si>
  <si>
    <t xml:space="preserve">A LinkedIn video shows how the author automated his sales team's outbound lead generation process using various tools. The speaker outlines a six-step system for identifying, enriching, scoring, and reaching out to ideal customer profiles using API scraping, AI research, and personalized email sequences.</t>
  </si>
  <si>
    <t xml:space="preserve">sales automation, outbound prospecting, ai tools, lead generation, marketing efficiency, workflow automation, cost savings, linked in engagement</t>
  </si>
  <si>
    <t xml:space="preserve">LinkedIn DM outreach scripts and warm prospecting signals</t>
  </si>
  <si>
    <t xml:space="preserve">Freelancing &amp; International Clients</t>
  </si>
  <si>
    <t xml:space="preserve">Consulting / Fractional, Client Acquisition, High-Ticket Sales</t>
  </si>
  <si>
    <t xml:space="preserve">https://x.com/theroborourke/status/1990376468736618997</t>
  </si>
  <si>
    <t xml:space="preserve">In my first year of freelancing, I went from selling $200 websites to $20k+ websites.</t>
  </si>
  <si>
    <t xml:space="preserve">In my first year of freelancing, I went from selling $200 websites to $20k+ websites.
Here's a sales trick I used to figure out what clients actually wanted:
Give two extreme options and see which way they lean.
"Do you want to pause this idea completely and come back when timing is better, or do you want to try to get started on this in the next week or two?"
This gets them to lean one way or</t>
  </si>
  <si>
    <t xml:space="preserve">Transformation range ($200 to $20k) plus ONE usable sales line (two-extremes question). Low effort to apply, high save rate.</t>
  </si>
  <si>
    <t xml:space="preserve">Series: 'One line I use on discovery calls with $5M consultancies' (e.g., 'If nothing changes in your pipeline for 6 months, what breaks first?'). One line per post, explain the psychology.</t>
  </si>
  <si>
    <t xml:space="preserve">A freelancer shares a sales technique used to determine client intent by offering two extreme options, allowing them to either commit or respectfully decline the proposal.</t>
  </si>
  <si>
    <t xml:space="preserve">freelancing, sales, client acquisition, pricing, web design, consulting</t>
  </si>
  <si>
    <t xml:space="preserve">freelancer to agency first clients Upwork pricing in dollars Hinglish</t>
  </si>
  <si>
    <t xml:space="preserve">LinkedIn</t>
  </si>
  <si>
    <t xml:space="preserve">Agency Growth</t>
  </si>
  <si>
    <t xml:space="preserve">Business Growth &amp; Scale Systems, High-Ticket Sales, Marketing Strategy</t>
  </si>
  <si>
    <t xml:space="preserve">Nick Avaria</t>
  </si>
  <si>
    <t xml:space="preserve">@nickavaria</t>
  </si>
  <si>
    <t xml:space="preserve">2026-01-29</t>
  </si>
  <si>
    <t xml:space="preserve">https://www.linkedin.com/feed/update/urn:li:activity:7422654796735807491</t>
  </si>
  <si>
    <t xml:space="preserve">I scaled my agency to $10M/yr in 3.5 years.</t>
  </si>
  <si>
    <t xml:space="preserve">I scaled my agency to $10M/yr in 3.5 years.
Closing lots of deals didn’t get me there
What did was a holistic understanding of my agency’s numbers and data.
Which I used to make high-quality decisions that helped me grow fast.
This KPI sheet makes managing your numbers easier.
Agency founders, COOs, and heads of ops, this is for you if:
 - You have a “busy” team, but not a profitable one
 -</t>
  </si>
  <si>
    <t xml:space="preserve">post</t>
  </si>
  <si>
    <t xml:space="preserve">Big credible result ($10M agency) + reframe (not closing, numbers) + free KPI sheet. LinkedIn rewards resource posts with a comment-gate.</t>
  </si>
  <si>
    <t xml:space="preserve">Build a 'Pipeline Health Scorecard' for 10-50 person firms (referral %, founder-sourced %, sales cycle, win rate, content-sourced %). Gate it via comment. This is your core lead magnet.</t>
  </si>
  <si>
    <t xml:space="preserve">agency growth scaling service business revenue</t>
  </si>
  <si>
    <t xml:space="preserve">Business Growth &amp; Scale Systems, Client Acquisition, Content Marketing &amp; Systems</t>
  </si>
  <si>
    <t xml:space="preserve">2026-01-28</t>
  </si>
  <si>
    <t xml:space="preserve">https://x.com/theroborourke/status/2016436919505146264</t>
  </si>
  <si>
    <t xml:space="preserve">Working with a web designer who 3x'd his revenue last year.</t>
  </si>
  <si>
    <t xml:space="preserve">Working with a web designer who 3x'd his revenue last year. 
Went from $40K to around $130K.
Almost ALL of it came from content. Mainly LinkedIn and YouTube. Plus around 10-20% in referrals.
But here's what's interesting...
His YouTube videos get a ton of views. But nearly all his actual paying leads came through the LinkedIn side.
Why?
The YT content was all technical. How he builds sites,</t>
  </si>
  <si>
    <t xml:space="preserve">Case study with a counter-intuitive split: YouTube got views, LinkedIn got paying leads. Data-backed platform insight.</t>
  </si>
  <si>
    <t xml:space="preserve">Directly validates your thesis. Post: 'Our client's reels got 40x the views of their LinkedIn posts. LinkedIn produced 11 of 12 closed deals. Here's why.' Use your own or a client's attribution data.</t>
  </si>
  <si>
    <t xml:space="preserve">Apost about a web designer who 3x’d his revenue to $130K by focusing on content marketing. Most leads came from LinkedIn expert content rather than YouTube technical videos.</t>
  </si>
  <si>
    <t xml:space="preserve">web design, revenue growth, content marketing, social media marketing, linkedina, youtube, digital marketing, lead generation</t>
  </si>
  <si>
    <t xml:space="preserve">agency growth scaling service business revenue; referrals plateau service business founder stuck at revenue ceiling</t>
  </si>
  <si>
    <t xml:space="preserve">Client Acquisition, Outbound / Warm Outbound, Marketing Strategy</t>
  </si>
  <si>
    <t xml:space="preserve">Ashley Boston | Content Strategy for Creatives</t>
  </si>
  <si>
    <t xml:space="preserve">@itsashleyboston</t>
  </si>
  <si>
    <t xml:space="preserve">50-100k</t>
  </si>
  <si>
    <t xml:space="preserve">2026-03-28</t>
  </si>
  <si>
    <t xml:space="preserve">https://www.instagram.com/reel/DWb9bMukmwe/</t>
  </si>
  <si>
    <t xml:space="preserve">The follow up message that brought back a lead I thought was gone forever 👇🏼</t>
  </si>
  <si>
    <t xml:space="preserve">The follow up message that brought back a lead I thought was gone forever 👇🏼
No “just checking in.”
No “did you get a chance to think about it?”
No desperation.
Just this:
“Hey [Name], I’ve been thinking about our conversation and I realized I never actually asked you the most important question.
What would need to be true for you to feel completely confident moving forward?
Is it the</t>
  </si>
  <si>
    <t xml:space="preserve">Swipeable script (exact follow-up text). Specific 'No just checking in' contrast; saves and shares drive reach.</t>
  </si>
  <si>
    <t xml:space="preserve">'The follow-up I send 9 days after a proposal goes quiet' with the exact text. Make it a recurring 'Script Saturday' format.</t>
  </si>
  <si>
    <t xml:space="preserve">A short sales tutorial video teaches how to write an effective follow-up message to recover a lost lead. The message focuses on understanding the client's real objections and avoids pressuring them, using open-ended questions to invite discussion.</t>
  </si>
  <si>
    <t xml:space="preserve">sales follow-up, lead recovery, client engagement, sales script, high-ticket clients, sales objection handling, client communication, sales strategy</t>
  </si>
  <si>
    <t xml:space="preserve">sales system CRM follow-up process for service business owners</t>
  </si>
  <si>
    <t xml:space="preserve">Agency Growth, Client Acquisition, Content Marketing &amp; Systems</t>
  </si>
  <si>
    <t xml:space="preserve">2026-01-26</t>
  </si>
  <si>
    <t xml:space="preserve">https://x.com/fromzerotomill/status/2015743611237785804</t>
  </si>
  <si>
    <t xml:space="preserve">had coffee with a guy last thursday who sold his marketing agency for $6.3m and i'm still processing what he told me</t>
  </si>
  <si>
    <t xml:space="preserve">had coffee with a guy last thursday who sold his marketing agency for $6.3m and i'm still processing what he told me
we were supposed to talk for 30 minutes. ended up being almost 3 hours because what he said completely flipped how i think about building businesses
"clients weren't paying for strategy. they were paying for the fact that i could get their message seen by their exact audience fast</t>
  </si>
  <si>
    <t xml:space="preserve">Small-account breakout: the idea beat the audience size; Specific number/result in the hook; Proof-first opening</t>
  </si>
  <si>
    <t xml:space="preserve">Keep the result hook mechanic and swap in your own proof. Teach one marketing strategy lesson for founders of 10-50 person boutique firms (US/UK/AU). Ship it as a LinkedIn text/carousel.</t>
  </si>
  <si>
    <t xml:space="preserve">A thread recounts a conversation with an entrepreneur who sold his marketing agency for $6.3M. The discussion focuses on the value of deeply trusted relationships with micro-influencers for customer acquisition, rather than traditional marketing tactics or proprietary strategies.</t>
  </si>
  <si>
    <t xml:space="preserve">marketing agency, influencer relationships, micro influencers, business strategy, network effects, client acquisition, business growth, marketing insights</t>
  </si>
  <si>
    <t xml:space="preserve">client kaise laaye business grow kaise kare sales marketing agency; agency owner lessons scaling to 7 figures clients retention</t>
  </si>
  <si>
    <t xml:space="preserve">Marketing Strategy, Client Acquisition, Content Marketing &amp; Systems</t>
  </si>
  <si>
    <t xml:space="preserve">Michel Lieben</t>
  </si>
  <si>
    <t xml:space="preserve">@michlieben</t>
  </si>
  <si>
    <t xml:space="preserve">2026-04-01</t>
  </si>
  <si>
    <t xml:space="preserve">https://x.com/MichLieben/status/2039432665078923529</t>
  </si>
  <si>
    <t xml:space="preserve">We offered $5,000 to whichever employee got the most engagement on LinkedIn in a single quarter.</t>
  </si>
  <si>
    <t xml:space="preserve">We offered $5,000 to whichever employee got the most engagement on LinkedIn in a single quarter.
$2,500 for second.
$1,500 for third.
Plus $500 for anyone who published 20+ times.
The result: 24 employees published 581 posts in 85 days. 43,000+ reactions. 28,000+ comments. 34,000+ new followers.
27 new clients signed. $153,000 in new MRR.
I remember one guy from our team had less than 1,000 f</t>
  </si>
  <si>
    <t xml:space="preserve">Hard numbers at every step (581 posts, 85 days, 27 clients, $153K MRR). Employee-advocacy proof that content drives revenue.</t>
  </si>
  <si>
    <t xml:space="preserve">For 10-50 person firms, the team is a distribution asset. Post: 'A 30-person consultancy has 30 LinkedIn accounts and uses 1'. Upsell path: team advocacy as an add-on.</t>
  </si>
  <si>
    <t xml:space="preserve">A company offered tiered monetary prizes for LinkedIn engagement among employees, resulting in 581 posts, 107,000+ interactions, 34k+ new followers and $153k monthly recurring revenue. The $15k prize pool generated significant ROI.</t>
  </si>
  <si>
    <t xml:space="preserve">employee incentives, linkedin engagement, social media competition, content marketing, mrr growth, organic reach, team motivation, reward program</t>
  </si>
  <si>
    <t xml:space="preserve">LinkedIn content strategy that books sales calls for B2B service businesses</t>
  </si>
  <si>
    <t xml:space="preserve">Marketing Strategy, Agency Growth, Consulting / Fractional</t>
  </si>
  <si>
    <t xml:space="preserve">MarketingMax.com</t>
  </si>
  <si>
    <t xml:space="preserve">@marketingmax</t>
  </si>
  <si>
    <t xml:space="preserve">2026-02-05</t>
  </si>
  <si>
    <t xml:space="preserve">https://x.com/MarketingMax/status/2019410776201506904</t>
  </si>
  <si>
    <t xml:space="preserve">Hired a big-time marketing agency for some brand identity work</t>
  </si>
  <si>
    <t xml:space="preserve">Hired a big-time marketing agency for some brand identity work
Paid them $250,000
They outsourced it to a smaller agency for $100,000
Who in turn outsourced it to a marketing consultant for $25,000
But that consultant outsourced my project to a US-based freelancer for $10,000
Who then outsourced it to an overseas freelancer for $2,000
The freelancer hired someone on Fiverr for $100 to finish</t>
  </si>
  <si>
    <t xml:space="preserve">tweet</t>
  </si>
  <si>
    <t xml:space="preserve">Outsourcing-chain story ($250K down to $100 on Fiverr). Funny, cynical, very shareable; sparks debate.</t>
  </si>
  <si>
    <t xml:space="preserve">Reframe for your ICP: 'Why your $15K/mo agency retainer is really 2 juniors and a template'. Positions you as founder-led and transparent. Use as a TOFU reach post.</t>
  </si>
  <si>
    <t xml:space="preserve">Hindi</t>
  </si>
  <si>
    <t xml:space="preserve">vidIQ</t>
  </si>
  <si>
    <t xml:space="preserve">Marketing Strategy, Client Acquisition, Freelancing &amp; International Clients</t>
  </si>
  <si>
    <t xml:space="preserve">itsliftmedia</t>
  </si>
  <si>
    <t xml:space="preserve">@itsliftmedia</t>
  </si>
  <si>
    <t xml:space="preserve">Apr-Oct 2026</t>
  </si>
  <si>
    <t xml:space="preserve">https://www.instagram.com/reel/DcGk3BOI4_r/</t>
  </si>
  <si>
    <t xml:space="preserve">aaj 200</t>
  </si>
  <si>
    <t xml:space="preserve">Digital Agency Day 9 
#BusinessGrowth #businessowner #agency #marketingagency #instagram</t>
  </si>
  <si>
    <t xml:space="preserve">Reel: B-roll over voiceover</t>
  </si>
  <si>
    <t xml:space="preserve">Education</t>
  </si>
  <si>
    <t xml:space="preserve">India: Growth &amp; Scale Cohort</t>
  </si>
  <si>
    <t xml:space="preserve">Small-account breakout: the idea beat the audience size; Proof-first opening; Format: voiceover narration over b-roll montage</t>
  </si>
  <si>
    <t xml:space="preserve">Keep the result hook mechanic and swap in your own proof. Teach one agency growth lesson for Indian B2B service founders (10-50 staff). Ship it as a IG reel, then repurpose to LinkedIn.</t>
  </si>
  <si>
    <t xml:space="preserve">A digital entrepreneur documents the 9th day of building his agency, explaining the challenge of client communication and offering a template pack as a lead magnet.</t>
  </si>
  <si>
    <t xml:space="preserve">Business &amp; Entrepreneurship</t>
  </si>
  <si>
    <t xml:space="preserve">Client acquisition (Hindi/India); International clients (India)</t>
  </si>
  <si>
    <t xml:space="preserve">Agency Growth, Marketing Strategy, High-Ticket Sales</t>
  </si>
  <si>
    <t xml:space="preserve">Austin Schneider</t>
  </si>
  <si>
    <t xml:space="preserve">@theaustinschneider</t>
  </si>
  <si>
    <t xml:space="preserve">30-50k</t>
  </si>
  <si>
    <t xml:space="preserve">https://www.instagram.com/reel/Dcy173UgAVR/</t>
  </si>
  <si>
    <t xml:space="preserve">Follow @theaustinschneider for more</t>
  </si>
  <si>
    <t xml:space="preserve">Follow @theaustinschneider for more
--
Hi, I'm Austin. I teach agency owners how to scale inside @agencyu.co. 7 years ago I started running my own agency. The advice out there? Grind harder, close more deals, just outwork everyone. It didn't work. I was doing $30K a month and still felt like I was drowning.
So over the next few years I stopped following everyone else's playbook and built my own</t>
  </si>
  <si>
    <t xml:space="preserve">Follow ask</t>
  </si>
  <si>
    <t xml:space="preserve">Origin story pinned as intro ('I was at $30K/mo and drowning'). Intro reels convert followers into buyers.</t>
  </si>
  <si>
    <t xml:space="preserve">Record your own 60s 'If we've never met' reel: who you help, the one belief you reject, proof. Pin it on IG and feature it on LinkedIn.</t>
  </si>
  <si>
    <t xml:space="preserve">Austin Schneider, an agency owner, shares his journey of building scalable systems that enabled his agency to grow from $30K to $200K+ per month. He promotes his program Agency U, which helps agency owners implement operational systems to scale without increased workload.</t>
  </si>
  <si>
    <t xml:space="preserve">agency owners, business scaling, operational systems, client management, hiring systems, sales framework, lead generation, onboarding systems</t>
  </si>
  <si>
    <t xml:space="preserve">agency growth scaling service business revenue; client kaise laaye business grow kaise kare sales marketing agency</t>
  </si>
  <si>
    <t xml:space="preserve">Marketing Strategy, Client Acquisition, Business Growth &amp; Scale Systems</t>
  </si>
  <si>
    <t xml:space="preserve">Finn Mallery</t>
  </si>
  <si>
    <t xml:space="preserve">@fin465</t>
  </si>
  <si>
    <t xml:space="preserve">2026-05-15</t>
  </si>
  <si>
    <t xml:space="preserve">https://x.com/fin465/status/2055137077868814804</t>
  </si>
  <si>
    <t xml:space="preserve">talked to a bunch of current YC batch founders today</t>
  </si>
  <si>
    <t xml:space="preserve">talked to a bunch of current YC batch founders today
The ones hitting $1m+ ARR (there are several this batch) are just ripping the same outbound playbook every time:
1. build your lead lists using tools like Origami or Clay  
2. Run an auto-connect + DM sequencer on LinkedIn 
3. aim for 200 connects/week. linkedin is a goldmine
4. when writing Linkedin DMs, send 2-sentences, ideally with a warm</t>
  </si>
  <si>
    <t xml:space="preserve">Social proof by cohort (YC founders at $1M+ ARR) + numbered playbook with specifics (200 connects/week, 2-sentence DMs).</t>
  </si>
  <si>
    <t xml:space="preserve">'I looked at how 12 consultancies above $3M get new logos. 9 of them run this same 4-step warm outbound loop.' Follow with numbered steps.</t>
  </si>
  <si>
    <t xml:space="preserve">A social media post by Finn Mallery details an outbound sales playbook used by Y Combinator founders who are achieving over $1M+ ARR. The playbook emphasizes LinkedIn strategies, including lead generation tools, automated connection requests, personalized DMs, frequent posting, and attention engine optimization (AEO) to consistently book demos.</t>
  </si>
  <si>
    <t xml:space="preserve">linkedin marketing, b2b sales, outbound sales, lead generation, sales strategy, social selling, startup growth, demo booking</t>
  </si>
  <si>
    <t xml:space="preserve">Marketing Strategy, High-Ticket Sales, Content Marketing &amp; Systems</t>
  </si>
  <si>
    <t xml:space="preserve">Jhevanie Ong -Online Marketing</t>
  </si>
  <si>
    <t xml:space="preserve">@vanieclicks</t>
  </si>
  <si>
    <t xml:space="preserve">2026-05-08</t>
  </si>
  <si>
    <t xml:space="preserve">https://www.instagram.com/reel/DYE9F6qN8uX/</t>
  </si>
  <si>
    <t xml:space="preserve">🔹 1. High-Ticket Affiliate Marketing (with AI)</t>
  </si>
  <si>
    <t xml:space="preserve">🔹 1. High-Ticket Affiliate Marketing (with AI)
This is the leverage play.
Instead of creating your own product, you:
* Promote existing digital products ($2K–$10K)
* Earn $1K–$5K per sale
* Use AI to create content (Reels, captions, hooks)
🔹 2.  Amazon KDP
• Create low-content books (journals, planners,
puzzle books, kids books, cookbooks, etc.) using Canva or Bookbolt. * List them on Amazo</t>
  </si>
  <si>
    <t xml:space="preserve">Low fit (aspirant/beginner audience)</t>
  </si>
  <si>
    <t xml:space="preserve">High comment-to-like ratio: debate driver</t>
  </si>
  <si>
    <t xml:space="preserve">Keep the statement hook mechanic and swap in your own proof. Teach one business growth &amp; scale systems lesson for (re-aim at business owners, not aspirants). Ship it as a IG reel, then repurpose to LinkedIn.</t>
  </si>
  <si>
    <t xml:space="preserve">A short video promotes three digital monetization methods for 2026: high-ticket affiliate marketing with AI, Amazon KDP low-content books, and faceless content monetization on social media. The video encourages viewers to use existing systems instead of extra time to generate income.</t>
  </si>
  <si>
    <t xml:space="preserve">affiliate marketing, ai content, amazon kdp, faceless content, digital products, monetization, short-form video, online business</t>
  </si>
  <si>
    <t xml:space="preserve">content system that generates inbound leads for B2B founders</t>
  </si>
  <si>
    <t xml:space="preserve">Marketing Strategy, Content Marketing &amp; Systems, Client Acquisition</t>
  </si>
  <si>
    <t xml:space="preserve">Bryan Ng</t>
  </si>
  <si>
    <t xml:space="preserve">@boomerrbryan</t>
  </si>
  <si>
    <t xml:space="preserve">2026-10-02</t>
  </si>
  <si>
    <t xml:space="preserve">https://x.com/boomerrbryan/status/2105927263208570959</t>
  </si>
  <si>
    <t xml:space="preserve">I'm BEGGING you to look up what YouTube pays per 1,000 views in different niches before you pick what to make videos about</t>
  </si>
  <si>
    <t xml:space="preserve">I'm BEGGING you to look up what YouTube pays per 1,000 views in different niches before you pick what to make videos about
This is the single most important number in the entire YouTube business model and almost nobody checks it before starting
Entertainment: $2-4
Gaming: $3-5
Vlogs: $4-6
Reactions: $3-5
Now look at the niches nobody wants:
Medicare supplements: $44
Estate planning: $38
Commer</t>
  </si>
  <si>
    <t xml:space="preserve">First-person or observed story: narrative pull</t>
  </si>
  <si>
    <t xml:space="preserve">Keep the story hook mechanic and swap in your own proof. Teach one agency growth lesson for (re-aim at business owners, not aspirants). Ship it as a LinkedIn text/carousel.</t>
  </si>
  <si>
    <t xml:space="preserve">Text thread arguing creators should choose high-CPM, low-competition YouTube niches like Medicare supplements, estate planning and HVAC, citing platform payouts per 1,000 views and inbound lead value, plus a three-step method for finding such niches with Google Keyword Planner.</t>
  </si>
  <si>
    <t xml:space="preserve">youtube, cpm, niche selection, monetization, high cpm niches, youtube business model, lead generation, keyword planner</t>
  </si>
  <si>
    <t xml:space="preserve">ecomchigga</t>
  </si>
  <si>
    <t xml:space="preserve">@ecomchigga</t>
  </si>
  <si>
    <t xml:space="preserve">2026-01-21</t>
  </si>
  <si>
    <t xml:space="preserve">https://x.com/ecomchigga/status/2014040307755528491</t>
  </si>
  <si>
    <t xml:space="preserve">nobody's going to tell you this so i will</t>
  </si>
  <si>
    <t xml:space="preserve">nobody's going to tell you this so i will
the digital product game is rigged in your favor if you know where to look
here's everything that's actually working right now:
THE NICHES THAT ARE PRINTING
ai onlyfans management - teaching people to run OF accounts with ai generated models. guys clearing $30-50K/month. market is 18 months old. basically zero competition.
ai ugc - brands need content</t>
  </si>
  <si>
    <t xml:space="preserve">Contrarian / Myth-Bust</t>
  </si>
  <si>
    <t xml:space="preserve">Small-account breakout: the idea beat the audience size; Challenges a belief the ICP holds</t>
  </si>
  <si>
    <t xml:space="preserve">Keep the contrarian hook mechanic and swap in your own proof. Teach one outbound / warm outbound lesson for (re-aim at business owners, not aspirants). Ship it as a LinkedIn text/carousel.</t>
  </si>
  <si>
    <t xml:space="preserve">Thread breaks down successful digital product creation including profitable niches, pricing tiers, content strategy (40% problem content, 30% proof, 20% mechanism), bio optimization, engagement tactics and timeline expectations. Also details platform math and DM outreach conversion tactics.</t>
  </si>
  <si>
    <t xml:space="preserve">digital products, side hustle, ecommerce, niche business, product creation, marketing, income, business growth</t>
  </si>
  <si>
    <t xml:space="preserve">Agency Growth, Marketing Strategy</t>
  </si>
  <si>
    <t xml:space="preserve">https://www.linkedin.com/feed/update/urn:li:activity:7421567657579196416</t>
  </si>
  <si>
    <t xml:space="preserve">I scaled my agency to $10M in 3.5 years.</t>
  </si>
  <si>
    <t xml:space="preserve">I scaled my agency to $10M in 3.5 years.
My secret? This 1 dashboard that's currently runs over 50M+ through it. Get it free today:
This is the same dashboard we install inside agencies to give founders visibility into:
- Margin
- Client retention
- Utilization
- Forecasting
- Revenue per employee
- CAC and payback
- MRR movement
- Team load vs. delivery capacity
If you’re an agency owner doin</t>
  </si>
  <si>
    <t xml:space="preserve">Same creator, same asset, 111x: proves repetition of a winning lead-magnet post works. He reposted the dashboard offer 4+ times with new hooks.</t>
  </si>
  <si>
    <t xml:space="preserve">Rule: when a lead-magnet post hits, re-run it every 3-4 weeks with a new hook. Track in Calendar sheet.</t>
  </si>
  <si>
    <t xml:space="preserve">client acquisition for agencies and consultants</t>
  </si>
  <si>
    <t xml:space="preserve">High-Ticket Sales, Consulting / Fractional, Client Acquisition</t>
  </si>
  <si>
    <t xml:space="preserve">Dylan Smith</t>
  </si>
  <si>
    <t xml:space="preserve">@dylansmith.io</t>
  </si>
  <si>
    <t xml:space="preserve">2026-10-07</t>
  </si>
  <si>
    <t xml:space="preserve">https://www.instagram.com/reel/DeNIahOMks5/</t>
  </si>
  <si>
    <t xml:space="preserve">This one actually works</t>
  </si>
  <si>
    <t xml:space="preserve">This one actually works 
#sales #coldcalling #salestips #salescoaching</t>
  </si>
  <si>
    <t xml:space="preserve">skit</t>
  </si>
  <si>
    <t xml:space="preserve">comedic</t>
  </si>
  <si>
    <t xml:space="preserve">Topic resonance (check the full post)</t>
  </si>
  <si>
    <t xml:space="preserve">Keep the statement hook mechanic and swap in your own proof. Teach one outbound / warm outbound lesson for founders of 10-50 person boutique firms (US/UK/AU). Ship it as a IG reel, then repurpose to LinkedIn.</t>
  </si>
  <si>
    <t xml:space="preserve">Comedic sales skit: a salesperson uses his "one phone call" from the Crawford County Jail to follow up with prospect Gary and ask whether he's ready to move forward on the deal this week.</t>
  </si>
  <si>
    <t xml:space="preserve">cold calling, sales humor, sales tips, sales coaching, cold outbound, skit, follow up, closing the deal</t>
  </si>
  <si>
    <t xml:space="preserve">high ticket sales calls closing B2B deals</t>
  </si>
  <si>
    <t xml:space="preserve">Consulting / Fractional, Client Acquisition, Business Growth &amp; Scale Systems</t>
  </si>
  <si>
    <t xml:space="preserve">Harshil Tomar</t>
  </si>
  <si>
    <t xml:space="preserve">@hartdrawss</t>
  </si>
  <si>
    <t xml:space="preserve">2026-03-06</t>
  </si>
  <si>
    <t xml:space="preserve">https://x.com/Hartdrawss/status/2029852118723551289</t>
  </si>
  <si>
    <t xml:space="preserve">This is the TOXIC Indian freelance industry</t>
  </si>
  <si>
    <t xml:space="preserve">This is the TOXIC Indian freelance industry
got a legal notice today.
Rs. 10,00,000 penalty for "non-compliance"
here's the full story:
- signed a ₹X L ERP project
- delivered 100% of agreed scope
- they kept adding features saying "this was discussed day 1"
- i absorbed it, built 40% extra out of goodwill
- 6 months of over-delivering
- still got a legal notice
the Indian market has a specifi</t>
  </si>
  <si>
    <t xml:space="preserve">critical</t>
  </si>
  <si>
    <t xml:space="preserve">Pain + outrage + India specificity (₹10L legal notice, scope creep). Controversy about the Indian market travels.</t>
  </si>
  <si>
    <t xml:space="preserve">India cohort angle: 'Why Indian service firms lose money on Indian clients and how to price for US/UK clients instead'. Bridges to international client hunting.</t>
  </si>
  <si>
    <t xml:space="preserve">The image shows a legal notice demanding a 10 Lakh Rupee penalty, illustrating a freelancers dispute over project scope and client management challenges in the Indian freelance market.</t>
  </si>
  <si>
    <t xml:space="preserve">freelance industry, legal notice, penalty, client management, project scope, indian market, dispute, non-compliance</t>
  </si>
  <si>
    <t xml:space="preserve">Outbound / Warm Outbound, Client Acquisition, Agency Growth</t>
  </si>
  <si>
    <t xml:space="preserve">officialpeterroth</t>
  </si>
  <si>
    <t xml:space="preserve">@officialpeterroth</t>
  </si>
  <si>
    <t xml:space="preserve">https://www.instagram.com/reel/Db58c4nCOXN/</t>
  </si>
  <si>
    <t xml:space="preserve">THE COLD EMAIL STRATEGY THAT ACTUALLY WORKS</t>
  </si>
  <si>
    <t xml:space="preserve">The cold email strategy that actually works
ft. @thejasonwojo
If you're tired of chasing bad leads...</t>
  </si>
  <si>
    <t xml:space="preserve">Reel: Split screen (creator + screen recording/B-roll)</t>
  </si>
  <si>
    <t xml:space="preserve">Split-screen software walkthrough + interview guest. 190x median; 'actually works' promise plus proof on screen.</t>
  </si>
  <si>
    <t xml:space="preserve">Screen-record your warm-outbound stack (signal, then enrich, then DM) with a guest client. Use a split-screen format.</t>
  </si>
  <si>
    <t xml:space="preserve">A founder explains his cold email strategy and specific software stack for lead generation and conversion.</t>
  </si>
  <si>
    <t xml:space="preserve">Business &amp; Marketing</t>
  </si>
  <si>
    <t xml:space="preserve">Client acquisition (EN); Content systems; Agency growth; B2B marketing</t>
  </si>
  <si>
    <t xml:space="preserve">Client Acquisition, Outbound / Warm Outbound, Business Growth &amp; Scale Systems</t>
  </si>
  <si>
    <t xml:space="preserve">calebchae</t>
  </si>
  <si>
    <t xml:space="preserve">@calebchae</t>
  </si>
  <si>
    <t xml:space="preserve">https://www.instagram.com/reel/Db8S4BmJlfM/</t>
  </si>
  <si>
    <t xml:space="preserve">SERVICE BASED BUSINESS OWNERS RUNNING META ADS</t>
  </si>
  <si>
    <t xml:space="preserve">Comment “phone” below for outbound phone setting system</t>
  </si>
  <si>
    <t xml:space="preserve">Audience Callout</t>
  </si>
  <si>
    <t xml:space="preserve">Reel: Split screen reaction transitioning into solo talking head</t>
  </si>
  <si>
    <t xml:space="preserve">Small-account breakout: the idea beat the audience size; Calls out the exact audience in line 1; Keyword CTA converts reach into DMs; Format: expert reaction and commentary</t>
  </si>
  <si>
    <t xml:space="preserve">Keep the audience callout hook mechanic and swap in your own proof. Teach one marketing strategy lesson for founders of 10-50 person boutique firms (US/UK/AU). Ship it as a IG reel, then repurpose to LinkedIn.</t>
  </si>
  <si>
    <t xml:space="preserve">A creator validates advice from an industry expert about lead calling and offers a lead magnet in exchange for comments.</t>
  </si>
  <si>
    <t xml:space="preserve">Content systems</t>
  </si>
  <si>
    <t xml:space="preserve">Business Growth &amp; Scale Systems, Agency Growth, High-Ticket Sales</t>
  </si>
  <si>
    <t xml:space="preserve">Tim Stoddart</t>
  </si>
  <si>
    <t xml:space="preserve">@timstodz</t>
  </si>
  <si>
    <t xml:space="preserve">2026-10-08</t>
  </si>
  <si>
    <t xml:space="preserve">https://x.com/TimStodz/status/2108161648506609947</t>
  </si>
  <si>
    <t xml:space="preserve">The most reliable path to business success:</t>
  </si>
  <si>
    <t xml:space="preserve">The most reliable path to business success:
- Build a B2B service offer
- Sell it for cheap or free
- Get proof that you’re good
- Raise prices to $4k-20k a month
- Do a ton of marketing
- Hit your limit on clients
- Scale into an agency
Not easy, but it’s the easiest.</t>
  </si>
  <si>
    <t xml:space="preserve">A 7-step 'easiest path' list in under 280 chars. Clear, sequential, mildly contrarian ('not easy, but easiest').</t>
  </si>
  <si>
    <t xml:space="preserve">'The most reliable path from $1M to $5M for a consultancy:' as 7 short lines. Make this your signature thesis post and repost quarterly.</t>
  </si>
  <si>
    <t xml:space="preserve">Tim Stoddart outlines a step-by-step path to business success: build a B2B service offer, sell cheaply or free to gain proof, raise prices to $4k–20k/month, market heavily, cap out on clients, then scale into an agency.</t>
  </si>
  <si>
    <t xml:space="preserve">b2b services, agency growth, pricing, consulting, client acquisition, scaling, marketing, proof of concept</t>
  </si>
  <si>
    <t xml:space="preserve">Content Marketing &amp; Systems</t>
  </si>
  <si>
    <t xml:space="preserve">Marketing Strategy, Business Growth &amp; Scale Systems, High-Ticket Sales</t>
  </si>
  <si>
    <t xml:space="preserve">Singh</t>
  </si>
  <si>
    <t xml:space="preserve">@imsehej</t>
  </si>
  <si>
    <t xml:space="preserve">2026-01-04</t>
  </si>
  <si>
    <t xml:space="preserve">https://x.com/imsehej/status/2007850577326456879</t>
  </si>
  <si>
    <t xml:space="preserve">just signed a female creator as a client on IG &amp; closed $30k in info sales on the first day of launch 😂</t>
  </si>
  <si>
    <t xml:space="preserve">just signed a female creator as a client on IG &amp; closed $30k in info sales on the first day of launch 😂
and before anyone asks "what's her niche" or "how big is her audience"
those are the wrong fucking questions
here's what actually happened and why this works
she had 8k followers on instagram
decent engagement but making $0 from her content
been posting for 8 months, people loved her cont</t>
  </si>
  <si>
    <t xml:space="preserve">Keep the story hook mechanic and swap in your own proof. Teach one content marketing &amp; systems lesson for founders of 10-50 person boutique firms (US/UK/AU). Ship it as a LinkedIn text/carousel.</t>
  </si>
  <si>
    <t xml:space="preserve">A text post details a step-by-step system used to monetize a female creator's Instagram audience, resulting in $30k in sales on launch day. The post explains the process including defining a specific offer, pre-selling via strategic content, qualification in DMs, pricing strategy, and manufactured urgency.</t>
  </si>
  <si>
    <t xml:space="preserve">monetization strategy, instagram launch, sales funnel, product launch, audience monetization, content marketing, dm sales, pricing strategy</t>
  </si>
  <si>
    <t xml:space="preserve">Freelancing &amp; International Clients, Client Acquisition, High-Ticket Sales</t>
  </si>
  <si>
    <t xml:space="preserve">2025-12-15</t>
  </si>
  <si>
    <t xml:space="preserve">https://x.com/theroborourke/status/2000523290205364430</t>
  </si>
  <si>
    <t xml:space="preserve">Recently started working with an India-based design agency doing $20-50K/month.</t>
  </si>
  <si>
    <t xml:space="preserve">Recently started working with an India-based design agency doing $20-50K/month. 
Strong portfolio. Top rated on Fiverr and Upwork.
I asked them: what pain do you actually solve for clients?
They listed reliability, fast turnaround, experienced designers, structured process.
All good things, but here's the problem - none of that is why someone hires you in the first place.
All of that matters</t>
  </si>
  <si>
    <t xml:space="preserve">Client-diagnosis story: names a specific firm type (India-based design agency, $20-50K/mo), asks one sharp question, exposes that 'reliability, fast turnaround' are table stakes, not reasons to buy. The reader self-identifies instantly.</t>
  </si>
  <si>
    <t xml:space="preserve">Your #1 bridge post. 'An Indian IT services firm doing $80K/mo asked me why US prospects ghost them. I asked: what expensive problem do you solve? They listed...'. Ends with the pain-led positioning rewrite. Works for BOTH offers.</t>
  </si>
  <si>
    <t xml:space="preserve">An agency owner criticizes the common approach of presenting reliability and fast turnaround to prospective clients, arguing that these features only support closing sales once demand already exists. He demonstrates an alternative strategy of addressing the underlying business problems of customers before they know they require design solutions.</t>
  </si>
  <si>
    <t xml:space="preserve">agency, marketing, clients, solutions, approach, niche, content, advertisement</t>
  </si>
  <si>
    <t xml:space="preserve">Marketing Strategy, High-Ticket Sales, Agency Growth</t>
  </si>
  <si>
    <t xml:space="preserve">2025-11-02</t>
  </si>
  <si>
    <t xml:space="preserve">https://x.com/theroborourke/status/1984891228635255217</t>
  </si>
  <si>
    <t xml:space="preserve">$93k in Oct.</t>
  </si>
  <si>
    <t xml:space="preserve">$93k in Oct.
And probably my last revenue screen share for a while.
Pretty proud of this figure.
Started this year with a few specific business goals:
- Start a new sales funnel business
- Do all sales calls, content, and funnels myself
- No launches / discounts / deals / webinars
- Sell the exact same way I teach others to sell
I also run the business fully myself with just one full time sta</t>
  </si>
  <si>
    <t xml:space="preserve">Revenue screenshot + constraints (no launches, no discounts, 1 staff). Shows you practice what you preach.</t>
  </si>
  <si>
    <t xml:space="preserve">Monthly 'building in public' revenue/pipeline report: calls booked, source split (content vs outbound), close rate. Builds trust with both ICPs.</t>
  </si>
  <si>
    <t xml:space="preserve">The visual shows a line chart depicting a user's monthly total profit over ten months, with an increasing trend. The accompanying text shares the user's pride in achieving $93k revenue in October and details personal business systems and goals.</t>
  </si>
  <si>
    <t xml:space="preserve">revenue, cash flow, business goals, profit, sales funnel, self-run business, agency model, personal achievement</t>
  </si>
  <si>
    <t xml:space="preserve">Consulting / Fractional, Client Acquisition, Content Marketing &amp; Systems</t>
  </si>
  <si>
    <t xml:space="preserve">Vincent Hu</t>
  </si>
  <si>
    <t xml:space="preserve">@iamvincenthu</t>
  </si>
  <si>
    <t xml:space="preserve">2026-03-24</t>
  </si>
  <si>
    <t xml:space="preserve">https://www.instagram.com/reel/DWQxe0VjcyN/</t>
  </si>
  <si>
    <t xml:space="preserve">Follow @iamvincenthu + Comment 'Traffic' and I'll send you the video :D</t>
  </si>
  <si>
    <t xml:space="preserve">Keep the comment-gate hook mechanic and swap in your own proof. Teach one high-ticket sales lesson for founders of 10-50 person boutique firms (US/UK/AU). Ship it as a IG reel, then repurpose to LinkedIn.</t>
  </si>
  <si>
    <t xml:space="preserve">Vincent Hu's video discusses building a profitable consulting business by sharing a 3-step framework he used to earn 100k in one month. He covers how to serve clients without direct sales, how to convert leads, and how to close deals without objections, aiming to help viewers build a 50k/month, ethical service business.</t>
  </si>
  <si>
    <t xml:space="preserve">consulting, client acquisition, lead conversion, coaching, business growth, high-ticket sales, consultant, video series</t>
  </si>
  <si>
    <t xml:space="preserve">Marketing Strategy, Outbound / Warm Outbound, Client Acquisition</t>
  </si>
  <si>
    <t xml:space="preserve">Zach Chang</t>
  </si>
  <si>
    <t xml:space="preserve">@zchangd</t>
  </si>
  <si>
    <t xml:space="preserve">2026-06-16</t>
  </si>
  <si>
    <t xml:space="preserve">https://www.instagram.com/reel/DZpxfcdhO3g/</t>
  </si>
  <si>
    <t xml:space="preserve">1. Ditches are in the niches</t>
  </si>
  <si>
    <t xml:space="preserve">1. Ditches are in the niches
2. Offer flexible tiered retainers
3. Document everything
4. Don’t be a tech nerd
5. Most AI influencers don’t actually know much more about AI than you they’re just better at marketing
6. Organic content amplifies cold outreach
7. Invest money to grow your network
8. Understand b2b sales cycles
9. Sell the outcome not the product
10. Do not become an expert in any one</t>
  </si>
  <si>
    <t xml:space="preserve">Dense 10-point list ('1 year of advice in 52 seconds'). Includes 'organic content amplifies cold outreach', which is literally your thesis.</t>
  </si>
  <si>
    <t xml:space="preserve">'10 things I'd tell a $2M consultancy founder about pipeline' reel with on-screen numbering. Pull lines from your discovery calls.</t>
  </si>
  <si>
    <t xml:space="preserve">A video presenting 27 concise business advice tips for agency professionals, covering niches, pricing strategies, client acquisition, AI integration, and personal branding.</t>
  </si>
  <si>
    <t xml:space="preserve">agency, business advice, pricing strategy, client acquisition, ai integration, personal branding, sales tips, networking</t>
  </si>
  <si>
    <t xml:space="preserve">Client Acquisition</t>
  </si>
  <si>
    <t xml:space="preserve">Marketing Strategy, Content Marketing &amp; Systems</t>
  </si>
  <si>
    <t xml:space="preserve">coltonhavens6</t>
  </si>
  <si>
    <t xml:space="preserve">@coltonhavens6</t>
  </si>
  <si>
    <t xml:space="preserve">https://www.instagram.com/reel/Dbl6NsgSR9R/</t>
  </si>
  <si>
    <t xml:space="preserve">Claude Is Posting 20x A Day For Me</t>
  </si>
  <si>
    <t xml:space="preserve">How To Use ai to get leads. #howtouseaitogetleads.</t>
  </si>
  <si>
    <t xml:space="preserve">Reel: split screen (creator + screen recording)</t>
  </si>
  <si>
    <t xml:space="preserve">Specific number/result in the hook; Proof-first opening; Format: screen recording with talking head</t>
  </si>
  <si>
    <t xml:space="preserve">Keep the result hook mechanic and swap in your own proof. Teach one client acquisition lesson for founders of 10-50 person boutique firms (US/UK/AU). Ship it as a IG reel, then repurpose to LinkedIn.</t>
  </si>
  <si>
    <t xml:space="preserve">A creator explains how he uses AI to automate his social media content generation and lead acquisition.</t>
  </si>
  <si>
    <t xml:space="preserve">Client acquisition (EN); Agency growth; B2B marketing</t>
  </si>
  <si>
    <t xml:space="preserve">Content Marketing &amp; Systems, Freelancing &amp; International Clients, Outbound / Warm Outbound</t>
  </si>
  <si>
    <t xml:space="preserve">Marlow</t>
  </si>
  <si>
    <t xml:space="preserve">@marlowxbt</t>
  </si>
  <si>
    <t xml:space="preserve">2026-05-26</t>
  </si>
  <si>
    <t xml:space="preserve">https://x.com/marlowxbt/status/2059288973101486502</t>
  </si>
  <si>
    <t xml:space="preserve">A 26 year old freelancer in Phoenix sends cold emails to brands every Monday morning. She offers UGC content. Last month she billed $17,000. The month before, $17,000. 9 straight months. Same number. Her TikTok has 412 f</t>
  </si>
  <si>
    <t xml:space="preserve">A 26 year old freelancer in Phoenix sends cold emails to brands every Monday morning. She offers UGC content. Last month she billed $17,000. The month before, $17,000. 9 straight months. Same number. Her TikTok has 412 followers. Her Instagram has 89. She has never gone viral and has never signed with an agent.
Most UGC creators pitch the same thing. TikTok video. Instagram reel. Maybe a YouTube</t>
  </si>
  <si>
    <t xml:space="preserve">Keep the result hook mechanic and swap in your own proof. Teach one marketing strategy lesson for (re-aim at business owners, not aspirants). Ship it as a LinkedIn text/carousel.</t>
  </si>
  <si>
    <t xml:space="preserve">A long-form video tutorial demonstrates a step-by-step process for building AI-generated UGC content, including setting up prompts, using image generation tools, and creating realistic visuals for brand pitches.</t>
  </si>
  <si>
    <t xml:space="preserve">ugc creation, ai tools, prompt engineering, brand pitching, image generation, content strategy, freelancing, tutorial</t>
  </si>
  <si>
    <t xml:space="preserve">cold email outbound that books meetings for consultants</t>
  </si>
  <si>
    <t xml:space="preserve">High-Ticket Sales, Agency Growth, Business Growth &amp; Scale Systems</t>
  </si>
  <si>
    <t xml:space="preserve">Manuel Arrufat</t>
  </si>
  <si>
    <t xml:space="preserve">@manuel-arrufat</t>
  </si>
  <si>
    <t xml:space="preserve">2025-10-20</t>
  </si>
  <si>
    <t xml:space="preserve">https://www.linkedin.com/feed/update/urn:li:activity:7385915021148438528</t>
  </si>
  <si>
    <t xml:space="preserve">I’ve analyzed 100+ Google Ads accounts.</t>
  </si>
  <si>
    <t xml:space="preserve">I’ve analyzed 100+ Google Ads accounts.
99% of “7× ROAS” claims are misleading. Here’s why:
● Brand traffic inflates results.
● PMax hides real query data.
● Agencies report blended ROAS.
● Search terms stay undisclosed.
● Non-brand performance stays invisible.
❌ You think you’re scaling.
✅ You’re just retargeting loyal customers.
Here’s what top 1% advertisers do differently:
1. Separate br</t>
  </si>
  <si>
    <t xml:space="preserve">Small-account breakout: the idea beat the audience size; Proof-first opening</t>
  </si>
  <si>
    <t xml:space="preserve">Client Acquisition, Outbound / Warm Outbound, Consulting / Fractional</t>
  </si>
  <si>
    <t xml:space="preserve">Financial Physics</t>
  </si>
  <si>
    <t xml:space="preserve">@financialphys</t>
  </si>
  <si>
    <t xml:space="preserve">2026-07-22</t>
  </si>
  <si>
    <t xml:space="preserve">https://x.com/FinancialPhys/status/2079933243650982238</t>
  </si>
  <si>
    <t xml:space="preserve">I’m seeing more of this, and being offered these kinds of lead services (we turn them down for this exact reason)</t>
  </si>
  <si>
    <t xml:space="preserve">I’m seeing more of this, and being offered these kinds of lead services (we turn them down for this exact reason)
Get referrals https://t.co/EF20VyyrWw</t>
  </si>
  <si>
    <t xml:space="preserve">Link / Register</t>
  </si>
  <si>
    <t xml:space="preserve">Keep the statement hook mechanic and swap in your own proof. Teach one marketing strategy lesson for founders of 10-50 person boutique firms (US/UK/AU). Ship it as a LinkedIn text/carousel.</t>
  </si>
  <si>
    <t xml:space="preserve">The video features a financial consultant discussing a recent increase in referral lead services they have started rejecting. Text on screen reads: I’m seeing more of this, and being offered these kinds of lead services (we turn them down for this exact reason)</t>
  </si>
  <si>
    <t xml:space="preserve">lead services, referrals, business rejection, service consultation, business advice, marketing</t>
  </si>
  <si>
    <t xml:space="preserve">referrals plateau service business founder stuck at revenue ceiling</t>
  </si>
  <si>
    <t xml:space="preserve">Business Growth &amp; Scale Systems, Client Acquisition</t>
  </si>
  <si>
    <t xml:space="preserve">Scott Bair</t>
  </si>
  <si>
    <t xml:space="preserve">@scott_bair</t>
  </si>
  <si>
    <t xml:space="preserve">2026-04-13</t>
  </si>
  <si>
    <t xml:space="preserve">https://x.com/scott_bair/status/2043596395580670401</t>
  </si>
  <si>
    <t xml:space="preserve">How to Brand Your Company: The Complete Playbook</t>
  </si>
  <si>
    <t xml:space="preserve">Your brand is the single most underleveraged asset in your business.
It's not your logo. It's not your color palette. It's not the font on your website.
Your brand is the total perception people hold in their heads when they hear your company's name.
It's the gut feeling a prospect has before they ever talk to your sales team.
It's the reason one company charges $200K for the same service anot</t>
  </si>
  <si>
    <t xml:space="preserve">How-To / Listicle</t>
  </si>
  <si>
    <t xml:space="preserve">MOFU: Framework / How-To</t>
  </si>
  <si>
    <t xml:space="preserve">news</t>
  </si>
  <si>
    <t xml:space="preserve">neutral</t>
  </si>
  <si>
    <t xml:space="preserve">Scannable, save-worthy steps</t>
  </si>
  <si>
    <t xml:space="preserve">Keep the how-to hook mechanic and swap in your own proof. Teach one marketing strategy lesson for founders of 10-50 person boutique firms (US/UK/AU). Ship it as a LinkedIn text/carousel.</t>
  </si>
  <si>
    <t xml:space="preserve">The post shares a link to an article about Ferrari's new racing simulator technology.</t>
  </si>
  <si>
    <t xml:space="preserve">ferrari, racing simulator, technology, automotive news</t>
  </si>
  <si>
    <t xml:space="preserve">client kaise laaye business grow kaise kare sales marketing agency; cold email outbound that books meetings for consultants</t>
  </si>
  <si>
    <t xml:space="preserve">High-Ticket Sales, Client Acquisition, Content Marketing &amp; Systems</t>
  </si>
  <si>
    <t xml:space="preserve">Paul Foh</t>
  </si>
  <si>
    <t xml:space="preserve">@paulfoh</t>
  </si>
  <si>
    <t xml:space="preserve">https://www.instagram.com/reel/DRbhwTODVM1/</t>
  </si>
  <si>
    <t xml:space="preserve">The agents getting the best deals in Lagos, Abuja, and London aren’t always the best closers.</t>
  </si>
  <si>
    <t xml:space="preserve">The agents getting the best deals in Lagos, Abuja, and London aren’t always the best closers.
They’re the ones who show up online every day with sharp content, clear offers and simple CTAs.
Your problem isn’t laziness.
After viewings, traffic, lawyers, developers and family… your brain is finished.
 You open Instagram or LinkedIn and there are no ideas.
That’s why I built Unlimited Realtor Co</t>
  </si>
  <si>
    <t xml:space="preserve">Video marketing pitch for a real estate agent content toolkit designed to help agents generate leads and close deals through social media and webinars, targeting audiences in Nigeria and the UK.</t>
  </si>
  <si>
    <t xml:space="preserve">real estate, leads, webinar, marketing, social media, content creation, Nigeria, UK</t>
  </si>
  <si>
    <t xml:space="preserve">High-Ticket Sales, Business Growth &amp; Scale Systems, Consulting / Fractional</t>
  </si>
  <si>
    <t xml:space="preserve">Matt Huang</t>
  </si>
  <si>
    <t xml:space="preserve">@matt-huang-103299138</t>
  </si>
  <si>
    <t xml:space="preserve">2025-11-19</t>
  </si>
  <si>
    <t xml:space="preserve">https://www.linkedin.com/feed/update/urn:li:activity:7396917745914781696</t>
  </si>
  <si>
    <t xml:space="preserve">Friday was my last day at Google.</t>
  </si>
  <si>
    <t xml:space="preserve">Friday was my last day at Google.  
This chapter is over.
It’s truly been a wild last few years. 
Back when I left Boston Consulting Group (BCG) to join Google, I had a vague idea what my new role entailed. 
Soon I found out the strategy team I joined worked very closely with marketing.
I had no idea what "GTM strategy" or b2b marketing really meant. But I'm glad to have learned from some of</t>
  </si>
  <si>
    <t xml:space="preserve">Client Acquisition, Agency Growth, Business Growth &amp; Scale Systems</t>
  </si>
  <si>
    <t xml:space="preserve">Kathleen Booth</t>
  </si>
  <si>
    <t xml:space="preserve">@kathleenslatterybooth</t>
  </si>
  <si>
    <t xml:space="preserve">2026-04-08</t>
  </si>
  <si>
    <t xml:space="preserve">https://www.linkedin.com/feed/update/urn:li:activity:7447674013230841856</t>
  </si>
  <si>
    <t xml:space="preserve">I ran a marketing agency for 10+ years before going in-house, and here's something I learned the hard way.</t>
  </si>
  <si>
    <t xml:space="preserve">I ran a marketing agency for 10+ years before going in-house, and here's something I learned the hard way. 
👉 Most marketing campaigns don't fail because of bad targeting. They fail because of what happens after the lead comes in.
Too often, the campaigns themselves work and leads come in, but they sit in a spreadsheet or in a lead list that the team forgets to check. 
By the time sales follow</t>
  </si>
  <si>
    <t xml:space="preserve">Insider credibility (10+ yrs running agency) + reframe: campaigns don't fail at targeting, they fail after the lead arrives. 351x on LinkedIn.</t>
  </si>
  <si>
    <t xml:space="preserve">Your systems angle: 'Most B2B firms don't have a lead problem. They have a follow-up problem.' Show the speed-to-lead and follow-up layer of your system.</t>
  </si>
  <si>
    <t xml:space="preserve">marketing agency business model productized service niche down</t>
  </si>
  <si>
    <t xml:space="preserve">Adam Robinson</t>
  </si>
  <si>
    <t xml:space="preserve">@retentionadam</t>
  </si>
  <si>
    <t xml:space="preserve">2026-01-27</t>
  </si>
  <si>
    <t xml:space="preserve">https://x.com/RetentionAdam/status/2016190513251287229</t>
  </si>
  <si>
    <t xml:space="preserve">How to Launch an AI Company From 0 Today (And Scale to $1M+)</t>
  </si>
  <si>
    <t xml:space="preserve">If I had to start a brand new SaaS or AI company from absolute zero, knowing everything I know from building 3 software companies to over $35M in combined ARR, this is exactly what I would do.
—-
Why Most Founders Fail
Founders fall in love with their idea instead of their customers’ problems.
They build something for 12-18 months before talking to anyone. That’s why 90% of startups don't make</t>
  </si>
  <si>
    <t xml:space="preserve">article</t>
  </si>
  <si>
    <t xml:space="preserve">Small-account breakout: the idea beat the audience size; Specific number/result in the hook; Scannable, save-worthy steps</t>
  </si>
  <si>
    <t xml:space="preserve">Keep the how-to hook mechanic and swap in your own proof. Teach one business growth &amp; scale systems lesson for founders of 10-50 person boutique firms (US/UK/AU). Ship it as a LinkedIn text/carousel.</t>
  </si>
  <si>
    <t xml:space="preserve">2026-06-08</t>
  </si>
  <si>
    <t xml:space="preserve">https://x.com/marlowxbt/status/2064014528401277174</t>
  </si>
  <si>
    <t xml:space="preserve">A 14 year old has closed $20,500 in barbershop website deals over 7 months. Not one owner has ever asked his age.</t>
  </si>
  <si>
    <t xml:space="preserve">A 14 year old has closed $20,500 in barbershop website deals over 7 months. Not one owner has ever asked his age.
He uses one move the rest of the cold-calling internet has not figured out yet. He does not pitch. He screenshares.
The call goes like this. He opens Google Maps. Types "barbershop." Finds one with 4.8 stars and no website. Builds a clean demo site in Lovable in 4 minutes. Then he di</t>
  </si>
  <si>
    <t xml:space="preserve">Keep the result hook mechanic and swap in your own proof. Teach one high-ticket sales lesson for founders of 10-50 person boutique firms (US/UK/AU). Ship it as a LinkedIn text/carousel.</t>
  </si>
  <si>
    <t xml:space="preserve">A video shows a person explaining how to acquire clients by building a website directly for barbershops using Screen Sharing. The method avoids pitching and instead demonstrates a completed demo.</t>
  </si>
  <si>
    <t xml:space="preserve">client acquisition, screen share, barbershop, website building, cold calling, demo, young entrepreneur, google maps</t>
  </si>
  <si>
    <t xml:space="preserve">agency owner lessons scaling to 7 figures clients retention</t>
  </si>
  <si>
    <t xml:space="preserve">jordan._davidson</t>
  </si>
  <si>
    <t xml:space="preserve">@jordan._davidson</t>
  </si>
  <si>
    <t xml:space="preserve">https://www.instagram.com/reel/DblbBF0gJ8g/</t>
  </si>
  <si>
    <t xml:space="preserve">How to handle "I need a day to think about it"</t>
  </si>
  <si>
    <t xml:space="preserve">Comment "JDS" for my FREE 2-hour training breaking down exactly how you can go from $0 to $10k/month...</t>
  </si>
  <si>
    <t xml:space="preserve">Objection / Quote Hook</t>
  </si>
  <si>
    <t xml:space="preserve">Reel: Split-screen video call/Zoom recording.</t>
  </si>
  <si>
    <t xml:space="preserve">Opens on a real objection/quote the buyer recognises; Keyword CTA converts reach into DMs; Format: recorded video call dialogue</t>
  </si>
  <si>
    <t xml:space="preserve">Keep the objection hook mechanic and swap in your own proof. Teach one high-ticket sales lesson for founders of 10-50 person boutique firms (US/UK/AU). Ship it as a IG reel, then repurpose to LinkedIn.</t>
  </si>
  <si>
    <t xml:space="preserve">A two-person video call discussion/coaching session about how to handle prospects who ask for 'a day to think about it' regarding business services.</t>
  </si>
  <si>
    <t xml:space="preserve">Business Coaching</t>
  </si>
  <si>
    <t xml:space="preserve">High ticket sales</t>
  </si>
  <si>
    <t xml:space="preserve">Outbound / Warm Outbound, Client Acquisition, Consulting / Fractional</t>
  </si>
  <si>
    <t xml:space="preserve">Sam Mina | High Ticket Sales Coach</t>
  </si>
  <si>
    <t xml:space="preserve">@samyeoo</t>
  </si>
  <si>
    <t xml:space="preserve">2026-09-24</t>
  </si>
  <si>
    <t xml:space="preserve">https://www.instagram.com/reel/Ddr6DBaRrL7/</t>
  </si>
  <si>
    <t xml:space="preserve">Your CRM isn’t the problem. Your follow up is. 6 texts I actually send to dead prospects, steal all of them. Comment PLAYBOOK for the full objection playbook. #highticketsales #salestips #closer #salescoach #commissionsa</t>
  </si>
  <si>
    <t xml:space="preserve">Your CRM isn’t the problem. Your follow up is. 6 texts I actually send to dead prospects, steal all of them. Comment PLAYBOOK for the full objection playbook. #highticketsales #salestips #closer #salescoach #commissionsales</t>
  </si>
  <si>
    <t xml:space="preserve">High-ticket sales coach Sam Mina shares six follow-up text scripts he uses on unresponsive prospects and explains why each one re-engages them, framing follow-up as making buyers feel "chosen" rather than "chased." He offers a full objection playbook to commenters.</t>
  </si>
  <si>
    <t xml:space="preserve">high ticket sales, follow up, sales texts, objection handling, cold prospects, sales coach, commission sales, pipeline</t>
  </si>
  <si>
    <t xml:space="preserve">Freelancing &amp; International Clients, High-Ticket Sales, Agency Growth</t>
  </si>
  <si>
    <t xml:space="preserve">Ananya Bagri</t>
  </si>
  <si>
    <t xml:space="preserve">@ananyabagri</t>
  </si>
  <si>
    <t xml:space="preserve">2026-03-14</t>
  </si>
  <si>
    <t xml:space="preserve">https://www.instagram.com/reel/DV2q3zoErC3/</t>
  </si>
  <si>
    <t xml:space="preserve">How I went from earning ₹5k to ₹1 Lakh,</t>
  </si>
  <si>
    <t xml:space="preserve">How I went from earning ₹5k to ₹1 Lakh, 
just by these two changes🤑💰
Easiest growth hack ever 🤭🤭🤫
{freelancing, money, branding, quotations, client, design, communication, business, strategy}</t>
  </si>
  <si>
    <t xml:space="preserve">Hinglish income transformation (₹5k to ₹1L) via 2 pricing/quotation changes. Indian IG responds to rupee specificity.</t>
  </si>
  <si>
    <t xml:space="preserve">India cohort reel in Hinglish: 'Indian agency ka ₹3L/month se ₹15L/month: 2 cheezein jo badli'. Aim at owners, not freelancers: use team size and retainer language.</t>
  </si>
  <si>
    <t xml:space="preserve">An influencer shares two specific strategies that dramatically increased her freelance rates from 5,000 to 100,000 rupees per branding project: detailed, itemized quotations and a comprehensive onboarding process. This tutorial-style video explains the practical steps and mindset shifts behind the growth hack.</t>
  </si>
  <si>
    <t xml:space="preserve">freelancing, pricing strategy, branding, client relationships, business growth, onboarding process, quotation breakdown, value perception</t>
  </si>
  <si>
    <t xml:space="preserve">Business Growth &amp; Scale Systems, Freelancing &amp; International Clients, High-Ticket Sales</t>
  </si>
  <si>
    <t xml:space="preserve">2026-04-30</t>
  </si>
  <si>
    <t xml:space="preserve">https://www.instagram.com/reel/DXwmJB0S7TG/</t>
  </si>
  <si>
    <t xml:space="preserve">You can easily earn 1-2 Lakh / Per Month as a designer.</t>
  </si>
  <si>
    <t xml:space="preserve">You can easily earn 1-2 Lakh / Per Month as a designer. 
These websites help you get high ticket clients! 
{freelancing, branding, logo, packaging, marketing, strategy, earn money}
#graphicdesigner #design #branding #packaging #logo</t>
  </si>
  <si>
    <t xml:space="preserve">Keep the result hook mechanic and swap in your own proof. Teach one marketing strategy lesson for Indian B2B service founders (10-50 staff). Ship it as a IG reel, then repurpose to LinkedIn.</t>
  </si>
  <si>
    <t xml:space="preserve">A short video discusses earning potential for designers by freelancing, mentioning how to get high-ticket clients and list some useful websites. The content is mostly in English with some numerals in Indian Rupees format.</t>
  </si>
  <si>
    <t xml:space="preserve">freelancing, earning, clients, branding, design, logo, packaging, marketing</t>
  </si>
  <si>
    <t xml:space="preserve">2026-02-27</t>
  </si>
  <si>
    <t xml:space="preserve">https://x.com/TheMattBerman/status/2027220216409723296</t>
  </si>
  <si>
    <t xml:space="preserve">I run my meta ads with @openclaw for $0/month 😱</t>
  </si>
  <si>
    <t xml:space="preserve">I run my meta ads with @openclaw for $0/month 😱
here's the system that runs autonomously:
step 1: daily health check
→ social-cli (major shoutout to @vishalojha_me) wraps @Meta's marketing API (token refresh, pagination, rate limits all handled)
→ am I on track? what's running? who's winning? who's bleeding? any fatigue?
→ the same 5 questions I asked Ads Manager every morning for 20 years
ste</t>
  </si>
  <si>
    <t xml:space="preserve">A long video tutorial explaining an autonomous system for managing Meta ads, including daily health checks, ad fatigue detection, budget optimization, ad copy generation, and automated ad publishing. The system is offered as a free Meta Ads Kit.</t>
  </si>
  <si>
    <t xml:space="preserve">meta ads, facebook ads, paid acquisition, automation, ad management, budget optimization, ad copy generation, ai advertising</t>
  </si>
  <si>
    <t xml:space="preserve">Marketing Strategy, Outbound / Warm Outbound</t>
  </si>
  <si>
    <t xml:space="preserve">caiden</t>
  </si>
  <si>
    <t xml:space="preserve">@imcaiden</t>
  </si>
  <si>
    <t xml:space="preserve">2026-01-01</t>
  </si>
  <si>
    <t xml:space="preserve">https://x.com/parsedpatterns/status/2006786675741962478</t>
  </si>
  <si>
    <t xml:space="preserve">someone stop me. seriously.</t>
  </si>
  <si>
    <t xml:space="preserve">someone stop me. seriously.
i am going to CLONE your shtty enterprise backend in ONE AFTERNOON.
then i am going to SCRAPE your entire customer list.
then i am going to COLD EMAIL every single one of them offering the same product but BETTER and for like 80% LESS because i built it in a DAY with CLAUDE and MODAFINIL and ZERO VENTURE CAPITAL OVERHEAD.
your entire engineering team? 47 people.
me</t>
  </si>
  <si>
    <t xml:space="preserve">Challenges a belief the ICP holds</t>
  </si>
  <si>
    <t xml:space="preserve">Keep the contrarian hook mechanic and swap in your own proof. Teach one business growth &amp; scale systems lesson for founders of 10-50 person boutique firms (US/UK/AU). Ship it as a LinkedIn text/carousel.</t>
  </si>
  <si>
    <t xml:space="preserve">The image shows a terminal interface screenshot featuring enterprise cybersecurity software documentation with features like AI-powered detection and real-time analysis of phishing emails, though it also shows a text overlay about cloning an enterprise backend for competitive advantage.</t>
  </si>
  <si>
    <t xml:space="preserve">security, terminal, cybersecurity, ai detection, enterprise, system, software, phishing</t>
  </si>
  <si>
    <t xml:space="preserve">High-Ticket Sales, Marketing Strategy, Outbound / Warm Outbound</t>
  </si>
  <si>
    <t xml:space="preserve">Dr. Peter Yu</t>
  </si>
  <si>
    <t xml:space="preserve">@dr.peteryu</t>
  </si>
  <si>
    <t xml:space="preserve">2026-08-30</t>
  </si>
  <si>
    <t xml:space="preserve">https://www.instagram.com/reel/DcriHRDS7Gt/</t>
  </si>
  <si>
    <t xml:space="preserve">Most clinic owners keep their prices low because they think a higher number means fewer patients say yes.</t>
  </si>
  <si>
    <t xml:space="preserve">Most clinic owners keep their prices low because they think a higher number means fewer patients say yes.
What actually happens is you get fewer of the wrong ones. The people who negotiate, no-show, and disappear after three visits are the same people who picked you because you were the cheapest option available.
Charge what the outcome is worth and the people who show up are already sold.
Hey</t>
  </si>
  <si>
    <t xml:space="preserve">Keep the statement hook mechanic and swap in your own proof. Teach one consulting / fractional lesson for founders of 10-50 person boutique firms (US/UK/AU). Ship it as a IG reel, then repurpose to LinkedIn.</t>
  </si>
  <si>
    <t xml:space="preserve">Dr. Peter Yu, founder of Go Getters Coaching, argues that cash-based PT clinic owners should raise prices because cheap pricing attracts patients who negotiate, no-show, and churn. He promotes his coaching program, which installs the MOTION RX clinic operating system, with a DM or bio link call to action.</t>
  </si>
  <si>
    <t xml:space="preserve">pricing, physical therapy, clinic owners, coaching, cash-based practice, consulting offer, positioning, premium pricing</t>
  </si>
  <si>
    <t xml:space="preserve">Business Growth &amp; Scale Systems, Client Acquisition, Marketing Strategy</t>
  </si>
  <si>
    <t xml:space="preserve">Ayrton Sudholz | Business Coach</t>
  </si>
  <si>
    <t xml:space="preserve">@ayrtonsudholz</t>
  </si>
  <si>
    <t xml:space="preserve">2026-06-05</t>
  </si>
  <si>
    <t xml:space="preserve">https://www.instagram.com/reel/DZMEp61IK8J/</t>
  </si>
  <si>
    <t xml:space="preserve">follow @ayrtonsudholz for more Video Agency tips</t>
  </si>
  <si>
    <t xml:space="preserve">follow @ayrtonsudholz for more Video Agency tips
.
.
.
Hi, my name is Ayrton! I teach Video Agency Owners at @videoagencyos how to scale to $30K–$50K+ months by installing predictable client acquisition, authority marketing, and retainer systems into their business.
To date, I’ve helped hundreds of Video Agency Owners generate more predictable revenue, land high-paying retainer clients, build rea</t>
  </si>
  <si>
    <t xml:space="preserve">video</t>
  </si>
  <si>
    <t xml:space="preserve">Keep the statement hook mechanic and swap in your own proof. Teach one agency growth lesson for founders of 10-50 person boutique firms (US/UK/AU). Ship it as a IG reel, then repurpose to LinkedIn.</t>
  </si>
  <si>
    <t xml:space="preserve">High-Ticket Sales, Business Growth &amp; Scale Systems</t>
  </si>
  <si>
    <t xml:space="preserve">Lisa Cole</t>
  </si>
  <si>
    <t xml:space="preserve">@lisacole01</t>
  </si>
  <si>
    <t xml:space="preserve">2026-06-11</t>
  </si>
  <si>
    <t xml:space="preserve">https://www.linkedin.com/feed/update/urn:li:activity:7470938105974362112</t>
  </si>
  <si>
    <t xml:space="preserve">I facilitated a closed-door boardroom session with 28 CMOs at Gartner’s CMO Symposium this week. The topic was AI.</t>
  </si>
  <si>
    <t xml:space="preserve">I facilitated a closed-door boardroom session with 28 CMOs at Gartner’s CMO Symposium this week. The topic was AI. 
But the conversation was not really about AI.
It was about pressure.
Pressure to move faster.
Pressure to prove efficiency.
Pressure to do more with fewer headcount.
Pressure to make AI “real” before the organization has figured out what that actually means.
The biggest themes</t>
  </si>
  <si>
    <t xml:space="preserve">review</t>
  </si>
  <si>
    <t xml:space="preserve">A graphic illustrates a marketing department structure titled 'The AI-First Marketing Org Chart,' showing hierarchical layers for strategy, orchestration/governance, and offshore execution, emphasizing organization redesign over AI tooling for efficiency.</t>
  </si>
  <si>
    <t xml:space="preserve">ai in marketing, marketing org structure, ai adoption, operational efficiency, scaling, budget constraints, workforce anxiety, automation</t>
  </si>
  <si>
    <t xml:space="preserve">agency growth scaling service business revenue; fractional executive CMO consulting business positioning and pricing; marketing agency business model productized service niche down</t>
  </si>
  <si>
    <t xml:space="preserve">Client Acquisition, Outbound / Warm Outbound</t>
  </si>
  <si>
    <t xml:space="preserve">NCI Sales</t>
  </si>
  <si>
    <t xml:space="preserve">@ncisales</t>
  </si>
  <si>
    <t xml:space="preserve">2026-09-12</t>
  </si>
  <si>
    <t xml:space="preserve">https://www.instagram.com/reel/DdL7H1QFDHh/</t>
  </si>
  <si>
    <t xml:space="preserve">Eli Sanchez closed 91 of 101 calls with one pre-call ritual.</t>
  </si>
  <si>
    <t xml:space="preserve">Eli Sanchez closed 91 of 101 calls with one pre-call ritual.
Comment “SALES” and we’ll send you the NCI Sales waitlist.
Sales, persuasion, and human behavior frameworks from Chase Hughes, Eli Wilde, and Eli Sanchez.
Follow @ncisales for more.</t>
  </si>
  <si>
    <t xml:space="preserve">Small-account breakout: the idea beat the audience size; Proof-first opening; Keyword CTA converts reach into DMs</t>
  </si>
  <si>
    <t xml:space="preserve">Keep the result hook mechanic and swap in your own proof. Teach one high-ticket sales lesson for founders of 10-50 person boutique firms (US/UK/AU). Ship it as a IG reel, then repurpose to LinkedIn.</t>
  </si>
  <si>
    <t xml:space="preserve">Sales trainer shares a pre-call priming ritual: before admitting a prospect to a Zoom call, he records himself narrating the call plan aloud — connecting, uncovering the problem, going to negative implication, then presenting. He credits this habit for closing 91 of 101 calls.</t>
  </si>
  <si>
    <t xml:space="preserve">sales, closing, cold calling, pre-call ritual, self-install, priming, zoom sales calls, persuasion</t>
  </si>
  <si>
    <t xml:space="preserve">Client Acquisition, Marketing Strategy</t>
  </si>
  <si>
    <t xml:space="preserve">Tech Sales Guy</t>
  </si>
  <si>
    <t xml:space="preserve">@techsalesguy</t>
  </si>
  <si>
    <t xml:space="preserve">2026-08-27</t>
  </si>
  <si>
    <t xml:space="preserve">https://x.com/TechSalesGuy/status/2092971899659681881</t>
  </si>
  <si>
    <t xml:space="preserve">The best cold call I’ve heard in a while: https://t.co/3Vho0M7nIV</t>
  </si>
  <si>
    <t xml:space="preserve">Keep the statement hook mechanic and swap in your own proof. Teach one outbound / warm outbound lesson for founders of 10-50 person boutique firms (US/UK/AU). Ship it as a LinkedIn text/carousel.</t>
  </si>
  <si>
    <t xml:space="preserve">A video showcasing an example of an effective cold call script and technique, demonstrating successful sales outreach.</t>
  </si>
  <si>
    <t xml:space="preserve">cold calling, sales technique, sales training, sales outreach, sales script, business development, lead generation, sales tips</t>
  </si>
  <si>
    <t xml:space="preserve">High-Ticket Sales, Consulting / Fractional</t>
  </si>
  <si>
    <t xml:space="preserve">Tune, MBA, CISSP</t>
  </si>
  <si>
    <t xml:space="preserve">@cartunenetwerk</t>
  </si>
  <si>
    <t xml:space="preserve">2026-06-06</t>
  </si>
  <si>
    <t xml:space="preserve">https://x.com/CartuneNetwerk/status/2063291410049065307</t>
  </si>
  <si>
    <t xml:space="preserve">Lawyering has the widest gap in quality of any professional service I’ve dealt with. I see why it’s a referral based business</t>
  </si>
  <si>
    <t xml:space="preserve">The post argues that the legal profession has the greatest discrepancy between quality levels of service among professional services, explaining why referrals dominate in this field.</t>
  </si>
  <si>
    <t xml:space="preserve">legal profession, professional service, quality gap, referral business, business commentary</t>
  </si>
  <si>
    <t xml:space="preserve">Client Acquisition, Content Marketing &amp; Systems, Business Growth &amp; Scale Systems</t>
  </si>
  <si>
    <t xml:space="preserve">Jil Theo</t>
  </si>
  <si>
    <t xml:space="preserve">@theo_jil</t>
  </si>
  <si>
    <t xml:space="preserve">2026-04-04</t>
  </si>
  <si>
    <t xml:space="preserve">https://x.com/theo_jil/status/2040494043713425822</t>
  </si>
  <si>
    <t xml:space="preserve">Branding is how people see you.</t>
  </si>
  <si>
    <t xml:space="preserve">Branding is how people see you.
Marketing is how they find you.
Sales is how you get paid.
Master all three.</t>
  </si>
  <si>
    <t xml:space="preserve">Three-line definitional aphorism (branding/marketing/sales). 358x: ultra-short, quotable, repostable.</t>
  </si>
  <si>
    <t xml:space="preserve">Write 3-line aphorisms on your thesis: 'Content earns attention. Outbound earns conversations. Systems earn predictability.' Post as text and as a quote card.</t>
  </si>
  <si>
    <t xml:space="preserve">A concise yet impactful statement summarizing the interconnected roles of branding, marketing, and sales in business success.</t>
  </si>
  <si>
    <t xml:space="preserve">branding, marketing, sales, business strategy, customer journey, company growth, lead generation, client acquisition</t>
  </si>
  <si>
    <t xml:space="preserve">Outbound / Warm Outbound, Agency Growth, Business Growth &amp; Scale Systems</t>
  </si>
  <si>
    <t xml:space="preserve">James Shields</t>
  </si>
  <si>
    <t xml:space="preserve">@scaling_shields</t>
  </si>
  <si>
    <t xml:space="preserve">2026-01-22</t>
  </si>
  <si>
    <t xml:space="preserve">https://x.com/scaling_shields/status/2014306814054244421</t>
  </si>
  <si>
    <t xml:space="preserve">my mates dad ran a recruitment agency for 23 years</t>
  </si>
  <si>
    <t xml:space="preserve">my mates dad ran a recruitment agency for 23 years
sold it for €4.2m
asked him at a bbq how he built it
"james, i never recruited a single person"
"what do you mean"
"i made 600 cold calls a week for 23 years. thats it. found companies who needed staff. found people who needed jobs. connected them. took a cut. no skill involved"
he lit a cigar
"the lads who try to 'build systems' and 'creat</t>
  </si>
  <si>
    <t xml:space="preserve">Cailyn Y.</t>
  </si>
  <si>
    <t xml:space="preserve">@cailynyongyong</t>
  </si>
  <si>
    <t xml:space="preserve">https://x.com/cailynyongyong/status/2043832596304670749</t>
  </si>
  <si>
    <t xml:space="preserve">HOW TO GO VIRAL ON X: complete basics easy mode</t>
  </si>
  <si>
    <t xml:space="preserve">HOW TO GO VIRAL ON X: complete basics easy mode
with first guest as @minmax0501 
00:00 Intro
00:50 @getyourmomo 
01:16 First guest intro
02:16 Warm up account
02:51 Tip 1: tag communities
04:19 Tip 2: tag famous accounts
05:06 Understanding X audience
06:00 Things that didn’t work
06:28 Linkedin vs X
07:14 Tip 3: post everyday
08:20 Do videos work?
09:03 Tip 4: post successes
09:44 Do multiple ch</t>
  </si>
  <si>
    <t xml:space="preserve">Small-account breakout: the idea beat the audience size; Scannable, save-worthy steps</t>
  </si>
  <si>
    <t xml:space="preserve">Keep the how-to hook mechanic and swap in your own proof. Teach one content marketing &amp; systems lesson for founders of 10-50 person boutique firms (US/UK/AU). Ship it as a LinkedIn text/carousel.</t>
  </si>
  <si>
    <t xml:space="preserve">This video provides a complete guide on how to go viral on X (formerly Twitter), offering tips on tagging, understanding the audience, posting frequency, and leveraging viral templates. It also covers strategies for structuring demo videos, creating effective hooks, and writing compelling scripts for social media content.</t>
  </si>
  <si>
    <t xml:space="preserve">x content strategy, going viral, social media tips, audience engagement, content creation, twitter strategy, hooks, scripts</t>
  </si>
  <si>
    <t xml:space="preserve">Marketing Strategy, Client Acquisition</t>
  </si>
  <si>
    <t xml:space="preserve">Om Patel</t>
  </si>
  <si>
    <t xml:space="preserve">@om_patel5</t>
  </si>
  <si>
    <t xml:space="preserve">https://x.com/om_patel5/status/2040295631793635465</t>
  </si>
  <si>
    <t xml:space="preserve">SOMEONE VIBE CODED A TOOL THAT FINDS BUSINESSES, READS THEIR REVIEWS, AND WRITES COLD EMAILS BASED ON THEIR OWN CUSTOMERS' COMPLAINTS</t>
  </si>
  <si>
    <t xml:space="preserve">SOMEONE VIBE CODED A TOOL THAT FINDS BUSINESSES, READS THEIR REVIEWS, AND WRITES COLD EMAILS BASED ON THEIR OWN CUSTOMERS' COMPLAINTS
this is insane. you type in any business type and pick a city. 
it scrapes every matching business off Google Maps with 30+ data fields.
then it visits their actual websites and pulls verified emails, phone numbers, and every social media profile they have
scrap</t>
  </si>
  <si>
    <t xml:space="preserve">Build / Demo Reveal</t>
  </si>
  <si>
    <t xml:space="preserve">Shows the system or tool, not just claims</t>
  </si>
  <si>
    <t xml:space="preserve">Keep the build hook mechanic and swap in your own proof. Teach one outbound / warm outbound lesson for founders of 10-50 person boutique firms (US/UK/AU). Ship it as a LinkedIn text/carousel.</t>
  </si>
  <si>
    <t xml:space="preserve">The video presents a map-based platform and showcases a user interacting with company data, location mapping, and CRM features. The user navigates through map views, zooms into locations, browsing company entries to view details including contact information and reviews.</t>
  </si>
  <si>
    <t xml:space="preserve">business tool, CRM, lead generation, geolocation, cold emailing, data scraping, ai assistant, platform navigation</t>
  </si>
  <si>
    <t xml:space="preserve">Freelancing &amp; International Clients, Marketing Strategy</t>
  </si>
  <si>
    <t xml:space="preserve">anguspoh.bpchiro</t>
  </si>
  <si>
    <t xml:space="preserve">@anguspoh.bpchiro</t>
  </si>
  <si>
    <t xml:space="preserve">https://www.instagram.com/reel/Dcbe_AuOO3L/</t>
  </si>
  <si>
    <t xml:space="preserve">When your Patient Say You are Too Expensive</t>
  </si>
  <si>
    <t xml:space="preserve">You Are Too Expensive!
.
.
.
.
#entrepreneurship #drangus #chiropractor #doctor #physiotherapy</t>
  </si>
  <si>
    <t xml:space="preserve">Reel: talking head</t>
  </si>
  <si>
    <t xml:space="preserve">Small-account breakout: the idea beat the audience size; Opens on a real objection/quote the buyer recognises; Format: on-camera expert advice</t>
  </si>
  <si>
    <t xml:space="preserve">A professional explains a sales strategy to handle client price objections by focusing on value instead of discounts.</t>
  </si>
  <si>
    <t xml:space="preserve">Business and Professional Development</t>
  </si>
  <si>
    <t xml:space="preserve">Client acquisition (EN); High ticket sales</t>
  </si>
  <si>
    <t xml:space="preserve">Client Acquisition, Business Growth &amp; Scale Systems, Freelancing &amp; International Clients</t>
  </si>
  <si>
    <t xml:space="preserve">_owensantos_</t>
  </si>
  <si>
    <t xml:space="preserve">@_owensantos_</t>
  </si>
  <si>
    <t xml:space="preserve">https://www.instagram.com/reel/Ddl5gR1xz9b/</t>
  </si>
  <si>
    <t xml:space="preserve">26M Dollar Closer Vs Kid</t>
  </si>
  <si>
    <t xml:space="preserve">If we haven’t met, I’m Owen Santos. 
I spent 15 years selling &amp; building sales teams. 
We sold over...</t>
  </si>
  <si>
    <t xml:space="preserve">POV / Comparison</t>
  </si>
  <si>
    <t xml:space="preserve">Reel: Split screen (creator providing commentary over external footage).</t>
  </si>
  <si>
    <t xml:space="preserve">Specific number/result in the hook; Contrast format (X vs Y) creates instant tension; Format: An expert provides real-time analysis of a recorded interaction by pausing the footage at </t>
  </si>
  <si>
    <t xml:space="preserve">Keep the pov hook mechanic and swap in your own proof. Teach one high-ticket sales lesson for founders of 10-50 person boutique firms (US/UK/AU). Ship it as a IG reel, then repurpose to LinkedIn.</t>
  </si>
  <si>
    <t xml:space="preserve">A sales expert breaks down and analyzes a cold-calling interaction between a high-ticket closer and a potential lead.</t>
  </si>
  <si>
    <t xml:space="preserve">john_s_hawes</t>
  </si>
  <si>
    <t xml:space="preserve">@john_s_hawes</t>
  </si>
  <si>
    <t xml:space="preserve">https://www.instagram.com/reel/DbOTspij6yZ/</t>
  </si>
  <si>
    <t xml:space="preserve">As a 7-figure bakery owner, I probably shouldn't share this pricing formula...</t>
  </si>
  <si>
    <t xml:space="preserve">Here's the exact pricing formula we use across our bakeries:
Price = ingredient cost ÷ 0.30
That's...</t>
  </si>
  <si>
    <t xml:space="preserve">Insider Secret / Curiosity</t>
  </si>
  <si>
    <t xml:space="preserve">Save/Share ask</t>
  </si>
  <si>
    <t xml:space="preserve">Reel: Static background b-roll with text overlay</t>
  </si>
  <si>
    <t xml:space="preserve">Small-account breakout: the idea beat the audience size; Curiosity gap / insider framing; Format: b-roll with text overlay</t>
  </si>
  <si>
    <t xml:space="preserve">Keep the insider secret hook mechanic and swap in your own proof. Teach one high-ticket sales lesson for founders of 10-50 person boutique firms (US/UK/AU). Ship it as a IG reel, then repurpose to LinkedIn.</t>
  </si>
  <si>
    <t xml:space="preserve">A 7-figure business owner hints at a secret pricing formula while filming a static b-roll shot of a bakery kitchen.</t>
  </si>
  <si>
    <t xml:space="preserve">Business</t>
  </si>
  <si>
    <t xml:space="preserve">Client acquisition (EN)</t>
  </si>
  <si>
    <t xml:space="preserve">Business Growth &amp; Scale Systems, Marketing Strategy</t>
  </si>
  <si>
    <t xml:space="preserve">thevibebusiness</t>
  </si>
  <si>
    <t xml:space="preserve">@thevibebusiness</t>
  </si>
  <si>
    <t xml:space="preserve">https://www.instagram.com/reel/DclVkO-ym1J/</t>
  </si>
  <si>
    <t xml:space="preserve">A 29 Years old trier 3 city guy doing 20lakhs a month!!</t>
  </si>
  <si>
    <t xml:space="preserve">You can do it too</t>
  </si>
  <si>
    <t xml:space="preserve">Reel: single-shot talking head</t>
  </si>
  <si>
    <t xml:space="preserve">Small-account breakout: the idea beat the audience size; Proof-first opening; Format: talking head with overlay proof</t>
  </si>
  <si>
    <t xml:space="preserve">Keep the result hook mechanic and swap in your own proof. Teach one freelancing &amp; international clients lesson for Indian B2B service founders (10-50 staff). Ship it as a IG reel, then repurpose to LinkedIn.</t>
  </si>
  <si>
    <t xml:space="preserve">A successful freelancer explains how he earns a high income on Upwork and offers a guide to viewers.</t>
  </si>
  <si>
    <t xml:space="preserve">Marketing Strategy, Consulting / Fractional</t>
  </si>
  <si>
    <t xml:space="preserve">nicksayala</t>
  </si>
  <si>
    <t xml:space="preserve">@nicksayala</t>
  </si>
  <si>
    <t xml:space="preserve">https://www.instagram.com/reel/DbpURTwRL_W/</t>
  </si>
  <si>
    <t xml:space="preserve">when somebody low balls you never defend your price here's what to say instead</t>
  </si>
  <si>
    <t xml:space="preserve">@nickjayala is giving free access to The Come Up — a weekly room that finds and fixes what's slowing...</t>
  </si>
  <si>
    <t xml:space="preserve">Reel: Talking head, caption-driven</t>
  </si>
  <si>
    <t xml:space="preserve">Small-account breakout: the idea beat the audience size; Challenges a belief the ICP holds; Format: spoken advice with text overlay</t>
  </si>
  <si>
    <t xml:space="preserve">Keep the contrarian hook mechanic and swap in your own proof. Teach one high-ticket sales lesson for founders of 10-50 person boutique firms (US/UK/AU). Ship it as a IG reel, then repurpose to LinkedIn.</t>
  </si>
  <si>
    <t xml:space="preserve">A sales coach provides actionable advice on how to respond when a client offers a low price.</t>
  </si>
  <si>
    <t xml:space="preserve">biz_rahulgupta</t>
  </si>
  <si>
    <t xml:space="preserve">@biz_rahulgupta</t>
  </si>
  <si>
    <t xml:space="preserve">https://www.instagram.com/reel/DbYHkLmtIBv/</t>
  </si>
  <si>
    <t xml:space="preserve">Foreign Buyers in Noida? Meet them for FREE</t>
  </si>
  <si>
    <t xml:space="preserve">Export ka sabse sasta जुगाड़! 💼
500+ Foreign Buyers are coming to Greater Noida, not you going to D...</t>
  </si>
  <si>
    <t xml:space="preserve">Small-account breakout: the idea beat the audience size; Format: talking head with key points text</t>
  </si>
  <si>
    <t xml:space="preserve">Keep the statement hook mechanic and swap in your own proof. Teach one freelancing &amp; international clients lesson for Indian B2B service founders (10-50 staff). Ship it as a IG reel, then repurpose to LinkedIn.</t>
  </si>
  <si>
    <t xml:space="preserve">A business expert explains why Indian exporters should utilize local trade shows to find international buyers instead of traveling abroad.</t>
  </si>
  <si>
    <t xml:space="preserve">Business growth (India/Hindi)</t>
  </si>
  <si>
    <t xml:space="preserve">Jonny Miller</t>
  </si>
  <si>
    <t xml:space="preserve">@jonnym1ller</t>
  </si>
  <si>
    <t xml:space="preserve">2026-09-07</t>
  </si>
  <si>
    <t xml:space="preserve">https://x.com/jonnym1ller/status/2096786649149825058</t>
  </si>
  <si>
    <t xml:space="preserve">This is a banger benchmark prompt to ask Astra/Fable: “based on everything you know about me, if I had 10x the agency, what would I ask you”</t>
  </si>
  <si>
    <t xml:space="preserve">Specific number/result in the hook; First-person or observed story: narrative pull</t>
  </si>
  <si>
    <t xml:space="preserve">Keep the story hook mechanic and swap in your own proof. Teach one agency growth lesson for founders of 10-50 person boutique firms (US/UK/AU). Ship it as a LinkedIn text/carousel.</t>
  </si>
  <si>
    <t xml:space="preserve">A text post discussing a strategic prompt for scaling an agency tenfold, focusing on leveraging existing knowledge to identify key priorities for growth and optimization.</t>
  </si>
  <si>
    <t xml:space="preserve">agency growth, scaling business, benchmark prompt, strategic planning, business advice, agency scaling, prompt engineering, business strategy</t>
  </si>
  <si>
    <t xml:space="preserve">Agency Growth, High-Ticket Sales, Freelancing &amp; International Clients</t>
  </si>
  <si>
    <t xml:space="preserve">Alton Syn</t>
  </si>
  <si>
    <t xml:space="preserve">@workflowwhisper</t>
  </si>
  <si>
    <t xml:space="preserve">2026-01-17</t>
  </si>
  <si>
    <t xml:space="preserve">https://x.com/WorkflowWhisper/status/2012590119929172319</t>
  </si>
  <si>
    <t xml:space="preserve">The n8n Gap Just Closed. Here's What $600K/Month Taught Me About the New Automation Economy.</t>
  </si>
  <si>
    <t xml:space="preserve">I've been building n8n automations for 4 years. Started as a solo freelancer charging $500 per workflow, scaled to a 12-person agency doing $280K/month, then watched everything change in 2025 and rebuilt the entire operation from scratch.
Now I run a $600K/month automation agency (did $753K in November but has averaged out to just over $600K) with 7 employees. Our entire backend is Claude and Cur</t>
  </si>
  <si>
    <t xml:space="preserve">A productivity expert shares his checklist for conducting effective weekly reviews to improve focus and track progress, emphasizing reflection on accomplishments and planning for the next week.</t>
  </si>
  <si>
    <t xml:space="preserve">weekly review, productivity system, checklist, time management, focus, progress tracking, planning, routine</t>
  </si>
  <si>
    <t xml:space="preserve">Client Acquisition, Content Marketing &amp; Systems</t>
  </si>
  <si>
    <t xml:space="preserve">https://www.instagram.com/reel/Db_hVF_P5lF/</t>
  </si>
  <si>
    <t xml:space="preserve">What if Claude just does it for you? #claude #makreting #leads</t>
  </si>
  <si>
    <t xml:space="preserve">Specific number/result in the hook; Proof-first opening; Format: screen-recording software walkthrough</t>
  </si>
  <si>
    <t xml:space="preserve">Keep the result hook mechanic and swap in your own proof. Teach one marketing strategy lesson for founders of 10-50 person boutique firms (US/UK/AU). Ship it as a IG reel, then repurpose to LinkedIn.</t>
  </si>
  <si>
    <t xml:space="preserve">The creator demonstrates a workflow for automating daily social media posting using AI and CRM software to drive business leads.</t>
  </si>
  <si>
    <t xml:space="preserve">2026-09-08</t>
  </si>
  <si>
    <t xml:space="preserve">https://x.com/theroborourke/status/2097222027950125427</t>
  </si>
  <si>
    <t xml:space="preserve">Yesterday this question was asked by @drapzdesigns...</t>
  </si>
  <si>
    <t xml:space="preserve">Yesterday this question was asked by @drapzdesigns...
How you get from $3-4k branding projects to 10k+ projects
From helping a bunch of agency owners and freelancers do this, here are my own thoughts.
At a certain stage your skills are going to be pretty much good enough. If you are already charging $3,000, $4,000, $5,000 or whatnot, you already have very good skills that can solve a lot of pro</t>
  </si>
  <si>
    <t xml:space="preserve">A text post by Rob O'Rourke offers advice on scaling from $3-4k to $10k+ branding projects. He argues that beyond a certain skill level, the key to higher earnings lies in targeting larger businesses with bigger problems, where branding work can have significant impact, and in effective sales strategies like sales funnels to reach these clients.</t>
  </si>
  <si>
    <t xml:space="preserve">branding, pricing strategy, client selection, sales funnels, business growth, freelancing, agency, value proposition</t>
  </si>
  <si>
    <t xml:space="preserve">Agency Growth, Consulting / Fractional, Client Acquisition</t>
  </si>
  <si>
    <t xml:space="preserve">2026-10-12</t>
  </si>
  <si>
    <t xml:space="preserve">https://x.com/MichLieben/status/2109690075546329232</t>
  </si>
  <si>
    <t xml:space="preserve">How to Get Your First 10 B2B Clients From Zero (FULL COURSE)</t>
  </si>
  <si>
    <t xml:space="preserve">I grew my cold outbound agency to $7M ARR and ran outbound for 300+ B2B companies.
The first clients came from these same 4 steps, and step 1 only costs your time.
It works for agencies, consultants, freelancers, coaches, fractional executives and SaaS founders who sell to other businesses.
This is the full process for turning free content into people you can message and book on a call.
The 4</t>
  </si>
  <si>
    <t xml:space="preserve">Explicit ICP list ('agencies, consultants, fractional executives') + credibility ($7M ARR outbound agency) + 4 steps where step 1 is free.</t>
  </si>
  <si>
    <t xml:space="preserve">Steal the structure verbatim for your pillar post: 'The first 10 clients for a boutique firm come from these 4 steps'. Name your ICP in line 3.</t>
  </si>
  <si>
    <t xml:space="preserve">Dark-themed infographic laying out a five-step client-acquisition roadmap — get seen, one landing page, catch visitors, reach out, repeat — for a cold-outbound agency that grew to $7M ARR. The caption details the same process of converting free content into booked sales calls.</t>
  </si>
  <si>
    <t xml:space="preserve">cold outbound, agency growth, client acquisition, linkedin marketing, b2b, lead magnet, vsl, content marketing</t>
  </si>
  <si>
    <t xml:space="preserve">2026-09-18</t>
  </si>
  <si>
    <t xml:space="preserve">https://www.instagram.com/reel/DdcS_4aiYdH/</t>
  </si>
  <si>
    <t xml:space="preserve">The best marketing money can't buy is a client who wins.</t>
  </si>
  <si>
    <t xml:space="preserve">The best marketing money can't buy is a client who wins.
Help someone get a real result and they don't just stick around. They talk.
That's when everything shifts. Referrals start showing up. Trust is built before you ever say a word.
Most agency owners are chasing views and reach. The real game is building something that works so well it markets itself.
Put the result first. The growth takes</t>
  </si>
  <si>
    <t xml:space="preserve">Keep the story hook mechanic and swap in your own proof. Teach one agency growth lesson for founders of 10-50 person boutique firms (US/UK/AU). Ship it as a IG reel, then repurpose to LinkedIn.</t>
  </si>
  <si>
    <t xml:space="preserve">The video features two men in a modern indoor setting discussing client success as a powerful marketing strategy. The message emphasizes that delivering real results for clients leads to organic referrals and trust, which ultimately drives agency growth.</t>
  </si>
  <si>
    <t xml:space="preserve">client success, organic marketing, agency growth, referrals, trust building, results-driven, network effect, client retention</t>
  </si>
  <si>
    <t xml:space="preserve">High-Ticket Sales, Business Growth &amp; Scale Systems, Freelancing &amp; International Clients</t>
  </si>
  <si>
    <t xml:space="preserve">Ian Wong</t>
  </si>
  <si>
    <t xml:space="preserve">@ianwong_</t>
  </si>
  <si>
    <t xml:space="preserve">2026-08-20</t>
  </si>
  <si>
    <t xml:space="preserve">https://x.com/ianwong_/status/2090454226011091033</t>
  </si>
  <si>
    <t xml:space="preserve">Build, then Buy</t>
  </si>
  <si>
    <t xml:space="preserve">A new VP of Sales had joined Opendoor, and — unbeknownst to me — he asked our Customer Experience engineering team to demo Salesforce.
I happened to be in the meeting room next door when the demo happened. Our office had thin walls. I overheard the meeting and walked out hot. Why would we pay hundreds of thousands of dollars for that bloated thing? We had some of the best engineers in the world,</t>
  </si>
  <si>
    <t xml:space="preserve">The image shows three electronic components against a red background: a small circuit board with handwritten schematic notations, a more complex printed circuit board with a central chip, and a compact enclosed device with a USB port, connected by arrows to suggest progression or relationship.</t>
  </si>
  <si>
    <t xml:space="preserve">circuit board, electronics, hardware, schematic, component, PCB, USB, electronics design</t>
  </si>
  <si>
    <t xml:space="preserve">Business Growth &amp; Scale Systems, Marketing Strategy, Outbound / Warm Outbound</t>
  </si>
  <si>
    <t xml:space="preserve">2025-11-27</t>
  </si>
  <si>
    <t xml:space="preserve">https://x.com/ecomchigga/status/1994132401853722732</t>
  </si>
  <si>
    <t xml:space="preserve">The exact playbook I used to go from $0 to $50K/month at 18 (steal this):</t>
  </si>
  <si>
    <t xml:space="preserve">The exact playbook I used to go from $0 to $50K/month at 18 (steal this):
Nobody's teaching this because they're too busy selling you mindset BS. Here's what actually works:
THE FOUNDATION NOBODY TALKS ABOUT
Your first 1000 followers determine everything. Not because of the number, but because of WHO they are. I spent 2 months manually DMing people who bought from competitors. Asked what they wis</t>
  </si>
  <si>
    <t xml:space="preserve">carousel</t>
  </si>
  <si>
    <t xml:space="preserve">Keep the how-to hook mechanic and swap in your own proof. Teach one high-ticket sales lesson for (re-aim at business owners, not aspirants). Ship it as a LinkedIn text/carousel.</t>
  </si>
  <si>
    <t xml:space="preserve">This carousel story details an entrepreneur's $0 to $50K/month playbook: building targeted audiences, content multiplication, pricing psychology, DM scripts, email sequences, product creation from customer questions, cross-platform traffic, conversion metrics, high-ticket upsells, compound schedule, automation stack, failure recovery, and scaling truths.</t>
  </si>
  <si>
    <t xml:space="preserve">entrepreneurship, startup growth, business strategy, monetization, social media marketing, email marketing, content strategy, pricing psychology</t>
  </si>
  <si>
    <t xml:space="preserve">Business Growth &amp; Scale Systems, Marketing Strategy, Client Acquisition</t>
  </si>
  <si>
    <t xml:space="preserve">Frederick Potticary</t>
  </si>
  <si>
    <t xml:space="preserve">@freddiexpott</t>
  </si>
  <si>
    <t xml:space="preserve">2026-10-10</t>
  </si>
  <si>
    <t xml:space="preserve">https://x.com/freddiexpott/status/2108739030569361744</t>
  </si>
  <si>
    <t xml:space="preserve">Met a guy making $100k every 14 days referring companies to AI data labs</t>
  </si>
  <si>
    <t xml:space="preserve">Met a guy making $100k every 14 days referring companies to AI data labs
no agency, no retainer, and no product.
Here's the actual model
He finds 3 AI data labs on LinkedIn and pitches to work with them on a pure referral basis
He refers each lab 10 qualified calls a month, that's 30 calls total across all three
Each lab is paying $35k to $60k per signed referral
Out of 30 calls, 8 companies</t>
  </si>
  <si>
    <t xml:space="preserve">Keep the story hook mechanic and swap in your own proof. Teach one outbound / warm outbound lesson for founders of 10-50 person boutique firms (US/UK/AU). Ship it as a LinkedIn text/carousel.</t>
  </si>
  <si>
    <t xml:space="preserve">Screenshot of a dark-themed messaging thread where a sender pitches a "data selling play," claiming $50k per closed company intro and offering to connect whales and lead-gen contacts; the recipient replies that they're already running outbound for it. Caption describes a referral model earning $100k every 14 days by sending companies to AI data labs.</t>
  </si>
  <si>
    <t xml:space="preserve">referral model, ai data labs, dm screenshot, linkedin outbound, lead gen, cold outreach, b2b sales, high ticket</t>
  </si>
  <si>
    <t xml:space="preserve">Outbound / Warm Outbound, Content Marketing &amp; Systems, Client Acquisition</t>
  </si>
  <si>
    <t xml:space="preserve">Daniel Fazio</t>
  </si>
  <si>
    <t xml:space="preserve">@danielfazio</t>
  </si>
  <si>
    <t xml:space="preserve">2026-08-26</t>
  </si>
  <si>
    <t xml:space="preserve">https://x.com/danielfazio/status/2092685995686666242</t>
  </si>
  <si>
    <t xml:space="preserve">There’s only 3 ways to get clients.</t>
  </si>
  <si>
    <t xml:space="preserve">There’s only 3 ways to get clients.
1. Organic/Audience
2. Ads
3. Outreach
That’s it. Nothing else.
If you don’t have an audience, and you can’t afford to spend $2,000 on ads to acquire a client, your only option is cold outreach</t>
  </si>
  <si>
    <t xml:space="preserve">A concise post stating the three primary methods to acquire clients: organic/audience growth, paid ads, and outreach. It emphasizes cold outreach as the viable option for those without an existing audience or ad budget.</t>
  </si>
  <si>
    <t xml:space="preserve">client acquisition, organic growth, paid ads, cold outreach, business strategy, consulting, marketing channels, business advice</t>
  </si>
  <si>
    <t xml:space="preserve">Consulting / Fractional, Agency Growth, High-Ticket Sales</t>
  </si>
  <si>
    <t xml:space="preserve">Connor Abene</t>
  </si>
  <si>
    <t xml:space="preserve">@connorabene</t>
  </si>
  <si>
    <t xml:space="preserve">2026-09-19</t>
  </si>
  <si>
    <t xml:space="preserve">https://x.com/ConnorAbene/status/2101380828399882659</t>
  </si>
  <si>
    <t xml:space="preserve">If I had to start a fractional CFO firm from scratch tomorrow, here's the playbook I'd follow:</t>
  </si>
  <si>
    <t xml:space="preserve">If I had to start a fractional CFO firm from scratch tomorrow, here's the playbook I'd follow:
1. Pick a revenue band like $1M-5M businesses
2. Pick a specific industry
3. Define 3 recurring outcomes you deliver
4. Package it into one monthly retainer
5. Price it at $3k-$5k a month
Get to 10 clients and you're at $360k to $600k in ARR.</t>
  </si>
  <si>
    <t xml:space="preserve">'If I had to start X from scratch' playbook with precise numbers (revenue band, $3-5k retainer, 10 clients). Fractional-exec audience.</t>
  </si>
  <si>
    <t xml:space="preserve">'If I were a fractional CMO starting today, here is my 90-day pipeline plan' (niche, offer, 20 warm conversations/week, 1 proof post/week). Shows depth in your secondary ICP.</t>
  </si>
  <si>
    <t xml:space="preserve">Connor Abene shares a five-step playbook for launching a fractional CFO firm, from choosing a revenue band and industry to packaging recurring outcomes into a $3k–$5k monthly retainer to reach $360k–$600k ARR with 10 clients.</t>
  </si>
  <si>
    <t xml:space="preserve">fractional cfo, consulting, playbook, retainer, pricing, niche, arr, revenue band</t>
  </si>
  <si>
    <t xml:space="preserve">2026-03-03</t>
  </si>
  <si>
    <t xml:space="preserve">https://www.linkedin.com/feed/update/urn:li:activity:7434606028261892096</t>
  </si>
  <si>
    <t xml:space="preserve">I've acquired &amp; sold 7 agencies.</t>
  </si>
  <si>
    <t xml:space="preserve">I've acquired &amp; sold 7 agencies.
1 dashboard runs all of them:
Get my 2026 templated version free today.
This is the same dashboard we install inside agencies to give founders visibility into:
- Margin
- Client retention
- Utilization
- Forecasting
- Revenue per employee
- CAC and payback
- MRR movement
- Team load vs. delivery capacity
If you're an agency owner doing $100K+ per month and you</t>
  </si>
  <si>
    <t xml:space="preserve">Small-account breakout: the idea beat the audience size; First-person or observed story: narrative pull; High comment-to-like ratio: debate driver</t>
  </si>
  <si>
    <t xml:space="preserve">Wifi Money Plant</t>
  </si>
  <si>
    <t xml:space="preserve">@wifimoneyplant</t>
  </si>
  <si>
    <t xml:space="preserve">2025-10-26</t>
  </si>
  <si>
    <t xml:space="preserve">https://x.com/WifiMoneyPlant/status/1982521712475316314</t>
  </si>
  <si>
    <t xml:space="preserve">Just met with a founder</t>
  </si>
  <si>
    <t xml:space="preserve">Just met with a founder
They make $30m/year
Selling 1 info product
$500 ticket price
Zero sales calls
97% margins
1 employee
WTF.</t>
  </si>
  <si>
    <t xml:space="preserve">Keep the story hook mechanic and swap in your own proof. Teach one high-ticket sales lesson for (re-aim at business owners, not aspirants). Ship it as a LinkedIn text/carousel.</t>
  </si>
  <si>
    <t xml:space="preserve">A founder making $30M/year selling a single $500 info product with 97% margins, zero sales calls, and only one employee.</t>
  </si>
  <si>
    <t xml:space="preserve">info product, high margins, zero sales calls, small team, scaling, founder story, income report, digital product</t>
  </si>
  <si>
    <t xml:space="preserve">Content Marketing &amp; Systems, Business Growth &amp; Scale Systems</t>
  </si>
  <si>
    <t xml:space="preserve">James Ebringer</t>
  </si>
  <si>
    <t xml:space="preserve">@jamesebringer</t>
  </si>
  <si>
    <t xml:space="preserve">2025-11-26</t>
  </si>
  <si>
    <t xml:space="preserve">https://x.com/JamesEbringer/status/1993780615901003863</t>
  </si>
  <si>
    <t xml:space="preserve">There's a guy making €380k/yr cloning successful English offers, translating them, and selling them in Germany with zero competition</t>
  </si>
  <si>
    <t xml:space="preserve">There's a guy making €380k/yr cloning successful English offers, translating them, and selling them in Germany with zero competition
He doesn't create products
He doesn't build audiences
He just finds what's already working in English and copies it to markets where it doesn't exist yet
And it's printing
Here's how it works:
Step 1: Find proven English offers doing $50k+/month
Trading course</t>
  </si>
  <si>
    <t xml:space="preserve">A user shares a case study of a businessman earning €380k/year by cloning successful English digital offers, translating them into German/French/Spanish, and selling in untapped non-English markets. The process involves reverse-engineering proven English offers, translating with native speakers, launching identical systems in new languages, and using faceless content to drive traffic.</t>
  </si>
  <si>
    <t xml:space="preserve">translation arbitrage, market cloning, digital offers, german market, faceless content, eyeballs method, copying successful offers, non english markets</t>
  </si>
  <si>
    <t xml:space="preserve">how to get international clients as Indian freelancer or agency</t>
  </si>
  <si>
    <t xml:space="preserve">Marketing Strategy, Content Marketing &amp; Systems, Business Growth &amp; Scale Systems</t>
  </si>
  <si>
    <t xml:space="preserve">spidey</t>
  </si>
  <si>
    <t xml:space="preserve">@lochan_twt</t>
  </si>
  <si>
    <t xml:space="preserve">2026-09-21</t>
  </si>
  <si>
    <t xml:space="preserve">https://x.com/lochan_twt/status/2101990918002012357</t>
  </si>
  <si>
    <t xml:space="preserve">how to ACTUALLY get a j*b (no bs)</t>
  </si>
  <si>
    <t xml:space="preserve">most people who are really good engineers dont realize that being good =! getting hired. as some guy said, "a focused fool will accomplish more than a distracted genius". you can literally be good at what you do and still get ignored if your application looks exaclty like other 500 people applying for the same job. In big 26 being skilled is still the baseline but knowing how to make people notice</t>
  </si>
  <si>
    <t xml:space="preserve">Keep the how-to hook mechanic and swap in your own proof. Teach one outbound / warm outbound lesson for (re-aim at business owners, not aspirants). Ship it as a LinkedIn text/carousel.</t>
  </si>
  <si>
    <t xml:space="preserve">Long text thread giving job-search advice to engineers: it argues technical skill isn't enough, and outlines tactics like tracking target companies, cold emailing, targeted applications, referrals and publicly showcasing work. The attached image shows a figure pointing at an "Employment / Job Application" form.</t>
  </si>
  <si>
    <t xml:space="preserve">job search, job applications, cold email, referrals, networking, career advice, tech careers, personal branding</t>
  </si>
  <si>
    <t xml:space="preserve">referrals plateau service business founder stuck at revenue ceiling; cold email outbound that books meetings for consultants</t>
  </si>
  <si>
    <t xml:space="preserve">Marketing Strategy, Client Acquisition, Agency Growth</t>
  </si>
  <si>
    <t xml:space="preserve">2025-11-16</t>
  </si>
  <si>
    <t xml:space="preserve">https://x.com/ecomchigga/status/1990191674086039953</t>
  </si>
  <si>
    <t xml:space="preserve">I made &gt;$600k profits this year at 18</t>
  </si>
  <si>
    <t xml:space="preserve">I made &gt;$600k profits this year at 18
selling digital products.
Here’s how I scaled to $6K/day consistently:
1.Create a fresh Twitter/X account (takes 5 seconds).
2.Add a clean PFP + banner using Midjourney or Leonardo (2 minutes).
3.Write a 160-character bio that shows niche + authority (30 seconds).
4.Add a Notion or Typeform link to capture every lead (1 minute).
5. Pin a post offering a free</t>
  </si>
  <si>
    <t xml:space="preserve">Small-account breakout: the idea beat the audience size; Specific number/result in the hook; Shows the system or tool, not just claims; High comment-to-like ratio: debate driver</t>
  </si>
  <si>
    <t xml:space="preserve">Keep the build hook mechanic and swap in your own proof. Teach one business growth &amp; scale systems lesson for (re-aim at business owners, not aspirants). Ship it as a LinkedIn text/carousel.</t>
  </si>
  <si>
    <t xml:space="preserve">A sleek gray Audi R8 sports car is parked on a paved street, reflecting the surrounding environment. The scene shows green trees, bushes, and a building partially visible behind the foliage with streetlights along the sidewalk.</t>
  </si>
  <si>
    <t xml:space="preserve">audi r8, sports car, car exterior, glossy finish, paved street, green trees, sidewalk, streetlights</t>
  </si>
  <si>
    <t xml:space="preserve">Content Marketing &amp; Systems, Client Acquisition, Business Growth &amp; Scale Systems</t>
  </si>
  <si>
    <t xml:space="preserve">paolo trivellato</t>
  </si>
  <si>
    <t xml:space="preserve">@paolo_scales</t>
  </si>
  <si>
    <t xml:space="preserve">https://x.com/paolo_scales/status/2012583400318574774</t>
  </si>
  <si>
    <t xml:space="preserve">LinkedIn is a $100k/mo goldmine and 99% of people are doing it wrong</t>
  </si>
  <si>
    <t xml:space="preserve">LinkedIn is a $100k/mo goldmine and 99% of people are doing it wrong  
Everyone's posting motivational quotes and asking for engagement   
Meanwhile there's a handful of guys quietly printing $100-300k/month selling to desperate execs  
AI SaaS, tax consultants, LLM SEO agencies - doesn't matter  
They're all using the same inbound funnel that converts 8-12% of commenters into booked calls
 He</t>
  </si>
  <si>
    <t xml:space="preserve">Specific number/result in the hook; Challenges a belief the ICP holds</t>
  </si>
  <si>
    <t xml:space="preserve">Keep the contrarian hook mechanic and swap in your own proof. Teach one marketing strategy lesson for founders of 10-50 person boutique firms (US/UK/AU). Ship it as a LinkedIn text/carousel.</t>
  </si>
  <si>
    <t xml:space="preserve">A LinkedIn income blueprint claims to generate $60k+/mo using an inbound funnel: craft a profile as storefront, post 5-7x/week with structured posts (hook, insight, CTA), offer valuable lead magnets to commenters, and convert via pre-sold email sequence and Calendly calls.</t>
  </si>
  <si>
    <t xml:space="preserve">linkedin funnel, lead magnet, content system, organic growth, saas sales, booked calls, profile optimization, inbound marketing</t>
  </si>
  <si>
    <t xml:space="preserve">Content Marketing &amp; Systems, Freelancing &amp; International Clients, Client Acquisition</t>
  </si>
  <si>
    <t xml:space="preserve">Jason Fox</t>
  </si>
  <si>
    <t xml:space="preserve">@jasoncfox</t>
  </si>
  <si>
    <t xml:space="preserve">2025-12-29</t>
  </si>
  <si>
    <t xml:space="preserve">https://x.com/jasoncfox/status/2005610481969504723</t>
  </si>
  <si>
    <t xml:space="preserve">I got cold DM'd by this guy</t>
  </si>
  <si>
    <t xml:space="preserve">I got cold DM'd by this guy
 No B.S, actually researched me and my content
 I didn't respond, he followed up with out entitlement, even sent a video covering some quick tweaks I could make
 I replied wanting more info, didn't think much of it
 This guy is up at 2:45am in Australia filming me loom videos and writing scripts for FREE
 This is the type of work ethic and hustle that will get</t>
  </si>
  <si>
    <t xml:space="preserve">A verification screen from DocuSign showing a completed contract for 'Agency - SERVICES AGREEMENT' sent to Jason, visually representing an instance of being approached by a proactive freelancer who demonstrated effort and belief in their service through unsolicited free work.</t>
  </si>
  <si>
    <t xml:space="preserve">cold dm, hustle, work ethic, client acquisition, freelance, service demonstration, entitlement, free work</t>
  </si>
  <si>
    <t xml:space="preserve">Content Marketing &amp; Systems, Business Growth &amp; Scale Systems, Client Acquisition</t>
  </si>
  <si>
    <t xml:space="preserve">Benjamin Chan</t>
  </si>
  <si>
    <t xml:space="preserve">@itsmebenchan</t>
  </si>
  <si>
    <t xml:space="preserve">2026-09-04</t>
  </si>
  <si>
    <t xml:space="preserve">https://x.com/ItsMeBenChan/status/2095894359766118712</t>
  </si>
  <si>
    <t xml:space="preserve">The Ultimate Twitter Playbook (2026 Edition)</t>
  </si>
  <si>
    <t xml:space="preserve">When you’ve finished reading this article, you’ll know exactly how to build a Twitter funnel that’ll book you 20-30 calls/month and become “the guy” in your niche.
Over the last 3 years I’ve:
Worked with 250+ entrepreneurs, founders, executives, and professionals at their crafts to scale their brands on X.
Written over 3,000+ posts across myself and clients and generated over 60,000,000+ impres</t>
  </si>
  <si>
    <t xml:space="preserve">Proof-first opening</t>
  </si>
  <si>
    <t xml:space="preserve">A minimalist graphic illustrates a step-by-step Twitter funnel system for building authority and generating leads. The visual uses numbered platforms to represent the sequential process outlined in the accompanying article.</t>
  </si>
  <si>
    <t xml:space="preserve">twitter funnel, personal branding, content strategy, profile optimization, brand positioning, content pillars, lead generation, social media marketing</t>
  </si>
  <si>
    <t xml:space="preserve">contrarian take on marketing and sales advice for small B2B companies</t>
  </si>
  <si>
    <t xml:space="preserve">Marketing Strategy, Content Marketing &amp; Systems, Agency Growth</t>
  </si>
  <si>
    <t xml:space="preserve">Kush Shah</t>
  </si>
  <si>
    <t xml:space="preserve">@writewithkush</t>
  </si>
  <si>
    <t xml:space="preserve">2026-09-16</t>
  </si>
  <si>
    <t xml:space="preserve">https://www.linkedin.com/feed/update/urn:li:activity:7505943146720165888</t>
  </si>
  <si>
    <t xml:space="preserve">"I don't mind paying you $2,000. I just don't want to."</t>
  </si>
  <si>
    <t xml:space="preserve">"I don't mind paying you $2,000. I just don't want to."
A founder said this over a call 2 weeks ago.
He also added:
"I want to test your system for two weeks first, and if it brings in deals, I'll pay you plus a bonus."
I told him no.
Here is why:
You do not walk into an Italian restaurant, order three pizzas, take two bites of each, and say:
"If this hits my taste buds right, I will pay th</t>
  </si>
  <si>
    <t xml:space="preserve">Objection quote as hook ('I don't mind paying you $2,000. I just don't want to.') + firm stance + analogy. Small account, strong comments.</t>
  </si>
  <si>
    <t xml:space="preserve">Use real prospect objections from your calls as hooks: 'Can we do a 2-week trial first?' Explain why you say no, and what you offer instead (paid diagnostic).</t>
  </si>
  <si>
    <t xml:space="preserve">Kush Shah recounts a founder refusing to pay $2,000 upfront, instead requesting a free two-week trial with performance-based pay. He declines and argues that content creators shouldn't take on the risk of clients' broken sales pipelines, telling readers to "pay the chef."</t>
  </si>
  <si>
    <t xml:space="preserve">freelance, client management, pricing, content marketing, sales, free work, compensation, leverage</t>
  </si>
  <si>
    <t xml:space="preserve">https://x.com/ConnorAbene/status/2100260277967081695</t>
  </si>
  <si>
    <t xml:space="preserve">I know a really good CFO who’s looking for his next thing.</t>
  </si>
  <si>
    <t xml:space="preserve">I know a really good CFO who’s looking for his next thing.
Open to anything 20+ hours/week or full-time. Previously CFO of a ~$50M company and has done fractional CFO work since.
Very reasonable on comp. Remote only, but happy to travel when needed.
More importantly, just a genuinely good person.
If you know someone looking, shoot me a DM.</t>
  </si>
  <si>
    <t xml:space="preserve">A LinkedIn-style text post from Connor Abene recommending a CFO contact who is seeking fractional or full-time work. He describes the candidate's background (~$50M company CFO, fractional work since), remote-only preference, and asks readers to DM him with leads.</t>
  </si>
  <si>
    <t xml:space="preserve">cfo, job search, fractional cfo, remote work, referral, networking, hiring, executive</t>
  </si>
  <si>
    <t xml:space="preserve">Client Acquisition, High-Ticket Sales, Outbound / Warm Outbound</t>
  </si>
  <si>
    <t xml:space="preserve">alex1beck</t>
  </si>
  <si>
    <t xml:space="preserve">@alex1beck</t>
  </si>
  <si>
    <t xml:space="preserve">https://www.instagram.com/reel/DbDrqpnDu9d/</t>
  </si>
  <si>
    <t xml:space="preserve">The text that wakes up a dead lead</t>
  </si>
  <si>
    <r>
      <rPr>
        <sz val="10"/>
        <rFont val="Arial"/>
        <family val="0"/>
        <charset val="1"/>
      </rPr>
      <t xml:space="preserve">A "dead" lead usually isn't dead, most people just send the wrong text.
</t>
    </r>
    <r>
      <rPr>
        <sz val="10"/>
        <rFont val="WenQuanYi Zen Hei"/>
        <family val="2"/>
      </rPr>
      <t xml:space="preserve">ㅤ
</t>
    </r>
    <r>
      <rPr>
        <sz val="10"/>
        <rFont val="Arial"/>
        <family val="0"/>
        <charset val="1"/>
      </rPr>
      <t xml:space="preserve">Here's the exact two-part ...</t>
    </r>
  </si>
  <si>
    <t xml:space="preserve">Reel: Single-shot talking head interspersed with full-screen text-message mockups.</t>
  </si>
  <si>
    <t xml:space="preserve">Small-account breakout: the idea beat the audience size; Challenges a belief the ICP holds; Format: tutorial with screen-overlay examples</t>
  </si>
  <si>
    <t xml:space="preserve">Keep the contrarian hook mechanic and swap in your own proof. Teach one marketing strategy lesson for founders of 10-50 person boutique firms (US/UK/AU). Ship it as a IG reel, then repurpose to LinkedIn.</t>
  </si>
  <si>
    <t xml:space="preserve">A creator explains a specific follow-up text message strategy to re-engage prospects who previously ghosted or didn't close a sale.</t>
  </si>
  <si>
    <t xml:space="preserve">Dimitar Angelov</t>
  </si>
  <si>
    <t xml:space="preserve">@dimitarangg</t>
  </si>
  <si>
    <t xml:space="preserve">2026-02-13</t>
  </si>
  <si>
    <t xml:space="preserve">https://x.com/dimitarangg/status/2022410074593939657</t>
  </si>
  <si>
    <t xml:space="preserve">how to book 60+ calls/mo by automating cold outreach with clawdbot (x + email + linkedin)</t>
  </si>
  <si>
    <t xml:space="preserve">most people are still manually sending 50+ dms a day and wondering why they're struggling to hit $5k/mo. i deployed an ai agent that runs twitter + linkedin + email 24/7 and books 60+ calls monthly while i sleep.
here's the complete clawdbot automation system that’s printing for me and my clients.
YOUR SALES TEAM IS YOUR BIGGEST BOTTLENECK
here's what nobody in the b2b space wants to admit out</t>
  </si>
  <si>
    <t xml:space="preserve">Link only post without additional context or visual elements.</t>
  </si>
  <si>
    <t xml:space="preserve">Levi Munneke</t>
  </si>
  <si>
    <t xml:space="preserve">@levikmunneke</t>
  </si>
  <si>
    <t xml:space="preserve">2026-03-20</t>
  </si>
  <si>
    <t xml:space="preserve">https://x.com/levikmunneke/status/2035123865463267798</t>
  </si>
  <si>
    <t xml:space="preserve">this turns claude code and google maps into a 7-figure outbound team</t>
  </si>
  <si>
    <t xml:space="preserve">too many people are sending 20-50 cold emails a day.
then wondering why their calendar is empty.
here's what the operators quietly winning in 2026 are actually doing.
google maps has 265 million business listings.
they don't receive nearly as many emails as the businesses on Apollo getting bombarded with outreach.
not because nobody wants their business.
because nobody built the machine to r</t>
  </si>
  <si>
    <t xml:space="preserve">https://x.com/paolo_scales/status/2097335350930588073</t>
  </si>
  <si>
    <t xml:space="preserve">Instantly’s $3.3M/Mo LinkedIn Playbook (Full Breakdown)</t>
  </si>
  <si>
    <t xml:space="preserve">Instantly is doing $3.3M a month. Their LinkedIn company page has ~66k followers. The members behind this company collectively have 500,000+ followers on this platform, about 8 times the size of the corporate account.
Founders look at that and think the company's account was pulling the real weight. Orchestrating big launches. Bringing in all leads behind the scenes.
But in reality, if it weren'</t>
  </si>
  <si>
    <t xml:space="preserve">Specific number/result in the hook; Shows the system or tool, not just claims</t>
  </si>
  <si>
    <t xml:space="preserve">Keep the build hook mechanic and swap in your own proof. Teach one content marketing &amp; systems lesson for founders of 10-50 person boutique firms (US/UK/AU). Ship it as a LinkedIn text/carousel.</t>
  </si>
  <si>
    <t xml:space="preserve">Text-heavy LinkedIn analysis of how Instantly's founder, executive and AE accounts collectively outgrow its corporate page, breaking down the company's four-part content engine. The image itself is a simple brand graphic: the "instantly" logo with a blue lightning bolt on a blue textured background.</t>
  </si>
  <si>
    <t xml:space="preserve">personal branding, linkedin growth, b2b saas, founder-led marketing, content strategy, outbound, instantly, case study</t>
  </si>
  <si>
    <t xml:space="preserve">2026-01-31</t>
  </si>
  <si>
    <t xml:space="preserve">https://x.com/romanbuildsaas/status/2017670516719432131</t>
  </si>
  <si>
    <t xml:space="preserve">I built 3 AI agents that run my LinkedIn end-to-end:</t>
  </si>
  <si>
    <t xml:space="preserve">I built 3 AI agents that run my LinkedIn end-to-end:
• They write my posts
• They reply to every comment
• They find high-intent leads and handle outreach
I’m sharing the entire system.
Want it?
Repost ♻️ so others see it
Comment “Agents” and I’ll DM you. https://t.co/R56jtyGOlk</t>
  </si>
  <si>
    <t xml:space="preserve">Shows the system or tool, not just claims; Keyword CTA converts reach into DMs</t>
  </si>
  <si>
    <t xml:space="preserve">A video shows a LinkedIn profile and messages thread, with a narrator explaining how AI agents can automate similar processes. The video demonstrates the capability to write posts, reply to comments, and manage outreach using AI systems.</t>
  </si>
  <si>
    <t xml:space="preserve">ai automation, social media, linkedin, ai agents, workflow automation, linkedin outreach, ai posts, ai replies</t>
  </si>
  <si>
    <t xml:space="preserve">Content Marketing &amp; Systems, Client Acquisition</t>
  </si>
  <si>
    <t xml:space="preserve">Zach Schieffer</t>
  </si>
  <si>
    <t xml:space="preserve">@zach-schieffer</t>
  </si>
  <si>
    <t xml:space="preserve">2026-10-01</t>
  </si>
  <si>
    <t xml:space="preserve">https://www.linkedin.com/feed/update/urn:li:activity:7511422825266688001</t>
  </si>
  <si>
    <t xml:space="preserve">How to get ahead of 99% of beauty brands:</t>
  </si>
  <si>
    <t xml:space="preserve">How to get ahead of 99% of beauty brands:
After studying 449 Rhode emails across 33 months, here’s their playbook:
1. They start selling the product BEFORE you can buy it. February’s mask launch had 4 pre-launch emails: the reveal, benefits for each mask + the development story
2. Product development became content. The day before Caffeine Reset launched, they shared “50+ iterations and 1.5 ye</t>
  </si>
  <si>
    <t xml:space="preserve">Scannable, save-worthy steps; High comment-to-like ratio: debate driver</t>
  </si>
  <si>
    <t xml:space="preserve">Promotional graphic offering a "rhode Email Swipe File + Strategy Guide" built from 449 Rhode emails across 33 months, shown as a dense grid of email preview thumbnails. A bottom bar asks viewers to comment "RHODE" to receive the guide.</t>
  </si>
  <si>
    <t xml:space="preserve">email marketing, newsletters, beauty brand, rhode, swipe file, email strategy, lead magnet, comment to get</t>
  </si>
  <si>
    <t xml:space="preserve">case study how we generated pipeline for a B2B client with content and outbound</t>
  </si>
  <si>
    <t xml:space="preserve">Dan Greenheck</t>
  </si>
  <si>
    <t xml:space="preserve">@dangreenheck</t>
  </si>
  <si>
    <t xml:space="preserve">https://x.com/dangreenheck/status/2102137910921240807</t>
  </si>
  <si>
    <t xml:space="preserve">I think it's time to hang up my Three.js hat.</t>
  </si>
  <si>
    <t xml:space="preserve">I think it's time to hang up my Three.js hat.
First of all, this is not a pity post—I'll be fine. I'm also not 100% confident about this.
But I'm an over-sharer and like to talk out loud, so I thought I would share some thoughts on where I see things going and why I'm considering quitting Three.js development.
Some signals I've noticed lately that have gotten me thinking:
- Since Astra was rele</t>
  </si>
  <si>
    <t xml:space="preserve">emotional</t>
  </si>
  <si>
    <t xml:space="preserve">Keep the story hook mechanic and swap in your own proof. Teach one freelancing &amp; international clients lesson for founders of 10-50 person boutique firms (US/UK/AU). Ship it as a LinkedIn text/carousel.</t>
  </si>
  <si>
    <t xml:space="preserve">A freelance Three.js/WebGL developer shares thoughts on considering leaving Three.js development, citing AI-driven replication of his work, declining client referrals, and lost enjoyment of hard problems. He plans to finish Water Pro v4 before deciding what's next and invites other developers and freelancers to share their perspectives.</t>
  </si>
  <si>
    <t xml:space="preserve">three.js, webgl, graphics programming, freelance developer, ai displacement, career reflection, burnout, vibe coding</t>
  </si>
  <si>
    <t xml:space="preserve">Hinglish</t>
  </si>
  <si>
    <t xml:space="preserve">Chazupaa | Latest News</t>
  </si>
  <si>
    <t xml:space="preserve">@chazupaa</t>
  </si>
  <si>
    <t xml:space="preserve">https://www.instagram.com/reel/DW9CNBigZnZ/</t>
  </si>
  <si>
    <t xml:space="preserve">Mandi ki silent bargaining… samajh aaye toh asli skill 😳</t>
  </si>
  <si>
    <t xml:space="preserve">Mandi ki silent bargaining… samajh aaye toh asli skill 😳
A video shows traders negotiating prices under a towel (gamcha) without speaking a single word 👀
At first, it looks confusing… but this is actually a traditional trading technique used in mandis.
In this method, both buyer and seller hide their hands under a cloth and
use finger signals and pressure movements to secretly communicate prices</t>
  </si>
  <si>
    <t xml:space="preserve">Keep the statement hook mechanic and swap in your own proof. Teach one high-ticket sales lesson for Indian B2B service founders (10-50 staff). Ship it as a IG reel, then repurpose to LinkedIn.</t>
  </si>
  <si>
    <t xml:space="preserve">A short video shows Indian traders using traditional silent bargaining with hidden hand signals under a cloth when negotiating market prices (gamcha), explaining their hidden system of finger gestures and pressure movements to secretly agree prices.</t>
  </si>
  <si>
    <t xml:space="preserve">indian markets, mandi, silent bargaining, hand gestures, traditional business, market negotiation, gamcha, towel bargaining</t>
  </si>
  <si>
    <t xml:space="preserve">Indian business owners scaling MSME systems processes growth Hindi</t>
  </si>
  <si>
    <t xml:space="preserve">brryant</t>
  </si>
  <si>
    <t xml:space="preserve">@bryantchou</t>
  </si>
  <si>
    <t xml:space="preserve">2026-06-17</t>
  </si>
  <si>
    <t xml:space="preserve">https://x.com/bryantchou/status/2067246888231866803</t>
  </si>
  <si>
    <t xml:space="preserve">AI is making marketers lazy.</t>
  </si>
  <si>
    <t xml:space="preserve">AI is making marketers lazy.
So we made the website do the work instead. Today, we're launching @ployai: the all-in-one marketing platform that turns your website into your hardest working employee.
And we're coming out of stealth today with a $27M seed led by @ycombinator and @firstround.
I spent 12 years at Webflow as the founding CTO where I built the product, but also started our marketing</t>
  </si>
  <si>
    <t xml:space="preserve">Agency Growth, Business Growth &amp; Scale Systems, Marketing Strategy</t>
  </si>
  <si>
    <t xml:space="preserve">Mustufa Khan</t>
  </si>
  <si>
    <t xml:space="preserve">@mustufa4socials</t>
  </si>
  <si>
    <t xml:space="preserve">2026-05-12</t>
  </si>
  <si>
    <t xml:space="preserve">https://x.com/mustufa4socials/status/2054258775222284442</t>
  </si>
  <si>
    <t xml:space="preserve">Naval Ravikant: Sell the truth</t>
  </si>
  <si>
    <t xml:space="preserve">Most founders think they have a sales problem when in reality they have a credibility problem. Their audience doesn't trust them. This article is a structured read on "How to build trust".
I've spent the last 2 years building 4Socials into an agency that's has worked with 58 clients, generated 2+ billion views on X (&amp; beyond), contributed to $49+ million in combined revenue for ourselves &amp; our cl</t>
  </si>
  <si>
    <t xml:space="preserve">Keep the contrarian hook mechanic and swap in your own proof. Teach one content marketing &amp; systems lesson for founders of 10-50 person boutique firms (US/UK/AU). Ship it as a LinkedIn text/carousel.</t>
  </si>
  <si>
    <t xml:space="preserve">The post consists solely of a link to an external website. No additional content or context is provided.</t>
  </si>
  <si>
    <t xml:space="preserve">link, link share</t>
  </si>
  <si>
    <t xml:space="preserve">https://x.com/mustufa4socials/status/2016885450863169982</t>
  </si>
  <si>
    <t xml:space="preserve">Full guide: how to start a business in 1 day &amp; make $10k in 30 days (its simpler than you think)</t>
  </si>
  <si>
    <t xml:space="preserve">At some point in life, we've all been frustrated with our jobs, wanting to resign &amp; build our business.
I was there in June 2024. I was working full-time and had $9k in savings. I didn't have a rich dad and neither was I a trust fund kid. I was just like you, who was tired of trading time for money and wanted to build something of my own.
Although 99% of people have no clue about:
How to start</t>
  </si>
  <si>
    <t xml:space="preserve">Link only post with no additional context or visual content. Appears to be a URL shared as-is.</t>
  </si>
  <si>
    <t xml:space="preserve">url, link, reference, no context</t>
  </si>
  <si>
    <t xml:space="preserve">sam marelich</t>
  </si>
  <si>
    <t xml:space="preserve">@sammarelich</t>
  </si>
  <si>
    <t xml:space="preserve">2026-02-10</t>
  </si>
  <si>
    <t xml:space="preserve">https://x.com/sammarelich/status/2021341379839000663</t>
  </si>
  <si>
    <t xml:space="preserve">new cold email template just dropped https://t.co/YTRQzY48C8</t>
  </si>
  <si>
    <t xml:space="preserve">Keep the result hook mechanic and swap in your own proof. Teach one outbound / warm outbound lesson for founders of 10-50 person boutique firms (US/UK/AU). Ship it as a LinkedIn text/carousel.</t>
  </si>
  <si>
    <t xml:space="preserve">The post features a screenshot of an email with a subject line that references the Epstein Files, followed by a playful greeting apologizing for the sensational subject line. The body mentions working with startups on automating pipeline generation.</t>
  </si>
  <si>
    <t xml:space="preserve">cold email, marketing, pipeline generation, automating, startups, sales, template, outbound</t>
  </si>
  <si>
    <t xml:space="preserve">2026-05-18</t>
  </si>
  <si>
    <t xml:space="preserve">https://x.com/fin465/status/2056468083271926258</t>
  </si>
  <si>
    <t xml:space="preserve">This is genuinely the worst cold email i’ve ever received</t>
  </si>
  <si>
    <t xml:space="preserve">This is genuinely the worst cold email i’ve ever received
this template will NOT get your hired https://t.co/DvBOX3j1If</t>
  </si>
  <si>
    <t xml:space="preserve">Keep the contrarian hook mechanic and swap in your own proof. Teach one outbound / warm outbound lesson for founders of 10-50 person boutique firms (US/UK/AU). Ship it as a LinkedIn text/carousel.</t>
  </si>
  <si>
    <t xml:space="preserve">A screenshot of a highly inappropriate and poorly written cold email with the subject line "Your mother just passed away. Funeral arrangements attached". The email is addressed to Finn and attempts to solicit interest for a job opening, demonstrating an example of what not to do in professional correspondence.</t>
  </si>
  <si>
    <t xml:space="preserve">cold email, bad email example, recruitment, job search, email template, career advice, shocking email, job hunting</t>
  </si>
  <si>
    <t xml:space="preserve">arham_abid0</t>
  </si>
  <si>
    <t xml:space="preserve">@arham_abid0</t>
  </si>
  <si>
    <t xml:space="preserve">https://www.instagram.com/reel/Db59Qt3ztrJ/</t>
  </si>
  <si>
    <t xml:space="preserve">Pakistan's Secret to Serving 1200 Agencies</t>
  </si>
  <si>
    <t xml:space="preserve">What started as a focus on GoHighLevel fulfillment has grown into a team trusted by 1,200+ agencies ...</t>
  </si>
  <si>
    <t xml:space="preserve">Reel: Screen recording of a video call</t>
  </si>
  <si>
    <t xml:space="preserve">Small-account breakout: the idea beat the audience size; Curiosity gap / insider framing; Format: recorded video call excerpt</t>
  </si>
  <si>
    <t xml:space="preserve">Keep the insider secret hook mechanic and swap in your own proof. Teach one agency growth lesson for founders of 10-50 person boutique firms (US/UK/AU). Ship it as a IG reel, then repurpose to LinkedIn.</t>
  </si>
  <si>
    <t xml:space="preserve">A business owner introduces his white-label fulfillment agency via a recorded video call.</t>
  </si>
  <si>
    <t xml:space="preserve">Client acquisition (EN); Agency growth</t>
  </si>
  <si>
    <t xml:space="preserve">Consulting / Fractional, Marketing Strategy</t>
  </si>
  <si>
    <t xml:space="preserve">vardhanfincorp</t>
  </si>
  <si>
    <t xml:space="preserve">@vardhanfincorp</t>
  </si>
  <si>
    <t xml:space="preserve">https://www.instagram.com/reel/DctTCKgO6JQ/</t>
  </si>
  <si>
    <t xml:space="preserve">10 lakh se 50 lakh</t>
  </si>
  <si>
    <t xml:space="preserve">New startup</t>
  </si>
  <si>
    <t xml:space="preserve">Reel: Single-shot talking head</t>
  </si>
  <si>
    <t xml:space="preserve">Small-account breakout: the idea beat the audience size; Specific number/result in the hook; Proof-first opening; Format: talking head with text overlays</t>
  </si>
  <si>
    <t xml:space="preserve">Keep the result hook mechanic and swap in your own proof. Teach one business growth &amp; scale systems lesson for Indian B2B service founders (10-50 staff). Ship it as a IG reel, then repurpose to LinkedIn.</t>
  </si>
  <si>
    <t xml:space="preserve">A business owner explains his startup funding and advisory services, offering help with project reports and GST to aspiring entrepreneurs.</t>
  </si>
  <si>
    <t xml:space="preserve">Client acquisition (Hindi/India); Business growth (India/Hindi)</t>
  </si>
  <si>
    <t xml:space="preserve">10x.sales</t>
  </si>
  <si>
    <t xml:space="preserve">@10x.sales</t>
  </si>
  <si>
    <t xml:space="preserve">https://www.instagram.com/reel/Dbw5GydgGij/</t>
  </si>
  <si>
    <t xml:space="preserve">Sales Psychology shows you can close more clients by understanding these 10 types of buyers.</t>
  </si>
  <si>
    <t xml:space="preserve">1. The Price Buyer — Wants the best deal.
2. The Researcher — Needs facts, details, and comparisons...</t>
  </si>
  <si>
    <t xml:space="preserve">Reel: Faceless text-on-screen</t>
  </si>
  <si>
    <t xml:space="preserve">Scannable, save-worthy steps; Format: listicle text overlay with background loop</t>
  </si>
  <si>
    <t xml:space="preserve">Keep the how-to hook mechanic and swap in your own proof. Teach one high-ticket sales lesson for founders of 10-50 person boutique firms (US/UK/AU). Ship it as a IG reel, then repurpose to LinkedIn.</t>
  </si>
  <si>
    <t xml:space="preserve">A listicle-style video presenting ten specific types of buyers in sales psychology.</t>
  </si>
  <si>
    <t xml:space="preserve">Business &amp; Education</t>
  </si>
  <si>
    <t xml:space="preserve">itsjustinlund</t>
  </si>
  <si>
    <t xml:space="preserve">@itsjustinlund</t>
  </si>
  <si>
    <t xml:space="preserve">https://www.instagram.com/reel/DeDwgVQhW9c/</t>
  </si>
  <si>
    <t xml:space="preserve">$250k vs $3M landscaper</t>
  </si>
  <si>
    <t xml:space="preserve">Comment “shift” and I’ll show you where to start
Remixed reel from @aldrichlandscape</t>
  </si>
  <si>
    <t xml:space="preserve">Reel: B-roll over voiceover leading into a talking head segment.</t>
  </si>
  <si>
    <t xml:space="preserve">Small-account breakout: the idea beat the audience size; Specific number/result in the hook; Contrast format (X vs Y) creates instant tension; Keyword CTA converts reach into DMs</t>
  </si>
  <si>
    <t xml:space="preserve">Keep the pov hook mechanic and swap in your own proof. Teach one business growth &amp; scale systems lesson for founders of 10-50 person boutique firms (US/UK/AU). Ship it as a IG reel, then repurpose to LinkedIn.</t>
  </si>
  <si>
    <t xml:space="preserve">A business coach uses the analogy of two different landscapers to explain the importance of systemizing a business.</t>
  </si>
  <si>
    <t xml:space="preserve">Agency growth</t>
  </si>
  <si>
    <t xml:space="preserve">taylorteachesecom</t>
  </si>
  <si>
    <t xml:space="preserve">@taylorteachesecom</t>
  </si>
  <si>
    <t xml:space="preserve">https://www.instagram.com/reel/DbYjVyLuzzP/</t>
  </si>
  <si>
    <t xml:space="preserve">Making 10k is easier than a 9-5</t>
  </si>
  <si>
    <t xml:space="preserve">#clothingbrandtips #clothingbrand #clothingbrandadvice #fashionbrandadvice</t>
  </si>
  <si>
    <t xml:space="preserve">Reel: Talking head with split screen and overlaid visual aids</t>
  </si>
  <si>
    <t xml:space="preserve">Small-account breakout: the idea beat the audience size; Specific number/result in the hook; Proof-first opening; Format: instructional talking head with visual aids</t>
  </si>
  <si>
    <t xml:space="preserve">A business entrepreneur explains a specific two-step marketing formula for clothing brand owners to generate $10k in sales.</t>
  </si>
  <si>
    <t xml:space="preserve">Format: framework explainer</t>
  </si>
  <si>
    <t xml:space="preserve">Business Growth &amp; Scale Systems, Agency Growth, Consulting / Fractional</t>
  </si>
  <si>
    <t xml:space="preserve">Luke Pierce</t>
  </si>
  <si>
    <t xml:space="preserve">@lukepierceops</t>
  </si>
  <si>
    <t xml:space="preserve">2026-10-16</t>
  </si>
  <si>
    <t xml:space="preserve">https://x.com/lukepierceops/status/2110899653717737517</t>
  </si>
  <si>
    <t xml:space="preserve">My team and I have built AI automations for almost 100 businesses since 2022. The tools changed 4 times along the way, but these 15 rules held through every one of them.</t>
  </si>
  <si>
    <t xml:space="preserve">My team and I have built AI automations for almost 100 businesses since 2022. The tools changed 4 times along the way, but these 15 rules held through every one of them.
Save this for your next build (full 20 minute video breakdown in tweet below):
1. Never quote by the hour. The first time I did, the client asked why he'd pay me that when a VA costs $15/hr, and he had a point. Price it against</t>
  </si>
  <si>
    <t xml:space="preserve">Keep the story hook mechanic and swap in your own proof. Teach one high-ticket sales lesson for founders of 10-50 person boutique firms (US/UK/AU). Ship it as a LinkedIn text/carousel.</t>
  </si>
  <si>
    <t xml:space="preserve">Luke Pierce shares 15 hard-won rules for building AI automations for businesses, covering pricing against payroll, paid audits, client-owned workflow documentation, failure alerts, and backup plans. He links to a 20-minute YouTube breakdown of each rule.</t>
  </si>
  <si>
    <t xml:space="preserve">ai automation, consulting, pricing, client retention, workflow design, n8n, systems thinking, sales</t>
  </si>
  <si>
    <t xml:space="preserve">Outbound / Warm Outbound, Client Acquisition</t>
  </si>
  <si>
    <t xml:space="preserve">Cody Schneider</t>
  </si>
  <si>
    <t xml:space="preserve">@codyxschneider</t>
  </si>
  <si>
    <t xml:space="preserve">2026-02-04</t>
  </si>
  <si>
    <t xml:space="preserve">https://www.linkedin.com/feed/update/urn:li:activity:7424882262791598080</t>
  </si>
  <si>
    <t xml:space="preserve">I keep getting dm'd "how do I start GTM engineering with claude code"</t>
  </si>
  <si>
    <t xml:space="preserve">I keep getting dm'd "how do I start GTM engineering with claude code"
So I built a full notion document guide for you. It includes:
{follow me Cody Schneider for more like this}
1. 10 minute crash course how to set up this infrastructure for GTM engineering
You'll learn how to set up a directory, how to set up an environment file with all the API keys for you to interact with.
2. How to desig</t>
  </si>
  <si>
    <t xml:space="preserve">First-person or observed story: narrative pull; High comment-to-like ratio: debate driver</t>
  </si>
  <si>
    <t xml:space="preserve">A Notion guide image shows a terminal with Git commands, promoting a crash course on GTM engineering with Claude code. The guide covers setting up infrastructure, AI-driven ad creation, landing pages, blog posts, LinkedIn automation, support documentation, podcast outreach, HubSpot lead enrichment, and AI data analysis.</t>
  </si>
  <si>
    <t xml:space="preserve">gtm engineering, claude code, ai automation, facebook ads, landing pages, blog posts, linkedin automation, support documentation</t>
  </si>
  <si>
    <t xml:space="preserve">cold outreach warm outbound pipeline B2B founder-led sales</t>
  </si>
  <si>
    <t xml:space="preserve">Content Marketing &amp; Systems, Marketing Strategy</t>
  </si>
  <si>
    <t xml:space="preserve">2026-01-15</t>
  </si>
  <si>
    <t xml:space="preserve">https://x.com/scaling_shields/status/2011801978087633235</t>
  </si>
  <si>
    <t xml:space="preserve">how to print $50k/month with zero audience using other people's traffic</t>
  </si>
  <si>
    <t xml:space="preserve">there are people making well over $60k/month who have never posted a single piece of content in their life
not exaggerating
no tweets. no threads. no "building in public." no engagement pods. no "gm" posts.
just money hitting their stripe while you're still trying to figure out what to say in your next tweet
let me explain how this actually works because most people on this app have been compl</t>
  </si>
  <si>
    <t xml:space="preserve">Specific number/result in the hook; Scannable, save-worthy steps</t>
  </si>
  <si>
    <t xml:space="preserve">LinkedIn content strategy that books sales calls for B2B service businesses; cold email outbound that books meetings for consultants</t>
  </si>
  <si>
    <t xml:space="preserve">bryanbuildbrands</t>
  </si>
  <si>
    <t xml:space="preserve">@bryanbuildbrands</t>
  </si>
  <si>
    <t xml:space="preserve">https://www.instagram.com/reel/DciGZoSIpME/</t>
  </si>
  <si>
    <t xml:space="preserve">Alex Hormozi Finally Reveals His Entire Content System</t>
  </si>
  <si>
    <t xml:space="preserve">Comment “list” for the full video</t>
  </si>
  <si>
    <t xml:space="preserve">Reel: split screen (creator + b-roll) and talking head</t>
  </si>
  <si>
    <t xml:space="preserve">Small-account breakout: the idea beat the audience size; Curiosity gap / insider framing; Keyword CTA converts reach into DMs; Format: curated expert summary with talking head</t>
  </si>
  <si>
    <t xml:space="preserve">Keep the insider secret hook mechanic and swap in your own proof. Teach one content marketing &amp; systems lesson for founders of 10-50 person boutique firms (US/UK/AU). Ship it as a IG reel, then repurpose to LinkedIn.</t>
  </si>
  <si>
    <t xml:space="preserve">A creator recaps a content strategy system by Alex Hormozi and explains the 8 core elements to include in content.</t>
  </si>
  <si>
    <t xml:space="preserve">2026-02-25</t>
  </si>
  <si>
    <t xml:space="preserve">https://www.linkedin.com/feed/update/urn:li:activity:7432431813991538688</t>
  </si>
  <si>
    <t xml:space="preserve">Scaled my agency to $10M in 3 years</t>
  </si>
  <si>
    <t xml:space="preserve">Scaled my agency to $10M in 3 years
Bought &amp; sold 7 agencies
1x dashboard powered everything:
This is the same dashboard we install inside agencies to give founders visibility into:
 - Margin
 - Client retention
 - Utilization
 - Forecasting
 - Revenue per employee
 - CAC and payback
 - MRR movement
 - Team load vs. delivery capacity
If you’re an agency owner doing $100K+ per month and you:
1.</t>
  </si>
  <si>
    <t xml:space="preserve">Small-account breakout: the idea beat the audience size; Specific number/result in the hook; Proof-first opening; High comment-to-like ratio: debate driver</t>
  </si>
  <si>
    <t xml:space="preserve">https://www.linkedin.com/feed/update/urn:li:activity:7419725664758693888</t>
  </si>
  <si>
    <t xml:space="preserve">I’ve analyzed 100+ Google Ads accounts.
99% of “7× ROAS” claims are misleading. Here’s why:
● Brand traffic inflates results.
● PMax hides real query data.
● Agencies report blended ROAS.
● Search terms stay undisclosed.
● Non-brand performance stays invisible.
❌ You think you’re scaling.
✅ You’re just retargeting loyal customers.
Here’s what top 1% advertisers do differently:
1. Separate bra</t>
  </si>
  <si>
    <t xml:space="preserve">thejimmyreilly</t>
  </si>
  <si>
    <t xml:space="preserve">@thejimmyreilly</t>
  </si>
  <si>
    <t xml:space="preserve">https://www.instagram.com/reel/Dbsxb8IhIXA/</t>
  </si>
  <si>
    <t xml:space="preserve">Claude Scraped Reddit Then Wrote a 'Yap' That Pulled 7,372 Leads</t>
  </si>
  <si>
    <t xml:space="preserve">Claude scraped Reddit and wrote me a reel that pulled in over 7,000 leads. 
Comment ‘prompt’ to get...</t>
  </si>
  <si>
    <t xml:space="preserve">Reel: talking head with intermittent on-screen screen recording overlays</t>
  </si>
  <si>
    <t xml:space="preserve">Proof-first opening; Keyword CTA converts reach into DMs; Format: educational framework breakdown with screen overlays</t>
  </si>
  <si>
    <t xml:space="preserve">The creator breaks down a repeatable 'AI-assisted' content strategy for generating viral educational reels and leads.</t>
  </si>
  <si>
    <t xml:space="preserve">Digital Marketing</t>
  </si>
  <si>
    <t xml:space="preserve">cashflow.automations</t>
  </si>
  <si>
    <t xml:space="preserve">@cashflow.automations</t>
  </si>
  <si>
    <t xml:space="preserve">https://www.instagram.com/reel/DcJW1_5OCmB/</t>
  </si>
  <si>
    <t xml:space="preserve">POV: you started An agency, but have No clients</t>
  </si>
  <si>
    <t xml:space="preserve">This AI lead generation workflow finds targeted businesses through Google Maps, collects key details...</t>
  </si>
  <si>
    <t xml:space="preserve">Reel: Screen recording with text overlays</t>
  </si>
  <si>
    <t xml:space="preserve">Small-account breakout: the idea beat the audience size; Contrast format (X vs Y) creates instant tension; Format: screen capture with text walkthrough</t>
  </si>
  <si>
    <t xml:space="preserve">Keep the pov hook mechanic and swap in your own proof. Teach one agency growth lesson for founders of 10-50 person boutique firms (US/UK/AU). Ship it as a IG reel, then repurpose to LinkedIn.</t>
  </si>
  <si>
    <t xml:space="preserve">The video demonstrates a specific automated workflow for agency owners to find and scrape business leads using Google Maps.</t>
  </si>
  <si>
    <t xml:space="preserve">Alfie Carter</t>
  </si>
  <si>
    <t xml:space="preserve">@alfiejcarter</t>
  </si>
  <si>
    <t xml:space="preserve">https://x.com/AlfieJCarter/status/2057848330902745536</t>
  </si>
  <si>
    <t xml:space="preserve">Claude For Small Business is INSANE.</t>
  </si>
  <si>
    <t xml:space="preserve">Claude For Small Business is INSANE.
I've built a complete breakdown of all 31 Anthropic Small Business skills that maps every workflow, connector, and automation in under 10 minutes.
The same skill stack that had 382,000 downloads on its first day.
Financial operations, sales and client work, HR and hiring, marketing and growth, reporting and dashboards.
Inside the breakdown:
- All 31 skills</t>
  </si>
  <si>
    <t xml:space="preserve">2026-08-21</t>
  </si>
  <si>
    <t xml:space="preserve">https://x.com/NickB2005/status/2090770944356733366</t>
  </si>
  <si>
    <t xml:space="preserve">Nobody tells you the weird part about fractional work. You are simultaneously the most senior marketing person at three different companies and none of them invite you to the holiday party.</t>
  </si>
  <si>
    <t xml:space="preserve">Nobody tells you the weird part about fractional work. You are simultaneously the most senior marketing person at three different companies and none of them invite you to the holiday party.
You fix their pipeline, build their systems, train their team, and then one day they do not need you anymore and that is the whole point.
The best fractional engagements end with you getting replaced by a ful</t>
  </si>
  <si>
    <t xml:space="preserve">Challenges a belief the ICP holds; High comment-to-like ratio: debate driver</t>
  </si>
  <si>
    <t xml:space="preserve">Keep the contrarian hook mechanic and swap in your own proof. Teach one consulting / fractional lesson for founders of 10-50 person boutique firms (US/UK/AU). Ship it as a LinkedIn text/carousel.</t>
  </si>
  <si>
    <t xml:space="preserve">A text post explains the unique aspects and reality of fractional consulting work, noting that consultants often become the most senior expert at multiple companies but may eventually be replaced by full-time hires.</t>
  </si>
  <si>
    <t xml:space="preserve">fractional work, consulting, marketing, career advice, work lifecycle, success metrics, professional development, hiring</t>
  </si>
  <si>
    <t xml:space="preserve">Marketing Strategy, Client Acquisition, Consulting / Fractional</t>
  </si>
  <si>
    <t xml:space="preserve">Will Nelson</t>
  </si>
  <si>
    <t xml:space="preserve">@willnelson_coach_</t>
  </si>
  <si>
    <t xml:space="preserve">2026-08-07</t>
  </si>
  <si>
    <t xml:space="preserve">https://www.instagram.com/reel/DbwWMyFCT2n/</t>
  </si>
  <si>
    <t xml:space="preserve">Comment "DM" for my DM playbook</t>
  </si>
  <si>
    <t xml:space="preserve">Keep the comment-gate hook mechanic and swap in your own proof. Teach one outbound / warm outbound lesson for founders of 10-50 person boutique firms (US/UK/AU). Ship it as a IG reel, then repurpose to LinkedIn.</t>
  </si>
  <si>
    <t xml:space="preserve">A sales coach shares a one-sentence DM opener to re-engage ghosted leads, explaining its three key benefits: reminding them of their pain point, positioning himself as an expert, and asking a simple yes/no question.</t>
  </si>
  <si>
    <t xml:space="preserve">dm strategy, sales outreach, lead follow-up, sales coaching, ghosted leads, sales opener, pain point, client engagement</t>
  </si>
  <si>
    <t xml:space="preserve">https://x.com/WifiMoneyPlant/status/2016608038711407000</t>
  </si>
  <si>
    <t xml:space="preserve">A founder making $30m/year selling only one $500 info product with zero sales calls, 97% margins, and one employee.</t>
  </si>
  <si>
    <t xml:space="preserve">side project, info product, digital product, high margins, low cost business, info product success, founder story, online business</t>
  </si>
  <si>
    <t xml:space="preserve">drmattshiver</t>
  </si>
  <si>
    <t xml:space="preserve">@drmattshiver</t>
  </si>
  <si>
    <t xml:space="preserve">https://www.instagram.com/reel/DbY84VUgCRz/</t>
  </si>
  <si>
    <t xml:space="preserve">How to prevent “bad leads” from clicking you ads</t>
  </si>
  <si>
    <t xml:space="preserve">One setting in your ad set that keeps a lot of bad leads out.
It's called value rules &amp; it sits rig...</t>
  </si>
  <si>
    <t xml:space="preserve">Scannable, save-worthy steps; Format: tutorial screen share with host</t>
  </si>
  <si>
    <t xml:space="preserve">Keep the how-to hook mechanic and swap in your own proof. Teach one marketing strategy lesson for founders of 10-50 person boutique firms (US/UK/AU). Ship it as a IG reel, then repurpose to LinkedIn.</t>
  </si>
  <si>
    <t xml:space="preserve">The creator provides a technical tutorial on using Facebook Ad Manager 'value rules' to improve ad targeting and avoid low-quality leads.</t>
  </si>
  <si>
    <t xml:space="preserve">Marketing</t>
  </si>
  <si>
    <t xml:space="preserve">Client acquisition (EN); Content systems</t>
  </si>
  <si>
    <t xml:space="preserve">Client Acquisition, Marketing Strategy, Business Growth &amp; Scale Systems</t>
  </si>
  <si>
    <t xml:space="preserve">Zack | Business Growth Hacking</t>
  </si>
  <si>
    <t xml:space="preserve">@growzutrue</t>
  </si>
  <si>
    <t xml:space="preserve">https://www.instagram.com/reel/DchttGrpIa6/</t>
  </si>
  <si>
    <t xml:space="preserve">This is why my clients never cancel my agency</t>
  </si>
  <si>
    <t xml:space="preserve">This is why my clients never cancel my agency
#agency</t>
  </si>
  <si>
    <t xml:space="preserve">Keep the contrarian hook mechanic and swap in your own proof. Teach one agency growth lesson for founders of 10-50 person boutique firms (US/UK/AU). Ship it as a IG reel, then repurpose to LinkedIn.</t>
  </si>
  <si>
    <t xml:space="preserve">The video features a presenter explaining why clients of their agency never cancel. The visuals show a computer screen with a CRM system and notifications about new leads, illustrating the agency's client management and retention strategies.</t>
  </si>
  <si>
    <t xml:space="preserve">agency, client retention, crm, lead management, business growth, client satisfaction, zuops, client relationship management</t>
  </si>
  <si>
    <t xml:space="preserve">Outbound / Warm Outbound, Marketing Strategy, Consulting / Fractional</t>
  </si>
  <si>
    <t xml:space="preserve">Ryan Kim</t>
  </si>
  <si>
    <t xml:space="preserve">@ryan-kim5</t>
  </si>
  <si>
    <t xml:space="preserve">2026-08-28</t>
  </si>
  <si>
    <t xml:space="preserve">https://www.linkedin.com/feed/update/urn:li:activity:7499119006935617536</t>
  </si>
  <si>
    <t xml:space="preserve">I booked 3 meetings a week with this linkedin outreach strategy, just copy me:</t>
  </si>
  <si>
    <t xml:space="preserve">I booked 3 meetings a week with this linkedin outreach strategy, just copy me: 
1) Create an Airtable sheet for your prospects
2) Create a 6 step messaging campaign. be strategic about where you could include personalized snippets embedded throughout those messages.
FOR EVERY MESSAGE. Not just the first. 
3) Use exa.ai/parallel.ai to get necessary personalization info about company for persona</t>
  </si>
  <si>
    <t xml:space="preserve">Keep the story hook mechanic and swap in your own proof. Teach one client acquisition lesson for founders of 10-50 person boutique firms (US/UK/AU). Ship it as a LinkedIn text/carousel.</t>
  </si>
  <si>
    <t xml:space="preserve">This LinkedIn outreach strategy tutorial details steps to book meetings weekly using Airtable, AI tools for personalization, and manual connection methods for better engagement rates. The author emphasizes providing value in every message and using HeyReach for automation.</t>
  </si>
  <si>
    <t xml:space="preserve">linkedin outreach, client acquisition, airtable, personalization, messaging campaign, heyreach, ai tools, manual connection</t>
  </si>
  <si>
    <t xml:space="preserve">Business Growth &amp; Scale Systems, High-Ticket Sales</t>
  </si>
  <si>
    <t xml:space="preserve">Harry Wilson</t>
  </si>
  <si>
    <t xml:space="preserve">@harry-wilson-912b87394</t>
  </si>
  <si>
    <t xml:space="preserve">2026-07-16</t>
  </si>
  <si>
    <t xml:space="preserve">https://www.linkedin.com/feed/update/urn:li:activity:7483506353366515712</t>
  </si>
  <si>
    <t xml:space="preserve">April: $27,000 from LinkedIn DMs</t>
  </si>
  <si>
    <t xml:space="preserve">April: $27,000 from LinkedIn DMs
May: $44,000 from LinkedIn DMs
June: $28,000 from LinkedIn DM's
3 months. $84,000 closed won revenue. over 90% of company revenue from LinkedIn DM's
In May. I brought in $28,000 in revenue. Highest at the company.
We have a system to do this every single month.
Because of that, we've documented our LinkedIn DM templates:
- Why 90% of outreach fails (and how to</t>
  </si>
  <si>
    <t xml:space="preserve">Monthly revenue ledger from one channel (LinkedIn DMs, $84K in 3 months). Concrete, verifiable, channel-specific.</t>
  </si>
  <si>
    <t xml:space="preserve">Once you have client data: 'Q3: $X pipeline from warm outbound for a 22-person consultancy'. A month-by-month ledger beats percentages.</t>
  </si>
  <si>
    <t xml:space="preserve">Client Acquisition, High-Ticket Sales, Content Marketing &amp; Systems</t>
  </si>
  <si>
    <t xml:space="preserve">https://www.instagram.com/reel/DcUL4NTSnZA/</t>
  </si>
  <si>
    <t xml:space="preserve">Here’s exactly what to do instead 👇🏼</t>
  </si>
  <si>
    <t xml:space="preserve">Here’s exactly what to do instead 👇🏼
1️⃣ Lead with curiosity, not compliance 🤝 “Of course, happy to send that over. Can I ask what specifically you’re hoping to figure out first?” Stay engaged. Don’t just hand over information and disappear.
2️⃣ Find out what “info” actually means 🎯 “Are you looking for pricing, the process, or just trying to see if this is the right fit?” Then stop talking.</t>
  </si>
  <si>
    <t xml:space="preserve">A woman advises on handling leads effectively in a short video. She demonstrates proper communication techniques for converting leads by focusing on curiosity and problem-solving rather than simply sending information.</t>
  </si>
  <si>
    <t xml:space="preserve">lead generation, sales communication, customer engagement, problem-solving, conversational techniques, marketing strategy, client acquisition, sales funnel</t>
  </si>
  <si>
    <t xml:space="preserve">High-Ticket Sales, Business Growth &amp; Scale Systems, Marketing Strategy</t>
  </si>
  <si>
    <t xml:space="preserve">Fraser Cottrell | Ad Creative For Meta &amp; TikTok</t>
  </si>
  <si>
    <t xml:space="preserve">@sourfraser</t>
  </si>
  <si>
    <t xml:space="preserve">2026-03-21</t>
  </si>
  <si>
    <t xml:space="preserve">https://x.com/sourfraser/status/2035454870204100810</t>
  </si>
  <si>
    <t xml:space="preserve">Claude + Obsidian = A true AI employee</t>
  </si>
  <si>
    <t xml:space="preserve">I gave AI a brain, and now it runs half my business.
It took an afternoon to build. It costs almost nothing to run. And it's the single biggest unlock I've found as a founder.
Here's the full system — and exactly how to build it yourself this week.
Most people use AI like a temp worker with amnesia.
Open a chat. Paste some context. Get a response. Close the tab. Next conversation? Start from s</t>
  </si>
  <si>
    <t xml:space="preserve">Keep the statement hook mechanic and swap in your own proof. Teach one content marketing &amp; systems lesson for founders of 10-50 person boutique firms (US/UK/AU). Ship it as a LinkedIn text/carousel.</t>
  </si>
  <si>
    <t xml:space="preserve">This text post discusses proven hooks to start YouTube shorts, likely a list of attention-grabbing techniques for creators.</t>
  </si>
  <si>
    <t xml:space="preserve">shorts, youtube, hooks, content creation, engagement, tips, media, creator</t>
  </si>
  <si>
    <t xml:space="preserve">Consulting / Fractional, Agency Growth</t>
  </si>
  <si>
    <t xml:space="preserve">Stathis Kafoglis</t>
  </si>
  <si>
    <t xml:space="preserve">@silgofak</t>
  </si>
  <si>
    <t xml:space="preserve">https://www.linkedin.com/feed/update/urn:li:activity:7507859803386511361</t>
  </si>
  <si>
    <t xml:space="preserve">The COO question</t>
  </si>
  <si>
    <t xml:space="preserve">The COO question
Everyone asking me how to hire a COO is asking the wrong question.
The problem usually isn't capacity. It's that you're the only one who knows how anything works.
When you're growing faster than you can manage, you have three real options and they are not interchangeable.
Full-time COO. Roughly $220K to $425K all-in for a company doing $5M and up. Five days a week. A permanent</t>
  </si>
  <si>
    <t xml:space="preserve">'Everyone asking how to hire a COO is asking the wrong question'. A founder-dependency reframe from a very small account (2.6K) at 26x.</t>
  </si>
  <si>
    <t xml:space="preserve">Scale-systems pillar for 10-50 person firms: 'You don't need a COO. You need the founder out of 3 loops: sales, delivery QA, hiring.'</t>
  </si>
  <si>
    <t xml:space="preserve">Founder Stathis Kafoglis argues that hiring a COO is the wrong question; the real bottleneck is that only the owner knows how things work. He compares three options — full-time COO ($220K–$425K all-in), fractional COO ($8K–$18K/month), and an operations advisor — and asks readers what they chose and what it cost.</t>
  </si>
  <si>
    <t xml:space="preserve">coo, hiring, operations, fractional executive, advisor, scaling, small business, founder</t>
  </si>
  <si>
    <t xml:space="preserve">Agency Growth, Marketing Strategy, Outbound / Warm Outbound</t>
  </si>
  <si>
    <t xml:space="preserve">https://x.com/ecomchigga/status/2011933685008781359</t>
  </si>
  <si>
    <t xml:space="preserve">I cracked the laziest way to print money online without showing your face.</t>
  </si>
  <si>
    <t xml:space="preserve">I cracked the laziest way to print money online without showing your face.
sounds like bait. it's not.
I run faceless accounts that make $4-8K monthly each.
I don't reply to comments. barely check DMs. post from my bed in boxers.
one account made $2,400 last month and I think I spent maybe 3 hours on it total.
let me break down exactly how this works.
THE FACELESS MODEL
no selfies. no camer</t>
  </si>
  <si>
    <t xml:space="preserve">Keep the story hook mechanic and swap in your own proof. Teach one content marketing &amp; systems lesson for (re-aim at business owners, not aspirants). Ship it as a LinkedIn text/carousel.</t>
  </si>
  <si>
    <t xml:space="preserve">A detailed guide on building anonymous, faceless social media accounts that generate income through digital products, emphasizing low-time investment and scalable monetization strategies.</t>
  </si>
  <si>
    <t xml:space="preserve">faceless accounts, digital products, passive income, info products, anonymous marketing, content strategy, niche marketing, product creation</t>
  </si>
  <si>
    <t xml:space="preserve">Consulting / Fractional, Marketing Strategy, Client Acquisition</t>
  </si>
  <si>
    <t xml:space="preserve">Harsh Patel</t>
  </si>
  <si>
    <t xml:space="preserve">@itsharshrpatel</t>
  </si>
  <si>
    <t xml:space="preserve">2026-09-27</t>
  </si>
  <si>
    <t xml:space="preserve">https://www.linkedin.com/feed/update/urn:li:activity:7510089893650321408</t>
  </si>
  <si>
    <t xml:space="preserve">Fortune 500s are hiring Chief AI Officers at half a million a year. The title sounds like buzzword theater. The job is not.</t>
  </si>
  <si>
    <t xml:space="preserve">Fortune 500s are hiring Chief AI Officers at half a million a year. The title sounds like buzzword theater. The job is not.
Job one: find where money and hours drain out of operations through manual work, fragmented data, and repeated questions.
Job two: sequence the fixes. Not "adopt AI everywhere." One system at a time, highest friction first, each one paying for the next.
Job three: train th</t>
  </si>
  <si>
    <t xml:space="preserve">Proof-first opening; High comment-to-like ratio: debate driver</t>
  </si>
  <si>
    <t xml:space="preserve">Harsh Patel outlines the four duties of a Chief AI Officer — finding operational drains, sequencing fixes, training the team, and owning outcomes — then pitches his fractional AI-operator service, The Forge, targeting mid-market companies. He offers a free "AI Operator Roadmap" to commenters.</t>
  </si>
  <si>
    <t xml:space="preserve">chief ai officer, fractional executive, ai adoption, mid-market, operations, process automation, consulting offer, lead magnet</t>
  </si>
  <si>
    <t xml:space="preserve">France Safety Travel</t>
  </si>
  <si>
    <t xml:space="preserve">@francesafetytra</t>
  </si>
  <si>
    <t xml:space="preserve">2026-08-24</t>
  </si>
  <si>
    <t xml:space="preserve">https://x.com/francesafetytra/status/2091815041586856396</t>
  </si>
  <si>
    <t xml:space="preserve">Louis Vuitton was born in 1821 in a small village in eastern France. When he was just 13 years old, he ran away from home and walked more than 400 kilometers to Paris. The journey took him nearly two years. Along the way</t>
  </si>
  <si>
    <t xml:space="preserve">Louis Vuitton was born in 1821 in a small village in eastern France. When he was just 13 years old, he ran away from home and walked more than 400 kilometers to Paris. The journey took him nearly two years. Along the way, he survived by taking small jobs, sleeping wherever he could, and learning how to adapt. By the time he arrived in Paris, he had almost nothing — but he had determination.
In Pa</t>
  </si>
  <si>
    <t xml:space="preserve">Sepia-toned image of a young, ragged figure leaning on stacked Louis Vuitton travel trunks outside the brand's storefront. The caption tells the 19th-century rags-to-riches story of Louis Vuitton, who walked to Paris as a teenager and built a trunk-making empire.</t>
  </si>
  <si>
    <t xml:space="preserve">louis vuitton, 19th century, france, paris, biography, craftsmanship, luxury brand, history</t>
  </si>
  <si>
    <t xml:space="preserve">Pranat Modi</t>
  </si>
  <si>
    <t xml:space="preserve">@modi.and.money</t>
  </si>
  <si>
    <t xml:space="preserve">2026-09-17</t>
  </si>
  <si>
    <t xml:space="preserve">https://www.instagram.com/reel/DdYuYOjTZnS/</t>
  </si>
  <si>
    <t xml:space="preserve">When the Indian jugaad mind works at 100% capacity... 🧠💡</t>
  </si>
  <si>
    <t xml:space="preserve">When the Indian jugaad mind works at 100% capacity... 🧠💡
(Disclaimer: Don’t actually try this! NPCI algorithms flag split payments as “structuring,” which can get your merchant account frozen. This reel is strictly for educational and entertainment purposes!)
#finance #growth #funding #business #upi</t>
  </si>
  <si>
    <t xml:space="preserve">Short reel showcasing an Indian "jugaad" app that splits a large UPI bill into multiple smaller QR payments to stay under the ₹1999 fee threshold. The creator warns that NPCI flags such split payments as structuring, which can freeze merchant accounts.</t>
  </si>
  <si>
    <t xml:space="preserve">upi, jugaad, india, payments, fintech, qr code, merchant account, structuring</t>
  </si>
  <si>
    <t xml:space="preserve">Ronit Pereira</t>
  </si>
  <si>
    <t xml:space="preserve">@caronitpereira</t>
  </si>
  <si>
    <t xml:space="preserve">2026-01-13</t>
  </si>
  <si>
    <t xml:space="preserve">https://x.com/CAronitpereira/status/2010993908382343528</t>
  </si>
  <si>
    <t xml:space="preserve">Meet Pulak Prasad</t>
  </si>
  <si>
    <t xml:space="preserve">Meet Pulak Prasad
&gt; Born in Bihar. His father served in the Indian armed forces. 
&gt; Built a strong foundation early with Engineering from IIT Delhi and Finance from IIM Ahmedabad.
&gt; Began his career as a consultant at McKinsey &amp; Company, where he learned the traits of successful businesses.
&gt; Joined Warburg Pincus India office in 1998 and became MD in 2002.
&gt; In 2001, made Warburg invest $292</t>
  </si>
  <si>
    <t xml:space="preserve">Keep the statement hook mechanic and swap in your own proof. Teach one marketing strategy lesson for Indian B2B service founders (10-50 staff). Ship it as a LinkedIn text/carousel.</t>
  </si>
  <si>
    <t xml:space="preserve">A promotional image for an investing expert, featuring a man in formal attire smiling in a corporate setting. The post highlights career milestones in finance, investments, and philanthropy.</t>
  </si>
  <si>
    <t xml:space="preserve">investing, finance, business, success, biography, career, education, philanthropy</t>
  </si>
  <si>
    <t xml:space="preserve">2026-05-14</t>
  </si>
  <si>
    <t xml:space="preserve">https://x.com/CAronitpereira/status/2054862822564364779</t>
  </si>
  <si>
    <t xml:space="preserve">“HPCL, BPCL, IOC, Oil India are the biggest monopolists. Everyday these four come together and decide the oil prices.”</t>
  </si>
  <si>
    <t xml:space="preserve">“HPCL, BPCL, IOC, Oil India are the biggest monopolists. Everyday these four come together and decide the oil prices.”
“Competition commission is sleeping, how is this possible?”
- Late Rakesh Jhunjhunwala. 2016 https://t.co/48W8yazZc8</t>
  </si>
  <si>
    <t xml:space="preserve">Small-account breakout: the idea beat the audience size; Opens on a real objection/quote the buyer recognises</t>
  </si>
  <si>
    <t xml:space="preserve">Keep the objection hook mechanic and swap in your own proof. Teach one high-ticket sales lesson for Indian B2B service founders (10-50 staff). Ship it as a LinkedIn text/carousel.</t>
  </si>
  <si>
    <t xml:space="preserve">The video features a speaker criticizing major Indian oil companies as monopolists controlling oil prices, while also criticizing the Competition Commission's inaction. English and Hindi subtitles emphasize the theme of monopolies and competition policy.</t>
  </si>
  <si>
    <t xml:space="preserve">monopoly, oil prices, competition commission, india, business, regulation, energy, criticism</t>
  </si>
  <si>
    <t xml:space="preserve">2026-04-29</t>
  </si>
  <si>
    <t xml:space="preserve">https://x.com/mustufa4socials/status/2049518414377480218</t>
  </si>
  <si>
    <t xml:space="preserve">Naval Ravikant: Apple is dead, SaaS is next, you have 18 months</t>
  </si>
  <si>
    <t xml:space="preserve">Apple is already dead. They just haven't filed the paperwork.
That's not a hot take. It's a structural read on what just happened in the last six months &amp; what Naval Ravikant confirmed on his podcast last week. The most patient investor in tech &amp; one of the sharpest capital allocators of the last 20 years just gave a verdict on the entire software industry: pure software is uninvestable.
If you'</t>
  </si>
  <si>
    <t xml:space="preserve">Prediction / Trend Call</t>
  </si>
  <si>
    <t xml:space="preserve">Small-account breakout: the idea beat the audience size; Timely trend call; rides the news cycle</t>
  </si>
  <si>
    <t xml:space="preserve">Keep the prediction hook mechanic and swap in your own proof. Teach one marketing strategy lesson for founders of 10-50 person boutique firms (US/UK/AU). Ship it as a LinkedIn text/carousel.</t>
  </si>
  <si>
    <t xml:space="preserve">The post contains only a URL with no additional content, making it impossible to categorize further or extract any meaningful descriptive elements.</t>
  </si>
  <si>
    <t xml:space="preserve">url only, link</t>
  </si>
  <si>
    <t xml:space="preserve">Matt Verlaque</t>
  </si>
  <si>
    <t xml:space="preserve">@mattverlaque</t>
  </si>
  <si>
    <t xml:space="preserve">https://www.instagram.com/reel/DdAftEkumIU/</t>
  </si>
  <si>
    <t xml:space="preserve">You already know who it is, and so does everybody good on your team.</t>
  </si>
  <si>
    <t xml:space="preserve">Keep the statement hook mechanic and swap in your own proof. Teach one business growth &amp; scale systems lesson for founders of 10-50 person boutique firms (US/UK/AU). Ship it as a IG reel, then repurpose to LinkedIn.</t>
  </si>
  <si>
    <t xml:space="preserve">Matt Verlaque advises leaders to ask their top employees who the lazy coworkers are, arguing that tolerating mediocrity drives high performers away. He urges managers to identify and remove underperformers before the A players leave on their own.</t>
  </si>
  <si>
    <t xml:space="preserve">leadership, management, underperformers, high performers, team standards, accountability, talent management, hiring</t>
  </si>
  <si>
    <t xml:space="preserve">2026-02-15</t>
  </si>
  <si>
    <t xml:space="preserve">https://x.com/dimitarangg/status/2022896228493627606</t>
  </si>
  <si>
    <t xml:space="preserve">how to exploit fake female accounts to print $1M+ with cold outreach</t>
  </si>
  <si>
    <t xml:space="preserve">men are biological goons who respond 10x faster when a woman messages them. i tested this across 50k+ outreach messages and the data is genuinely absurd: same message, same icp, different gender = 6x higher reply rates.
here's the complete female account exploitation playbook that most people are too scared to talk about:
everything from the account setup, the psychology breakdown, the exact scr</t>
  </si>
  <si>
    <t xml:space="preserve">Keep the how-to hook mechanic and swap in your own proof. Teach one outbound / warm outbound lesson for founders of 10-50 person boutique firms (US/UK/AU). Ship it as a LinkedIn text/carousel.</t>
  </si>
  <si>
    <t xml:space="preserve">This social media post by Dimitar Angelov shares a link that likely discusses large language models (LLMs), indicated by the context suggesting AI-focused tech news or analysis. The post itself is simply a link without additional commentary.</t>
  </si>
  <si>
    <t xml:space="preserve">llm, ai, tech news, ai tools</t>
  </si>
  <si>
    <t xml:space="preserve">jun</t>
  </si>
  <si>
    <t xml:space="preserve">@hyojun_at</t>
  </si>
  <si>
    <t xml:space="preserve">2025-11-06</t>
  </si>
  <si>
    <t xml:space="preserve">https://x.com/hyojun_at/status/1986236078999900277</t>
  </si>
  <si>
    <t xml:space="preserve">the boldest cold DM i've gotten on LinkedIn so far https://t.co/XL7alIwDjT</t>
  </si>
  <si>
    <t xml:space="preserve">The image shows a screenshot of a direct message on LinkedIn reading: Hey Jun, I no longer work with Cluey. Would love to chat if you are open to it :).</t>
  </si>
  <si>
    <t xml:space="preserve">linkedin, direct message, cold outreach, networking, professional communication, career change, job market, business contact</t>
  </si>
  <si>
    <t xml:space="preserve">Business Growth &amp; Scale Systems, Freelancing &amp; International Clients</t>
  </si>
  <si>
    <t xml:space="preserve">agencysupply.co</t>
  </si>
  <si>
    <t xml:space="preserve">@agencysupply.co</t>
  </si>
  <si>
    <t xml:space="preserve">https://www.instagram.com/reel/DctXXS8DjnA/</t>
  </si>
  <si>
    <t xml:space="preserve">What I send to my $12,100 Client</t>
  </si>
  <si>
    <t xml:space="preserve">Six documents. That's the whole system. Proposal, contract, invoice, welcome doc, client portal, tha...</t>
  </si>
  <si>
    <t xml:space="preserve">Reel: Screen recording compilation overlaying the creator's desk setup</t>
  </si>
  <si>
    <t xml:space="preserve">'What I send to my $12,100 client': process artefacts (proposal, contract, onboarding) shown as screen recording. 60x on a 7.9K account.</t>
  </si>
  <si>
    <t xml:space="preserve">'What a $10K/mo client gets in week 1' walk-through of your onboarding docs. Proves operational maturity to 10-50 person firms.</t>
  </si>
  <si>
    <t xml:space="preserve">A screen-recording compilation demonstrating a 10-step digital onboarding and workflow process for high-ticket clients.</t>
  </si>
  <si>
    <t xml:space="preserve">brianmayoral</t>
  </si>
  <si>
    <t xml:space="preserve">@brianmayoral</t>
  </si>
  <si>
    <t xml:space="preserve">https://www.instagram.com/reel/DbL3kepRXBz/</t>
  </si>
  <si>
    <t xml:space="preserve">How to ask for a referral without sounding desperate?</t>
  </si>
  <si>
    <t xml:space="preserve">Asking for a referral without sounding desperate runs on give, get, give. Open with a compliment, ge...</t>
  </si>
  <si>
    <t xml:space="preserve">Reel: Podcast-style interview</t>
  </si>
  <si>
    <t xml:space="preserve">Small-account breakout: the idea beat the audience size; Scannable, save-worthy steps; Format: expert advice q&amp;a</t>
  </si>
  <si>
    <t xml:space="preserve">Keep the how-to hook mechanic and swap in your own proof. Teach one outbound / warm outbound lesson for founders of 10-50 person boutique firms (US/UK/AU). Ship it as a IG reel, then repurpose to LinkedIn.</t>
  </si>
  <si>
    <t xml:space="preserve">A business professional explains a specific sales framework for obtaining referrals without appearing needy.</t>
  </si>
  <si>
    <t xml:space="preserve">b2bwithdanielle</t>
  </si>
  <si>
    <t xml:space="preserve">@b2bwithdanielle</t>
  </si>
  <si>
    <t xml:space="preserve">https://www.instagram.com/reel/DcFoz5ch63i/</t>
  </si>
  <si>
    <t xml:space="preserve">"I can't get clients" 🙄🙄🙄</t>
  </si>
  <si>
    <t xml:space="preserve">It's 2026, there's no excuses 🤨 #leadgeneration #aitools #salesstrategy #b2bsales #salesautomation</t>
  </si>
  <si>
    <t xml:space="preserve">Reel: POV / Screen Recording</t>
  </si>
  <si>
    <t xml:space="preserve">Small-account breakout: the idea beat the audience size; Opens on a real objection/quote the buyer recognises; Format: step-by-step screen tutorial with pointer</t>
  </si>
  <si>
    <t xml:space="preserve">Keep the objection hook mechanic and swap in your own proof. Teach one client acquisition lesson for founders of 10-50 person boutique firms (US/UK/AU). Ship it as a IG reel, then repurpose to LinkedIn.</t>
  </si>
  <si>
    <t xml:space="preserve">This reel provides a step-by-step tutorial on how to integrate an AI tool with a CRM to automate lead generation.</t>
  </si>
  <si>
    <t xml:space="preserve">Client acquisition (EN); Content systems; Agency growth</t>
  </si>
  <si>
    <t xml:space="preserve">dylanolivagrows</t>
  </si>
  <si>
    <t xml:space="preserve">@dylanolivagrows</t>
  </si>
  <si>
    <t xml:space="preserve">https://www.instagram.com/reel/DdEKK0ThxVu/</t>
  </si>
  <si>
    <t xml:space="preserve">WATCH THIS!!</t>
  </si>
  <si>
    <t xml:space="preserve">Follow for more SEO tips! #localseo #seotips #homeservices #contractormarketing #googleranking</t>
  </si>
  <si>
    <t xml:space="preserve">Reel: POV, screen recording</t>
  </si>
  <si>
    <t xml:space="preserve">Small-account breakout: the idea beat the audience size; Format: Creator introduces a specific digital task by pointing at the camera, then switches to a s</t>
  </si>
  <si>
    <t xml:space="preserve">A creator demonstrates a step-by-step tutorial on how to set up an 'Offer' post on a Google Business Profile to improve SEO.</t>
  </si>
  <si>
    <t xml:space="preserve">conner_krenos</t>
  </si>
  <si>
    <t xml:space="preserve">@conner_krenos</t>
  </si>
  <si>
    <t xml:space="preserve">https://www.instagram.com/reel/DbYPh8AxEoP/</t>
  </si>
  <si>
    <t xml:space="preserve">“Im in Sales, just get to the F****** Price” 5K vs 40K Closer (Ego)</t>
  </si>
  <si>
    <t xml:space="preserve">#sales #highticketsales #makemoneyonline #onlinebusiness #reels</t>
  </si>
  <si>
    <t xml:space="preserve">Reel: split screen (creator + b-roll)</t>
  </si>
  <si>
    <t xml:space="preserve">Specific number/result in the hook; Opens on a real objection/quote the buyer recognises; Format: recorded roleplay with voiceover commentary</t>
  </si>
  <si>
    <t xml:space="preserve">This is a recording of a sales training call, showcasing the contrast between a low-performing and a high-performing salesperson by analyzing their ego and handling of objections.</t>
  </si>
  <si>
    <t xml:space="preserve">Marketing Strategy, High-Ticket Sales</t>
  </si>
  <si>
    <t xml:space="preserve">gmalho.mkt</t>
  </si>
  <si>
    <t xml:space="preserve">@gmalho.mkt</t>
  </si>
  <si>
    <t xml:space="preserve">https://www.instagram.com/reel/DcD3bofMQF1/</t>
  </si>
  <si>
    <t xml:space="preserve">POV: the client says 'the leads are weak'</t>
  </si>
  <si>
    <t xml:space="preserve">The video every client raising concerns about lead quality should watch 😎
#leads #salesman #salesle...</t>
  </si>
  <si>
    <t xml:space="preserve">Reel: movie clip</t>
  </si>
  <si>
    <t xml:space="preserve">Relatability</t>
  </si>
  <si>
    <t xml:space="preserve">Opens on a real objection/quote the buyer recognises; Format: movie scene with text overlay</t>
  </si>
  <si>
    <t xml:space="preserve">A iconic clip from the movie Glengarry Glen Ross is used as a relatable POV for salespeople dealing with clients who complain about lead quality.</t>
  </si>
  <si>
    <t xml:space="preserve">moneybuilderhub</t>
  </si>
  <si>
    <t xml:space="preserve">@moneybuilderhub</t>
  </si>
  <si>
    <t xml:space="preserve">https://www.instagram.com/reel/DbPCpZvzM0l/</t>
  </si>
  <si>
    <t xml:space="preserve">POV: Intelligence gets you in the room... emotional intelligence closes the deal. 💼✨</t>
  </si>
  <si>
    <t xml:space="preserve">Title: The Big Bang Theory
Created by: Chuck Lorre &amp; Bill Prady
Genre: Sitcom, Comedy
Runtime: 20–2...</t>
  </si>
  <si>
    <t xml:space="preserve">Reel: Skit / Roleplay</t>
  </si>
  <si>
    <t xml:space="preserve">Small-account breakout: the idea beat the audience size; Contrast format (X vs Y) creates instant tension; Format: staged dialogue skit</t>
  </si>
  <si>
    <t xml:space="preserve">A saleswoman uses reverse psychology and emotional intelligence to dramatically increase the price of jewelry during a negotiation with a customer.</t>
  </si>
  <si>
    <t xml:space="preserve">editwithajay_</t>
  </si>
  <si>
    <t xml:space="preserve">@editwithajay_</t>
  </si>
  <si>
    <t xml:space="preserve">https://www.instagram.com/reel/Db0WCUkOUwe/</t>
  </si>
  <si>
    <t xml:space="preserve">Unlimited usa clients</t>
  </si>
  <si>
    <t xml:space="preserve">How to find usa clients!!
.
.
#instalike #usaclients #client #instagood #editing</t>
  </si>
  <si>
    <t xml:space="preserve">Reel: Screen recording</t>
  </si>
  <si>
    <t xml:space="preserve">Small-account breakout: the idea beat the audience size; Format: scrolling screen recording with narration</t>
  </si>
  <si>
    <t xml:space="preserve">A creator demonstrates a website listing numerous high-paying freelance job opportunities to encourage viewers to apply.</t>
  </si>
  <si>
    <t xml:space="preserve">Freelancing</t>
  </si>
  <si>
    <t xml:space="preserve">International clients (India)</t>
  </si>
  <si>
    <t xml:space="preserve">minding.own.businesss</t>
  </si>
  <si>
    <t xml:space="preserve">@minding.own.businesss</t>
  </si>
  <si>
    <t xml:space="preserve">https://www.instagram.com/reel/Dbaj1-HI7r5/</t>
  </si>
  <si>
    <t xml:space="preserve">POV: Your Startup Is About to Cross ₹50 Lakhs</t>
  </si>
  <si>
    <t xml:space="preserve">121 days ago, this business was just an idea. Today we’re unloading our 5th truck and getting closer...</t>
  </si>
  <si>
    <t xml:space="preserve">Reel: Founder vlog / B-roll montage</t>
  </si>
  <si>
    <t xml:space="preserve">Aspiration</t>
  </si>
  <si>
    <t xml:space="preserve">Small-account breakout: the idea beat the audience size; Specific number/result in the hook; Contrast format (X vs Y) creates instant tension; Format: narrative voiceover with b-roll montage</t>
  </si>
  <si>
    <t xml:space="preserve">Keep the pov hook mechanic and swap in your own proof. Teach one business growth &amp; scale systems lesson for Indian B2B service founders (10-50 staff). Ship it as a IG reel, then repurpose to LinkedIn.</t>
  </si>
  <si>
    <t xml:space="preserve">A young entrepreneur shares his startup's 50 Lakh turnover milestone while filming himself performing manual labor to emphasize operational diligence.</t>
  </si>
  <si>
    <t xml:space="preserve">byalexasibberson</t>
  </si>
  <si>
    <t xml:space="preserve">@byalexasibberson</t>
  </si>
  <si>
    <t xml:space="preserve">https://www.instagram.com/reel/DbLnqZTDHNd/</t>
  </si>
  <si>
    <t xml:space="preserve">There is a marketing secret most brands ignore.</t>
  </si>
  <si>
    <t xml:space="preserve">Good things come in threes 🫰
Follow for more retail branding and messaging psychology tricks.
#rul...</t>
  </si>
  <si>
    <t xml:space="preserve">Reel: Split screen (creator + b-roll) with talking head.</t>
  </si>
  <si>
    <t xml:space="preserve">Small-account breakout: the idea beat the audience size; Curiosity gap / insider framing; Format: talking head with illustrative b-roll</t>
  </si>
  <si>
    <t xml:space="preserve">Keep the insider secret hook mechanic and swap in your own proof. Teach one marketing strategy lesson for founders of 10-50 person boutique firms (US/UK/AU). Ship it as a IG reel, then repurpose to LinkedIn.</t>
  </si>
  <si>
    <t xml:space="preserve">A creator explains the 'Rule of 3' in marketing with specific examples of its application in branding and advertising.</t>
  </si>
  <si>
    <t xml:space="preserve">Format: framework explainer; B2B marketing</t>
  </si>
  <si>
    <t xml:space="preserve">charlesthecloser</t>
  </si>
  <si>
    <t xml:space="preserve">@charlesthecloser</t>
  </si>
  <si>
    <t xml:space="preserve">https://www.instagram.com/reel/DbAzTiqSg8j/</t>
  </si>
  <si>
    <t xml:space="preserve">3 Philosophies That Will Make You Disgustingly Good at Sales</t>
  </si>
  <si>
    <t xml:space="preserve">3 Philosophies That Will Make You Disgustingly Good At Sales</t>
  </si>
  <si>
    <t xml:space="preserve">Reel: split screen (creator + b-roll),</t>
  </si>
  <si>
    <t xml:space="preserve">Format: talking head with relevant stock visuals</t>
  </si>
  <si>
    <t xml:space="preserve">A creator shares three specific philosophical concepts and applies them to professional sales success.</t>
  </si>
  <si>
    <t xml:space="preserve">aarushi_nagar</t>
  </si>
  <si>
    <t xml:space="preserve">@aarushi_nagar</t>
  </si>
  <si>
    <t xml:space="preserve">https://www.instagram.com/reel/Db73Km_sekv/</t>
  </si>
  <si>
    <t xml:space="preserve">5 ways you can tell a brand has zero taste with AI</t>
  </si>
  <si>
    <t xml:space="preserve">Comment an AI red flag you agree with the most👀</t>
  </si>
  <si>
    <t xml:space="preserve">Reel: Split screen (creator + b-roll), talking head</t>
  </si>
  <si>
    <t xml:space="preserve">Small-account breakout: the idea beat the audience size; Scannable, save-worthy steps; Format: talking head with illustrative b-roll</t>
  </si>
  <si>
    <t xml:space="preserve">A creator provides a critique of five ways brands can misuse AI in their marketing efforts, arguing that it can harm brand value.</t>
  </si>
  <si>
    <t xml:space="preserve">jacquesspitzer</t>
  </si>
  <si>
    <t xml:space="preserve">@jacquesspitzer</t>
  </si>
  <si>
    <t xml:space="preserve">https://www.instagram.com/reel/DdeQ4Ndq_h_/</t>
  </si>
  <si>
    <t xml:space="preserve">WHICH PRODUCT SOLD MORE?</t>
  </si>
  <si>
    <t xml:space="preserve">The #1 rule to selling anything is you can’t communicate with someone unless they are paying attenti...</t>
  </si>
  <si>
    <t xml:space="preserve">Question / Curiosity</t>
  </si>
  <si>
    <t xml:space="preserve">Reel: Speaker on stage presenting to an audience</t>
  </si>
  <si>
    <t xml:space="preserve">Small-account breakout: the idea beat the audience size; Format: A speaker presents a binary 'guess the result' choice based on visual examples to an audie</t>
  </si>
  <si>
    <t xml:space="preserve">Keep the question hook mechanic and swap in your own proof. Teach one marketing strategy lesson for founders of 10-50 person boutique firms (US/UK/AU). Ship it as a IG reel, then repurpose to LinkedIn.</t>
  </si>
  <si>
    <t xml:space="preserve">A speaker on stage conducts an experiment with his audience to illustrate the concept of capturing consumer attention through unconventional marketing.</t>
  </si>
  <si>
    <t xml:space="preserve">B2B marketing</t>
  </si>
  <si>
    <t xml:space="preserve">Agency Growth, Freelancing &amp; International Clients, Marketing Strategy</t>
  </si>
  <si>
    <t xml:space="preserve">George Clements</t>
  </si>
  <si>
    <t xml:space="preserve">@georgeclem</t>
  </si>
  <si>
    <t xml:space="preserve">2026-01-19</t>
  </si>
  <si>
    <t xml:space="preserve">https://x.com/georgeclem/status/2013251109268418603</t>
  </si>
  <si>
    <t xml:space="preserve">HIRING Copywriters 🚨</t>
  </si>
  <si>
    <t xml:space="preserve">HIRING Copywriters 🚨
OTE: $5k/m (in future $10k/m+)
Part time - potential for full time.
Scripting video ads + VSL's for agency owners.
Ability to work w/ 7 + 8 figure businesses helping them sign dozens of clients a month.
Get copy chiefed by me.
Apply using link below.</t>
  </si>
  <si>
    <t xml:space="preserve">Keep the statement hook mechanic and swap in your own proof. Teach one business growth &amp; scale systems lesson for (re-aim at business owners, not aspirants). Ship it as a LinkedIn text/carousel.</t>
  </si>
  <si>
    <t xml:space="preserve">Job listing for freelance/part-time video ads copywriter for agencies servicing 7-8 figure businesses, with $5k starting monthly pay and $10k+ upside potential.</t>
  </si>
  <si>
    <t xml:space="preserve">copywriter, remote work, video scripting, freelance hire, monthly salary, agency work, scriptwriting, video sales letters</t>
  </si>
  <si>
    <t xml:space="preserve">Client Acquisition, Business Growth &amp; Scale Systems, Marketing Strategy</t>
  </si>
  <si>
    <t xml:space="preserve">John Peslar</t>
  </si>
  <si>
    <t xml:space="preserve">@jonathan-peslar</t>
  </si>
  <si>
    <t xml:space="preserve">2026-05-01</t>
  </si>
  <si>
    <t xml:space="preserve">https://www.linkedin.com/feed/update/urn:li:activity:7455938006865297408</t>
  </si>
  <si>
    <t xml:space="preserve">R.I.P. cold outbound.</t>
  </si>
  <si>
    <t xml:space="preserve">R.I.P. cold outbound.
Claude Opus 4.7 booked us 12 demos in 5 days.
No cold lists. No spray-and-pray. Just Claude sending DMs to people already showing buying signals.
Cold outreach: 1-2% reply rate. 100 messages per meeting. Intent-based + Claude 4.7: 25-40% reply rate. 10 messages per meeting.
The unlock isn't the message. It's the timing.
  So I packaged the whole system into a p</t>
  </si>
  <si>
    <t xml:space="preserve">Timely trend call; rides the news cycle; High comment-to-like ratio: debate driver</t>
  </si>
  <si>
    <t xml:space="preserve">Keep the prediction hook mechanic and swap in your own proof. Teach one outbound / warm outbound lesson for founders of 10-50 person boutique firms (US/UK/AU). Ship it as a LinkedIn text/carousel.</t>
  </si>
  <si>
    <t xml:space="preserve">A silver laptop displays the text Claude Opus 4.7 on a blue background, promoting an AI-driven cold outbound sales system with higher reply rates and booking efficiency.</t>
  </si>
  <si>
    <t xml:space="preserve">cold outreach, ai sales, lead generation, dm outreach, claude opus, linkedinsales, meeting booking, sales playbook</t>
  </si>
  <si>
    <t xml:space="preserve">cold outreach warm outbound pipeline B2B founder-led sales; LinkedIn DM outreach scripts and warm prospecting signals</t>
  </si>
  <si>
    <t xml:space="preserve">Pat Walls</t>
  </si>
  <si>
    <t xml:space="preserve">@patrickwalls</t>
  </si>
  <si>
    <t xml:space="preserve">2026-05-20</t>
  </si>
  <si>
    <t xml:space="preserve">https://www.linkedin.com/feed/update/urn:li:activity:7462731940933193728</t>
  </si>
  <si>
    <t xml:space="preserve">she built a $60K/month SaaS in 2 months using just LinkedIn posts</t>
  </si>
  <si>
    <t xml:space="preserve">she built a $60K/month SaaS in 2 months using just LinkedIn posts
no ads. no VC. no fancy growth hacks.
just one platform that everyone overlooks.
here's how Lara did it:
1. she started on LinkedIn by accident - just trying to get a job. instead, she built a following, scaled a personal branding agency to 6 figures, then hit 7 figures through education. all from LinkedIn content.
2. she and h</t>
  </si>
  <si>
    <t xml:space="preserve">Keep the build hook mechanic and swap in your own proof. Teach one business growth &amp; scale systems lesson for founders of 10-50 person boutique firms (US/UK/AU). Ship it as a LinkedIn text/carousel.</t>
  </si>
  <si>
    <t xml:space="preserve">This post shares the story of Lara, who built a $60K/month SaaS in two months by leveraging LinkedIn. She initially used the platform to build a personal brand and scaled an agency before co-founding Kleo, a content management tool.</t>
  </si>
  <si>
    <t xml:space="preserve">saas, linkedin, bootstrapped, no-code, organic growth, personal brand, entrepreneurship, build in public</t>
  </si>
  <si>
    <t xml:space="preserve">personal brand for founders builds trust shortens sales cycle</t>
  </si>
  <si>
    <t xml:space="preserve">stefanwolf</t>
  </si>
  <si>
    <t xml:space="preserve">@stefanwolf</t>
  </si>
  <si>
    <t xml:space="preserve">https://www.instagram.com/reel/DbJYp_OP6M1/</t>
  </si>
  <si>
    <t xml:space="preserve">the reality of scaling a company to a million a month:</t>
  </si>
  <si>
    <t xml:space="preserve">It will happen.</t>
  </si>
  <si>
    <t xml:space="preserve">Small-account breakout: the idea beat the audience size; Format: talking head with dynamic captions</t>
  </si>
  <si>
    <t xml:space="preserve">A business owner reflects on his goal to scale his company's revenue and expand his team while sitting in a stadium.</t>
  </si>
  <si>
    <t xml:space="preserve">Jon Evans</t>
  </si>
  <si>
    <t xml:space="preserve">@uncensoredcmo</t>
  </si>
  <si>
    <t xml:space="preserve">2026-03-04</t>
  </si>
  <si>
    <t xml:space="preserve">https://www.linkedin.com/feed/update/urn:li:activity:7434874964790644738</t>
  </si>
  <si>
    <t xml:space="preserve">HOW TO GROW YOUR BRAND ON LINKEDIN</t>
  </si>
  <si>
    <t xml:space="preserve">HOW TO GROW YOUR BRAND ON LINKEDIN
I have been looking forward to interviewing Jessica Jensen the CMO of LinkedIn on Uncensored CMO for some time and judging by the number of comments on my recent post so have many of you
It was such a fun episode to record and you can tell Jessica has an improv comedy background because she brings so much fun, energy and wisdom to all the topics we cover
I mus</t>
  </si>
  <si>
    <t xml:space="preserve">An author promotes an interview episode with LinkedIn's CMO, Jessica Jensen, discussing strategies for growing personal brands on LinkedIn, AI's impact on jobs, team performance, and new platform features.</t>
  </si>
  <si>
    <t xml:space="preserve">linkedin, brand growth, b2b marketing, personal branding, ai, team building, content marketing, interview</t>
  </si>
  <si>
    <t xml:space="preserve">itshannahneu</t>
  </si>
  <si>
    <t xml:space="preserve">@itshannahneu</t>
  </si>
  <si>
    <t xml:space="preserve">https://www.instagram.com/reel/DbHIs-aSgsS/</t>
  </si>
  <si>
    <t xml:space="preserve">Content Ideas for Family Business</t>
  </si>
  <si>
    <t xml:space="preserve">comment “LEADS” for my free 9 line bio fix to get more customers. let me know which family business ...</t>
  </si>
  <si>
    <t xml:space="preserve">Reel: Talking head with visual overlays</t>
  </si>
  <si>
    <t xml:space="preserve">Keyword CTA converts reach into DMs; Format: expert commentary with background visual overlays</t>
  </si>
  <si>
    <t xml:space="preserve">A marketing expert explains how family-owned service businesses can create more engaging, personality-driven social media content rather than posting generic work photos.</t>
  </si>
  <si>
    <t xml:space="preserve">Business Marketing</t>
  </si>
  <si>
    <t xml:space="preserve">Business Growth &amp; Scale Systems, Content Marketing &amp; Systems, Consulting / Fractional</t>
  </si>
  <si>
    <t xml:space="preserve">2026-09-30</t>
  </si>
  <si>
    <t xml:space="preserve">https://x.com/NickB2005/status/2105326872758235176</t>
  </si>
  <si>
    <t xml:space="preserve">I turned down a VP of Marketing offer with a $250K base salary and executive equity.</t>
  </si>
  <si>
    <t xml:space="preserve">I turned down a VP of Marketing offer with a $250K base salary and executive equity.
Early in my career, my scorecard was titles: Director before 30, VP before 35. I thought an executive title meant security.
Getting laid off 3 times shattered that illusion.
A title does not protect you. It ties 100% of your livelihood to 1 CEO, 1 board vote, and 1 bad quarter. If that relationship breaks, your</t>
  </si>
  <si>
    <t xml:space="preserve">Keep the story hook mechanic and swap in your own proof. Teach one marketing strategy lesson for (re-aim at business owners, not aspirants). Ship it as a LinkedIn text/carousel.</t>
  </si>
  <si>
    <t xml:space="preserve">Nick Bennett shares that he declined a VP of Marketing role with a $250K base and equity to keep running his solo fractional marketing business, which he says will hit $750K in revenue this year with no CRM, website, or pricing packages. He argues a diversified solo business gives more autonomy and career control than an executive title.</t>
  </si>
  <si>
    <t xml:space="preserve">solopreneur, fractional cmo, career advice, personal brand, audience building, referrals, revenue transparency, executive career</t>
  </si>
  <si>
    <t xml:space="preserve">Agency Growth, Freelancing &amp; International Clients</t>
  </si>
  <si>
    <t xml:space="preserve">2026-02-08</t>
  </si>
  <si>
    <t xml:space="preserve">https://x.com/WorkflowWhisper/status/2020557627416023335</t>
  </si>
  <si>
    <t xml:space="preserve">I Stopped Debugging 3 Months Ago. My Workflows Fix Themselves. Here's What $600K/Month Taught Me.</t>
  </si>
  <si>
    <t xml:space="preserve">I've been building n8n automations for 4 years. Started as a solo freelancer charging $500 per workflow, scaled to a 12-person agency doing $280K/month, then watched everything change in 2025 and rebuilt the entire operation from scratch.
Now I run a $600K/month automation agency with 5 employees. Our entire backend is Claude and Cursor. No senior developers. No "automation architects." No techni</t>
  </si>
  <si>
    <t xml:space="preserve">This post discusses strategies for implementing no-code automation workflows to improve efficiency and productivity. It features step-by-step instructions and examples of task automation without programming.</t>
  </si>
  <si>
    <t xml:space="preserve">no-code, automation, productivity tools, workflow, task automation, efficiency, guide, strategy</t>
  </si>
  <si>
    <t xml:space="preserve">Marketing Strategy, Business Growth &amp; Scale Systems</t>
  </si>
  <si>
    <t xml:space="preserve">longevitypenguin</t>
  </si>
  <si>
    <t xml:space="preserve">@longevitypenguin</t>
  </si>
  <si>
    <t xml:space="preserve">https://www.instagram.com/reel/DbjoFw9xS8R/</t>
  </si>
  <si>
    <t xml:space="preserve">This Forbes listed founder doing $250M a year just hired me to build his personal brand.</t>
  </si>
  <si>
    <t xml:space="preserve">Here’s how I helped @georgiosfrangulis build his founder-led personal brand 📈
📸 Credit to @odanielf...</t>
  </si>
  <si>
    <t xml:space="preserve">Specific number/result in the hook; Proof-first opening; Format: case study voiceover with b-roll</t>
  </si>
  <si>
    <t xml:space="preserve">Keep the result hook mechanic and swap in your own proof. Teach one content marketing &amp; systems lesson for founders of 10-50 person boutique firms (US/UK/AU). Ship it as a IG reel, then repurpose to LinkedIn.</t>
  </si>
  <si>
    <t xml:space="preserve">A creator explains the specific branding and content strategy they implemented to help a successful founder build his personal brand.</t>
  </si>
  <si>
    <t xml:space="preserve">Content systems; B2B marketing</t>
  </si>
  <si>
    <t xml:space="preserve">Consulting / Fractional, Marketing Strategy, Outbound / Warm Outbound</t>
  </si>
  <si>
    <t xml:space="preserve">Dra</t>
  </si>
  <si>
    <t xml:space="preserve">@draprints</t>
  </si>
  <si>
    <t xml:space="preserve">https://x.com/draprints/status/2095133643182322119</t>
  </si>
  <si>
    <t xml:space="preserve">i refuse to believe people "cant find clients"</t>
  </si>
  <si>
    <t xml:space="preserve">i refuse to believe people "cant find clients"
ive had zero clients back in the day
SEVERAL times
and ive never once struggled to find one
there are 930 million people on linkedin
i can type "CFO" into it
it gives me 40,000 men with a budget
i can InMail them without connecting first
theres no way youre in an industry with 20,000 companies and not one of them wants to talk to you
you post</t>
  </si>
  <si>
    <t xml:space="preserve">Myth-bust with math ('930M on LinkedIn, type CFO, get 40,000 with a budget'). Tough-love tone.</t>
  </si>
  <si>
    <t xml:space="preserve">'Your TAM on LinkedIn is 4,212 people' with your ICP filters shown on screen (Sales Nav search). Concrete and educational.</t>
  </si>
  <si>
    <t xml:space="preserve">Text post arguing that finding clients is easy, citing LinkedIn's 930 million users and LinkedIn search/InMail as a way to reach prospects directly. The author dismisses claims of being unable to find clients as "industrial cope."</t>
  </si>
  <si>
    <t xml:space="preserve">client acquisition, linkedin, cold outreach, inmail, consulting, sales, business advice, rant</t>
  </si>
  <si>
    <t xml:space="preserve">zchangd</t>
  </si>
  <si>
    <t xml:space="preserve">https://www.instagram.com/reel/DbTSnDZBQGM/</t>
  </si>
  <si>
    <t xml:space="preserve">1 year of AI agency advice in &lt; 52 seconds</t>
  </si>
  <si>
    <t xml:space="preserve">1. Showing a personalized ai demo gives the illusion of time invested and activates the law of recip...</t>
  </si>
  <si>
    <t xml:space="preserve">Proof-first opening; Format: numbered rapid-fire advice list</t>
  </si>
  <si>
    <t xml:space="preserve">Keep the result hook mechanic and swap in your own proof. Teach one agency growth lesson for founders of 10-50 person boutique firms (US/UK/AU). Ship it as a IG reel, then repurpose to LinkedIn.</t>
  </si>
  <si>
    <t xml:space="preserve">The creator provides 10 rapid-fire business tips relevant to operating an agency specializing in Artificial Intelligence.</t>
  </si>
  <si>
    <t xml:space="preserve">Eli</t>
  </si>
  <si>
    <t xml:space="preserve">@elixpampa</t>
  </si>
  <si>
    <t xml:space="preserve">https://x.com/EliXPampa/status/2100548320964096222</t>
  </si>
  <si>
    <t xml:space="preserve">Smart people are the worst marketers on earth</t>
  </si>
  <si>
    <t xml:space="preserve">Smart people are the worst marketers on earth
You see the countdown timer, the "3 spots left", the "$26,000 of value for $997" and think this would never work on me
Correct, and that is exactly the problem
It was written for the 99% who dont spend all day studying why it works, and there are a lot more of them than there are of you
Thats how an empty company with no product does $1,000,000 a m</t>
  </si>
  <si>
    <t xml:space="preserve">A text post arguing that smart people who cringe at hypey marketing (countdown timers, "3 spots left", inflated value stacks) are missing that these tactics work on the vast majority of buyers. The author urges running ads that make you cringe, since ads that impress you only sell to other marketers.</t>
  </si>
  <si>
    <t xml:space="preserve">marketing psychology, scarcity marketing, countdown timer, sales tactics, copywriting, direct response, founders, contrarian take</t>
  </si>
  <si>
    <t xml:space="preserve">John Ngo Doctor of Business Administration (DBA, MBB, CFE) is hiring</t>
  </si>
  <si>
    <t xml:space="preserve">@ngocongtruong</t>
  </si>
  <si>
    <t xml:space="preserve">2026-09-22</t>
  </si>
  <si>
    <t xml:space="preserve">https://www.linkedin.com/feed/update/urn:li:activity:7508299114216968193</t>
  </si>
  <si>
    <t xml:space="preserve">WE’RE LOOKING FOR FRACTIONAL COOs IN VIETNAM</t>
  </si>
  <si>
    <t xml:space="preserve">WE’RE LOOKING FOR FRACTIONAL COOs IN VIETNAM
John&amp;Partners is expanding our executive advisory and transformation ecosystem in Vietnam, and we are looking for experienced business leaders to join our network as Fractional Chief Operating Officers (Fractional COOs).
This is NOT a traditional full-time COO position.
We are looking for senior executives who have spent years building, operating, scali</t>
  </si>
  <si>
    <t xml:space="preserve">Keep the statement hook mechanic and swap in your own proof. Teach one consulting / fractional lesson for founders of 10-50 person boutique firms (US/UK/AU). Ship it as a LinkedIn text/carousel.</t>
  </si>
  <si>
    <t xml:space="preserve">John&amp;Partners is recruiting experienced senior executives in Vietnam to join its network as Fractional COOs, offering a portfolio career across client companies rather than a full-time role. It details desired leadership backgrounds, industries, and the firm's assessment and onboarding process.</t>
  </si>
  <si>
    <t xml:space="preserve">fractional coo, vietnam, executive search, hiring, portfolio career, leadership, operations, business transformation</t>
  </si>
  <si>
    <t xml:space="preserve">Client Acquisition, High-Ticket Sales</t>
  </si>
  <si>
    <t xml:space="preserve">theozairjk</t>
  </si>
  <si>
    <t xml:space="preserve">@theozairjk</t>
  </si>
  <si>
    <t xml:space="preserve">https://www.instagram.com/reel/Db_AqZjoN_r/</t>
  </si>
  <si>
    <t xml:space="preserve">F*** (flip) your funnel</t>
  </si>
  <si>
    <t xml:space="preserve">Comment 'LEAD' for the upside down funnel 🚀</t>
  </si>
  <si>
    <t xml:space="preserve">Reel: talking head with overlay graphics</t>
  </si>
  <si>
    <t xml:space="preserve">Small-account breakout: the idea beat the audience size; Keyword CTA converts reach into DMs; Format: talking head with screen overlay</t>
  </si>
  <si>
    <t xml:space="preserve">A creator explains a social media marketing strategy that involves 'flipping' a traditional sales funnel to generate high-ticket leads.</t>
  </si>
  <si>
    <t xml:space="preserve">Marketing Strategy, Agency Growth, Client Acquisition</t>
  </si>
  <si>
    <t xml:space="preserve">Michael Lovegrove</t>
  </si>
  <si>
    <t xml:space="preserve">@michaellovegrove</t>
  </si>
  <si>
    <t xml:space="preserve">https://www.linkedin.com/feed/update/urn:li:activity:7507034368746508288</t>
  </si>
  <si>
    <t xml:space="preserve">Most people are sh*t at introducing themselves.</t>
  </si>
  <si>
    <t xml:space="preserve">Most people are sh*t at introducing themselves.
Especially business owners.
Credit to Rohan Sheth for the sheet 👇
You ask someone what they do and get:
“I’m a consultant.”
“I run a marketing agency.”
“I’m a business coach.”
Cool.
But what does that actually tell me?
Very little.
The mistake is thinking your introduction is about explaining everything you do.
It isn’t.
It’s about giving s</t>
  </si>
  <si>
    <t xml:space="preserve">Infographic titled "How To Introduce Yourself" with eight numbered tips on memorable intros (Lead With Proof, Hit A Pain Point, Use A 10-Word Story, etc.) around a handshake cartoon. The caption critiques vague intros like "I'm a consultant" and promotes a free webinar on selling without feeling salesy.</t>
  </si>
  <si>
    <t xml:space="preserve">personal branding, elevator pitch, introductions, networking, infographic, consulting, agency owners, business coaching</t>
  </si>
  <si>
    <t xml:space="preserve">Consulting / Fractional, High-Ticket Sales, Freelancing &amp; International Clients</t>
  </si>
  <si>
    <t xml:space="preserve">Amir Syed</t>
  </si>
  <si>
    <t xml:space="preserve">@amirsyed</t>
  </si>
  <si>
    <t xml:space="preserve">https://www.linkedin.com/feed/update/urn:li:activity:7507787563672317953</t>
  </si>
  <si>
    <t xml:space="preserve">I have a spreadsheet with almost 5,000 GO! student wins. The most common word in them:</t>
  </si>
  <si>
    <t xml:space="preserve">I have a spreadsheet with almost 5,000 GO! student wins. The most common word in them:
(Besides "the", "and", etc.)
"Referral" 
Ones from current customers.
Ones from past customers.
Ones from network connections.
Ones from loose partnerships.
The community has closed hundreds of millions of dollars just by being intentional about when and how they ask. 
We called it AFBs: Ask for Business</t>
  </si>
  <si>
    <t xml:space="preserve">Keep the story hook mechanic and swap in your own proof. Teach one outbound / warm outbound lesson for (re-aim at business owners, not aspirants). Ship it as a LinkedIn text/carousel.</t>
  </si>
  <si>
    <t xml:space="preserve">A text graphic reading "Networking is crazy. You can literally change your entire life by meeting the right people." The caption argues that referrals from customers, past customers, and network connections drive sales, and urges investing in sales coaching and networking.</t>
  </si>
  <si>
    <t xml:space="preserve">networking, referrals, sales coaching, ask for business, activity tracker, sales training, network connections, customer referrals</t>
  </si>
  <si>
    <t xml:space="preserve">Madhav Bhandari</t>
  </si>
  <si>
    <t xml:space="preserve">@madhavbhandari</t>
  </si>
  <si>
    <t xml:space="preserve">2026-02-19</t>
  </si>
  <si>
    <t xml:space="preserve">https://www.linkedin.com/feed/update/urn:li:activity:7430219623037407232</t>
  </si>
  <si>
    <t xml:space="preserve">We're spending $3.3M on marketing in 2026 at Storylane (up 10% from 2025).</t>
  </si>
  <si>
    <t xml:space="preserve">We're spending $3.3M on marketing in 2026 at Storylane (up 10% from 2025).
I've always believed in being transparent with what we do, so here's the full breakup:
→ $1.2M - Paid Ads
Same as last year. LinkedIn $500K, Google/Bing $500K, Meta $200K (new). LinkedIn CPMs up 30-40%. Testing B2C channels to reach B2B audiences at lower cost.
→ $250K - Influencer Program
Cut from $500K. Used only $200K</t>
  </si>
  <si>
    <t xml:space="preserve">Specific number/result in the hook; Timely trend call; rides the news cycle</t>
  </si>
  <si>
    <t xml:space="preserve">Keep the prediction hook mechanic and swap in your own proof. Teach one business growth &amp; scale systems lesson for founders of 10-50 person boutique firms (US/UK/AU). Ship it as a LinkedIn text/carousel.</t>
  </si>
  <si>
    <t xml:space="preserve">referrals plateau service business founder stuck at revenue ceiling; marketing agency business model productized service niche down</t>
  </si>
  <si>
    <t xml:space="preserve">Business Growth &amp; Scale Systems, Outbound / Warm Outbound, Marketing Strategy</t>
  </si>
  <si>
    <t xml:space="preserve">2026-03-12</t>
  </si>
  <si>
    <t xml:space="preserve">https://x.com/paolo_scales/status/2032000149744984176</t>
  </si>
  <si>
    <t xml:space="preserve">how to land WHALE clients on linkedin ($15k+ monthly retainers)</t>
  </si>
  <si>
    <t xml:space="preserve">most agencies stay stuck serving $2k-5k monthly clients while whale clients with $20k+ retainer budgets exist on the same platform, consuming the same content, but never reaching out or engaging publicly.
the problem isn't that whale clients don't use linkedin or that they're not looking for solutions to expensive problems.
the issue is that most positioning, content, outreach, and sales process</t>
  </si>
  <si>
    <t xml:space="preserve">'Whale clients exist on the same platform but never engage publicly'. Names the invisible-buyer problem B2B founders feel.</t>
  </si>
  <si>
    <t xml:space="preserve">Core belief post: 'Your best buyers read your posts and never like them. That's why you need warm outbound on top of content.' This is the clearest articulation of authority-to-pipeline.</t>
  </si>
  <si>
    <t xml:space="preserve">A tweet by Paolo Trivellato with a link to another URL. No visual media is included, and the body text is just the URL itself.</t>
  </si>
  <si>
    <t xml:space="preserve">tweet, url-link, text-only, no-media</t>
  </si>
  <si>
    <t xml:space="preserve">Molly Stovold</t>
  </si>
  <si>
    <t xml:space="preserve">@mollystovold</t>
  </si>
  <si>
    <t xml:space="preserve">https://www.instagram.com/reel/Dcgp5WGs_H9/</t>
  </si>
  <si>
    <t xml:space="preserve">copied my about section here to help you w step 2 ⬇️</t>
  </si>
  <si>
    <t xml:space="preserve">copied my about section here to help you w step 2 ⬇️
“Inbound marketing took me from invisible to Top 1% Creator and no.1 Female in Online Business on LinkedIn.
But building authority and an audience is one thing, making sales is another.
In the last two years I have built two multi-six-figure businesses on LinkedIn, all organic, all inbound. I have also helped my clients do the same.
“Working</t>
  </si>
  <si>
    <t xml:space="preserve">Keep the statement hook mechanic and swap in your own proof. Teach one content marketing &amp; systems lesson for founders of 10-50 person boutique firms (US/UK/AU). Ship it as a IG reel, then repurpose to LinkedIn.</t>
  </si>
  <si>
    <t xml:space="preserve">The video features a woman explaining how to build a LinkedIn presence and personal brand that converts, using keyword strategies and profile optimization. Text overlays guide viewers through steps for creating an effective LinkedIn profile.</t>
  </si>
  <si>
    <t xml:space="preserve">linkedin marketing, personal branding, content creation, audience building, profile optimization, keyword strategy, inbound marketing, business growth</t>
  </si>
  <si>
    <t xml:space="preserve">Business Growth &amp; Scale Systems, Agency Growth, Marketing Strategy</t>
  </si>
  <si>
    <t xml:space="preserve">Magali De Reu</t>
  </si>
  <si>
    <t xml:space="preserve">@magalidereu</t>
  </si>
  <si>
    <t xml:space="preserve">2026-04-28</t>
  </si>
  <si>
    <t xml:space="preserve">https://www.linkedin.com/feed/update/urn:li:activity:7454831538892099584</t>
  </si>
  <si>
    <t xml:space="preserve">10 days ago, a top 1% LinkedIn creator booked me from a comment. (My system that gets nobodies booked by somebodies ↓)</t>
  </si>
  <si>
    <t xml:space="preserve">10 days ago, a top 1% LinkedIn creator booked me from a comment. (My system that gets nobodies booked by somebodies ↓)
Y'all are sweating over the perfect post. But your next client is sitting in someone else's comment section.
This got me from 7K to 31K followers in 30 weeks.
(And in week 30, it got Jasmin Alić to book me.)
This will take you 15 minutes a day:
1/ Show personality
Your comme</t>
  </si>
  <si>
    <t xml:space="preserve">'Your next client is in someone else's comment section'. A comment-led growth tactic with follower proof (7K to 31K).</t>
  </si>
  <si>
    <t xml:space="preserve">Teach the 'comment-to-pipeline' play: 20 strategic comments/day on ICP posts, then a warm DM. This is half of your system; show it.</t>
  </si>
  <si>
    <t xml:space="preserve">An infographic outlines a system for gaining impressions and attracting clients by strategically placing comments on LinkedIn posts. It provides four specific strategies: showing personality, disagreeing thoughtfully, adding value, and being specific, each illustrated with sample comments and impression counts.</t>
  </si>
  <si>
    <t xml:space="preserve">linkedin strategy, comment system, client acquisition, impression boosting, niche audience, social proof, content marketing, networking</t>
  </si>
  <si>
    <t xml:space="preserve">Business Growth &amp; Scale Systems, Content Marketing &amp; Systems</t>
  </si>
  <si>
    <t xml:space="preserve">Noah Frydberg | Tiktok Shop For Brands</t>
  </si>
  <si>
    <t xml:space="preserve">@maverickecom</t>
  </si>
  <si>
    <t xml:space="preserve">https://x.com/maverickecom/status/2035008437910675748</t>
  </si>
  <si>
    <t xml:space="preserve">BREAKING: Claude can now run your entire ecom brand tiktok like a $500/hour social media manager.</t>
  </si>
  <si>
    <t xml:space="preserve">BREAKING: Claude can now run your entire ecom brand tiktok like a $500/hour social media manager.
I reverse-engineered how top social media brands use AI to build million-follower accounts.
Here’s the crazy part:
This system produces 550+ cinematic, product-ready ads per day from a single prompt.
Here’s the full pipeline:
→ AI generates a realistic UGC persona — face, voice, personality
→ Arc</t>
  </si>
  <si>
    <t xml:space="preserve">Specific number/result in the hook; Proof-first opening; High comment-to-like ratio: debate driver</t>
  </si>
  <si>
    <t xml:space="preserve">The image is a collage of nine photos showing a man in various activities related to personal care and health. Overlaid text includes health-related phrases. The content appears to focus on promoting a system for automating social media content creation for brands.</t>
  </si>
  <si>
    <t xml:space="preserve">social media, ai automation, brand management, content creation, tiktok, ecom, workflow, system</t>
  </si>
  <si>
    <t xml:space="preserve">mitsuri</t>
  </si>
  <si>
    <t xml:space="preserve">@0xmitsurii</t>
  </si>
  <si>
    <t xml:space="preserve">2026-03-29</t>
  </si>
  <si>
    <t xml:space="preserve">https://x.com/0xmitsurii/status/2038156449088749889</t>
  </si>
  <si>
    <t xml:space="preserve">A billionaire father teaches his daughter how to close a deal. https://t.co/aBMTreHjgd</t>
  </si>
  <si>
    <t xml:space="preserve">Keep the statement hook mechanic and swap in your own proof. Teach one high-ticket sales lesson for founders of 10-50 person boutique firms (US/UK/AU). Ship it as a LinkedIn text/carousel.</t>
  </si>
  <si>
    <t xml:space="preserve">A father, Grant Cardone, teaches his daughter, Scarlett Cardone, how to handle a sales call and become more confident in business interactions. He advises her to slow down and be calm when speaking on the phone to plant her words and ensure good communication.</t>
  </si>
  <si>
    <t xml:space="preserve">sales, confidence, negotiation, communication, business, training, mentorship, father daughter</t>
  </si>
  <si>
    <t xml:space="preserve">High-Ticket Sales, Outbound / Warm Outbound</t>
  </si>
  <si>
    <t xml:space="preserve">Hritik Chawla</t>
  </si>
  <si>
    <t xml:space="preserve">@hritikchawlaa</t>
  </si>
  <si>
    <t xml:space="preserve">2026-02-12</t>
  </si>
  <si>
    <t xml:space="preserve">https://www.instagram.com/reel/DUps_9Ak1Ld/</t>
  </si>
  <si>
    <t xml:space="preserve">Here are the 7 methods I used to scale mine to 6 figures in a year:</t>
  </si>
  <si>
    <t xml:space="preserve">Here are the 7 methods I used to scale mine to 6 figures in a year:
1. Cold email
3,500+ emails per campaign. Under 50 words each. 4 angles tested weekly. This alone booked 150+ sales calls and built a $745K pipeline.
2. Loom micro-audits
Someone replies? Personalized Loom within 15 minutes. Not a pitch. A real audit with 3 findings. This is what turns “maybe” into a booked call.
3. Content (wi</t>
  </si>
  <si>
    <t xml:space="preserve">High-Ticket Sales, Content Marketing &amp; Systems, Marketing Strategy</t>
  </si>
  <si>
    <t xml:space="preserve">Technical Ben</t>
  </si>
  <si>
    <t xml:space="preserve">@technicalbben</t>
  </si>
  <si>
    <t xml:space="preserve">2025-12-24</t>
  </si>
  <si>
    <t xml:space="preserve">https://x.com/TechnicalBben/status/2003721429435445579</t>
  </si>
  <si>
    <t xml:space="preserve">My 2025 wrap 🌯</t>
  </si>
  <si>
    <t xml:space="preserve">My 2025 wrap 🌯 
- First year in tech
- Built a personal brand from zero.
- Grew my X account from 100 followers to 45,000, close to 50k.
- Became more confident in myself.
- Stepped out more than I ever have in my life.
- My direction became clearer than it has ever been.
- Made my first 8 figures.
- Earned 7 figures consistently every single month.
- Moved from 700 naira to $15k+. Use t</t>
  </si>
  <si>
    <t xml:space="preserve">Young Urban Project</t>
  </si>
  <si>
    <t xml:space="preserve">@youngurbanproject</t>
  </si>
  <si>
    <t xml:space="preserve">https://www.instagram.com/p/DThOGx3gZ6T/</t>
  </si>
  <si>
    <t xml:space="preserve">You don’t need luck to hit ₹10 Lakhs/month. You need a system.</t>
  </si>
  <si>
    <t xml:space="preserve">You don’t need luck to hit ₹10 Lakhs/month. You need a system.
Everyone talks about ₹10 Lakh per month (MRR) like it’s some startup miracle.
It’s really not.
Most people don’t fail because their idea is bad.
They fail because they’re marketing randomly.
Posting sometimes.
Trying every platform.
Quitting after 2 weeks.
That’s not how real growth works.
After breaking down what actually brings</t>
  </si>
  <si>
    <t xml:space="preserve">stj.taneja</t>
  </si>
  <si>
    <t xml:space="preserve">@stj.taneja</t>
  </si>
  <si>
    <t xml:space="preserve">https://www.instagram.com/reel/Dbep7NPO3Zg/</t>
  </si>
  <si>
    <t xml:space="preserve">If you comment “template” I’ll send you a few free templates that you can use right away</t>
  </si>
  <si>
    <t xml:space="preserve">If you comment “template” I’ll send you a few free templates that you can use right away 
#business...</t>
  </si>
  <si>
    <t xml:space="preserve">Reel: Mixed-media (vlog-style opening + screen recording montage)</t>
  </si>
  <si>
    <t xml:space="preserve">Comment-gate inflates comments, which the algorithm rewards; Format: educational screen-capture listicle</t>
  </si>
  <si>
    <t xml:space="preserve">Keep the comment-gate hook mechanic and swap in your own proof. Teach one agency growth lesson for founders of 10-50 person boutique firms (US/UK/AU). Ship it as a IG reel, then repurpose to LinkedIn.</t>
  </si>
  <si>
    <t xml:space="preserve">A freelancer illustrates the pain of late payments before quickly cycling through a list of professional document templates used to organize agency work.</t>
  </si>
  <si>
    <t xml:space="preserve">topsalescoach</t>
  </si>
  <si>
    <t xml:space="preserve">@topsalescoach</t>
  </si>
  <si>
    <t xml:space="preserve">https://www.instagram.com/reel/DcSBJPCogrr/</t>
  </si>
  <si>
    <t xml:space="preserve">Prospect says: 'I need to think about it.'</t>
  </si>
  <si>
    <t xml:space="preserve">Exact Steps 👇
When a prospect says:
“I need to think about it.”
Do NOT immediately accept it and ...</t>
  </si>
  <si>
    <t xml:space="preserve">Reel: talking head with dynamic text overlays</t>
  </si>
  <si>
    <t xml:space="preserve">Opens on a real objection/quote the buyer recognises; Format: talking head with text overlays</t>
  </si>
  <si>
    <t xml:space="preserve">A sales expert provides advice on how to respond to the prospect objection 'I need to think about it' by contrasting common mistakes with a promised alternative.</t>
  </si>
  <si>
    <t xml:space="preserve">fqleaders</t>
  </si>
  <si>
    <t xml:space="preserve">@fqleaders</t>
  </si>
  <si>
    <t xml:space="preserve">https://www.instagram.com/reel/DbT8pmksSud/</t>
  </si>
  <si>
    <t xml:space="preserve">Events are about to become an incredibly saturated growth marketing channel.</t>
  </si>
  <si>
    <t xml:space="preserve">Every event has two audiences: the people in the room and everyone who will experience it through th...</t>
  </si>
  <si>
    <t xml:space="preserve">Reel: On-camera interview</t>
  </si>
  <si>
    <t xml:space="preserve">Timely trend call; rides the news cycle; Format: on-camera expert monologue with captions</t>
  </si>
  <si>
    <t xml:space="preserve">Keep the prediction hook mechanic and swap in your own proof. Teach one marketing strategy lesson for founders of 10-50 person boutique firms (US/UK/AU). Ship it as a IG reel, then repurpose to LinkedIn.</t>
  </si>
  <si>
    <t xml:space="preserve">A professional speaker discusses the future of events as a saturated growth marketing channel and how to utilize content creators to leverage them.</t>
  </si>
  <si>
    <t xml:space="preserve">sourcerypod</t>
  </si>
  <si>
    <t xml:space="preserve">@sourcerypod</t>
  </si>
  <si>
    <t xml:space="preserve">https://www.instagram.com/reel/DcaHgBHkv8z/</t>
  </si>
  <si>
    <t xml:space="preserve">RYAN SERHANT: BRAND, EXPAND, SELL</t>
  </si>
  <si>
    <t xml:space="preserve">Ryan Serhant on why he only does three things: "I brand, I expand, and I sell."⁣
⁣
"I do those three...</t>
  </si>
  <si>
    <t xml:space="preserve">Format: on-camera interview with text overlay</t>
  </si>
  <si>
    <t xml:space="preserve">The speaker shares his philosophy on hiring entrepreneurs who would rather build within his platform than on their own.</t>
  </si>
  <si>
    <t xml:space="preserve">Outbound / Warm Outbound, Content Marketing &amp; Systems</t>
  </si>
  <si>
    <t xml:space="preserve">Corey Haines</t>
  </si>
  <si>
    <t xml:space="preserve">@coreyhainesco</t>
  </si>
  <si>
    <t xml:space="preserve">2026-02-22</t>
  </si>
  <si>
    <t xml:space="preserve">https://x.com/coreyhainesco/status/2025592984927150367</t>
  </si>
  <si>
    <t xml:space="preserve">Marketing Skills for Claude Code v1.2.0 is here.</t>
  </si>
  <si>
    <t xml:space="preserve">Marketing Skills for Claude Code v1.2.0 is here.
4 new skills:
→ /ai-seo — get your content cited by AI search engines (Google AI Overviews, ChatGPT, Perplexity, Claude)
→ /churn-prevention — cancel flows, save offers, dunning sequences, health scoring
→ /ad-creative — bulk ad creative generation across Google, Meta, LinkedIn, and X
→ /cold-email — cold outreach sequences that actually get replie</t>
  </si>
  <si>
    <t xml:space="preserve">The video introduces version 1.2.0 of Marketing Skills for Claude Code, highlighting four new skills: /ai-seo, /churn-prevention, /ad-creative, and /cold-email, along with CLI tools for various marketing platforms and integrations.</t>
  </si>
  <si>
    <t xml:space="preserve">ai seo, churn prevention, ad creative, cold email, marketing skills, claude code, cli tools, open source</t>
  </si>
  <si>
    <t xml:space="preserve">Amanda Goetz</t>
  </si>
  <si>
    <t xml:space="preserve">@theamandagoetz</t>
  </si>
  <si>
    <t xml:space="preserve">2026-05-11</t>
  </si>
  <si>
    <t xml:space="preserve">https://www.instagram.com/reel/DYN1ENyPIMJ/</t>
  </si>
  <si>
    <t xml:space="preserve">Do cold outreaches work on LinkedIn? Generic ones don’t, but THIS method just might… 👀</t>
  </si>
  <si>
    <t xml:space="preserve">Do cold outreaches work on LinkedIn? Generic ones don’t, but THIS method just might… 👀
Comment OUTREACH and we’ll send you the link to tune in to this episode with @the_elite_recruiter ✨</t>
  </si>
  <si>
    <t xml:space="preserve">Keyword CTA converts reach into DMs</t>
  </si>
  <si>
    <t xml:space="preserve">Keep the question hook mechanic and swap in your own proof. Teach one outbound / warm outbound lesson for founders of 10-50 person boutique firms (US/UK/AU). Ship it as a IG reel, then repurpose to LinkedIn.</t>
  </si>
  <si>
    <t xml:space="preserve">A recruiter discusses whether cold LinkedIn outreach works, arguing generic messages fail while personalized voice notes or video messages stand out among thousands of DMs. The post asks viewers to comment "OUTREACH" to receive a link to the episode.</t>
  </si>
  <si>
    <t xml:space="preserve">cold outreach, linkedin, networking, voice notes, video messages, recruiter, job search, personal branding</t>
  </si>
  <si>
    <t xml:space="preserve">Outbound / Warm Outbound, Freelancing &amp; International Clients</t>
  </si>
  <si>
    <t xml:space="preserve">Todd Saunders</t>
  </si>
  <si>
    <t xml:space="preserve">@tosaunders</t>
  </si>
  <si>
    <t xml:space="preserve">2026-02-26</t>
  </si>
  <si>
    <t xml:space="preserve">https://www.linkedin.com/feed/update/urn:li:activity:7432775956957663232</t>
  </si>
  <si>
    <t xml:space="preserve">I got a DM from a CEO yesterday who charges customers $5,000 for onboarding.</t>
  </si>
  <si>
    <t xml:space="preserve">I got a DM from a CEO yesterday who charges customers $5,000 for onboarding.
Not as a fee.. but as a deposit. 
If the customer (ICP is SMB $1-5M in revenue) completes onboarding within 35 days, they get every dollar back. 
If they don't, the company keeps it and uses it to fund a dedicated onboarding specialist to finish the job for them.
(don't worry they call the onboarding specialist a forw</t>
  </si>
  <si>
    <t xml:space="preserve">A user shares a strategy where a CEO charges SMB customers a $5,000 deposit for onboarding that is refunded if completed within 35 days, resulting in reduced onboarding time and churn.</t>
  </si>
  <si>
    <t xml:space="preserve">onboarding, saas, smb, customer retention, deposit, business strategy, churn, execution speed</t>
  </si>
  <si>
    <t xml:space="preserve">Consulting / Fractional, High-Ticket Sales, Outbound / Warm Outbound</t>
  </si>
  <si>
    <t xml:space="preserve">Aden Gomes</t>
  </si>
  <si>
    <t xml:space="preserve">@aden_gomes</t>
  </si>
  <si>
    <t xml:space="preserve">2026-03-09</t>
  </si>
  <si>
    <t xml:space="preserve">https://www.instagram.com/reel/DVqcT1hiKHL/</t>
  </si>
  <si>
    <t xml:space="preserve">Jobs are a stepping stone to business not life</t>
  </si>
  <si>
    <t xml:space="preserve">Aden Gomes, a former consultant, explains why he rejected a 14 lakh/year full-time offer from a client's sister startup after six months building AI systems, arguing jobs are a stepping stone to business rather than survival. He cites his side projects and a $5,500 AI RAG chatbot deal as proof of treating finances from a bird's-eye view.</t>
  </si>
  <si>
    <t xml:space="preserve">side projects, consulting, job vs business, india, ai rag, freelance income, financial independence, cold email clients</t>
  </si>
  <si>
    <t xml:space="preserve">therealerikfisher</t>
  </si>
  <si>
    <t xml:space="preserve">@therealerikfisher</t>
  </si>
  <si>
    <t xml:space="preserve">https://www.instagram.com/reel/DbTmJ_UAr7z/</t>
  </si>
  <si>
    <t xml:space="preserve">NO SUCH THING IN B2B SALES</t>
  </si>
  <si>
    <t xml:space="preserve">No slick lines, just solid systems.</t>
  </si>
  <si>
    <t xml:space="preserve">Small-account breakout: the idea beat the audience size; Challenges a belief the ICP holds; Format: talking head with dynamic captions</t>
  </si>
  <si>
    <t xml:space="preserve">A sales expert argues that successful deals are made during the discovery phase, not the closing phase.</t>
  </si>
  <si>
    <t xml:space="preserve">High-Ticket Sales, Outbound / Warm Outbound, Marketing Strategy</t>
  </si>
  <si>
    <t xml:space="preserve">Joseph Choi</t>
  </si>
  <si>
    <t xml:space="preserve">@josephkchoi</t>
  </si>
  <si>
    <t xml:space="preserve">2026-05-13</t>
  </si>
  <si>
    <t xml:space="preserve">https://x.com/JosephKChoi/status/2054606103778898391</t>
  </si>
  <si>
    <t xml:space="preserve">I saw the $400k MRR screenshots from @madebycol so of course I had to investigate</t>
  </si>
  <si>
    <t xml:space="preserve">I saw the $400k MRR screenshots from @madebycol so of course I had to investigate
turns out she's built 4 apps—first one hit 150k MRR, second 250k MRR, latest two in stealth at 400k MRR combined. been running the UGC playbook for years. we went deep on the growth strats👇
0:00 Nicole's App Portfolio and Numbers
2:14 How GlamUp Was Born in a 10-Minute Phone Call
5:29 The Copycat App That Made The</t>
  </si>
  <si>
    <t xml:space="preserve">Keep the story hook mechanic and swap in your own proof. Teach one business growth &amp; scale systems lesson for (re-aim at business owners, not aspirants). Ship it as a LinkedIn text/carousel.</t>
  </si>
  <si>
    <t xml:space="preserve">A video investigates Nicole's portfolio of four successful apps, each achieving high monthly recurring revenue using proven growth strategies, user-generated content, referrals, and pricing experiments based on detailed data.</t>
  </si>
  <si>
    <t xml:space="preserve">mrr growth, app scaling, user generated content, referral system, pricing strategy, tiktok marketing, growth hacking, app monetization</t>
  </si>
  <si>
    <t xml:space="preserve">Agency Growth, High-Ticket Sales</t>
  </si>
  <si>
    <t xml:space="preserve">2026-09-03</t>
  </si>
  <si>
    <t xml:space="preserve">https://www.instagram.com/reel/Dc1XYcNNBio/</t>
  </si>
  <si>
    <t xml:space="preserve">Hi, I’m Austin. I teach agency owners how to scale inside @agencyu.co. 7 years ago I started running my own agency. The advice out there? Grind harder, close more deals, just outwork everyone. It didn’t work. I was doing</t>
  </si>
  <si>
    <t xml:space="preserve">Hi, I’m Austin. I teach agency owners how to scale inside @agencyu.co. 7 years ago I started running my own agency. The advice out there? Grind harder, close more deals, just outwork everyone. It didn’t work. I was doing $30K a month and still felt like I was drowning.
So over the next few years I stopped following everyone else’s playbook and built my own. Hired the right people, built real syst</t>
  </si>
  <si>
    <t xml:space="preserve">Keep the story hook mechanic and swap in your own proof. Teach one business growth &amp; scale systems lesson for founders of 10-50 person boutique firms (US/UK/AU). Ship it as a IG reel, then repurpose to LinkedIn.</t>
  </si>
  <si>
    <t xml:space="preserve">Austin Schneider, an agency owner, shares his journey of scaling his agency from $30K to $500K per month by building systems and hiring the right team, rather than just working harder. He now teaches agency owners through Agency U to scale without added work hours.</t>
  </si>
  <si>
    <t xml:space="preserve">agency, scaling, systems, hiring, business growth, infrastructure, client results, time management</t>
  </si>
  <si>
    <t xml:space="preserve">Zy</t>
  </si>
  <si>
    <t xml:space="preserve">@zymazza</t>
  </si>
  <si>
    <t xml:space="preserve">https://x.com/ZyMazza/status/2042651604092956786</t>
  </si>
  <si>
    <t xml:space="preserve">80% of you are actually overqualified to charge $200+/hr to companies for AI adoption consulting. You just need to start dialing</t>
  </si>
  <si>
    <t xml:space="preserve">Keep the result hook mechanic and swap in your own proof. Teach one consulting / fractional lesson for founders of 10-50 person boutique firms (US/UK/AU). Ship it as a LinkedIn text/carousel.</t>
  </si>
  <si>
    <t xml:space="preserve">A consulting expert claims that most people are overqualified to charge over $200 per hour for AI adoption consulting and need to begin pitching clients.</t>
  </si>
  <si>
    <t xml:space="preserve">ai adoption, consulting, rates, business, advice, career, startups, ai</t>
  </si>
  <si>
    <t xml:space="preserve">Client Acquisition, Outbound / Warm Outbound, Agency Growth</t>
  </si>
  <si>
    <t xml:space="preserve">Gurmeet Tyagi</t>
  </si>
  <si>
    <t xml:space="preserve">@gurmeet.aimaa</t>
  </si>
  <si>
    <t xml:space="preserve">2026-06-01</t>
  </si>
  <si>
    <t xml:space="preserve">https://www.instagram.com/reel/DZClftTpxeV/</t>
  </si>
  <si>
    <t xml:space="preserve">Brand owners, performance marketers, agency owners, and even freelancer. You don’t need to look at Microsoft clarity anymore now you can connect it through cloud AI and easily ask for your queries. Need full video just c</t>
  </si>
  <si>
    <t xml:space="preserve">Brand owners, performance marketers, agency owners, and even freelancer. You don’t need to look at Microsoft clarity anymore now you can connect it through cloud AI and easily ask for your queries. Need full video just comment, “Video” and you will directly get in your DM
#performancemarketing #metaads #Microsoftclarity #googleads #digitalmarketing</t>
  </si>
  <si>
    <t xml:space="preserve">High-Ticket Sales, Content Marketing &amp; Systems</t>
  </si>
  <si>
    <t xml:space="preserve">Frederick James</t>
  </si>
  <si>
    <t xml:space="preserve">@frederickjames</t>
  </si>
  <si>
    <t xml:space="preserve">2026-08-23</t>
  </si>
  <si>
    <t xml:space="preserve">https://x.com/frederickjames/status/2091503229146194334</t>
  </si>
  <si>
    <t xml:space="preserve">Financial freedom from mobile apps.</t>
  </si>
  <si>
    <t xml:space="preserve">I scaled my iOS app to $10k/m.
• It took me less than ~2 months.
• I'm doing ~$1k per day.
• On track to hit $30k/m.
There are 3 things you should know before we begin.
1. This strategy can cost anywhere from $50 to a few thousand $.
2. Success is not guaranteed but this is about as close as it gets.
We're not relying on luck, snake oil or virality. This is not really a guide on mobile apps. I</t>
  </si>
  <si>
    <t xml:space="preserve">Keep the statement hook mechanic and swap in your own proof. Teach one business growth &amp; scale systems lesson for founders of 10-50 person boutique firms (US/UK/AU). Ship it as a LinkedIn text/carousel.</t>
  </si>
  <si>
    <t xml:space="preserve">A founder shares achieving $0 to $10k in 90 days and being on track for $30k/month, with most growth occurring in about 2 weeks. They mention previously keeping details private and now sharing the strategy publicly.</t>
  </si>
  <si>
    <t xml:space="preserve">financial freedom, revenue growth, 90 days, 30k month, mrr milestones, startup journey, success story, business growth</t>
  </si>
  <si>
    <t xml:space="preserve">Sami Wunder - Love Expert</t>
  </si>
  <si>
    <t xml:space="preserve">@samiwundercoach</t>
  </si>
  <si>
    <t xml:space="preserve">https://www.instagram.com/reel/DcQ-uJJMWqf/</t>
  </si>
  <si>
    <t xml:space="preserve">We are delighted to welcome @samiwundercoach to the Women in Power Conference on 5 September in London.</t>
  </si>
  <si>
    <t xml:space="preserve">We are delighted to welcome @samiwundercoach to the Women in Power Conference on 5 September in London.
Known as the “Modern Day Dating Guru” by Business Insider and the “Get The Ring Coach” by the Daily Mail, Sami is a leading international dating and relationship coach and CEO of an 8-figure global brand.
With 20,000+ clients across 90 countries, Sami has helped high-achieving women create ful</t>
  </si>
  <si>
    <t xml:space="preserve">Keep the story hook mechanic and swap in your own proof. Teach one consulting / fractional lesson for founders of 10-50 person boutique firms (US/UK/AU). Ship it as a IG reel, then repurpose to LinkedIn.</t>
  </si>
  <si>
    <t xml:space="preserve">Sami Wunder, a dating and relationship coach, speaks at the Women in Power Conference about helping high-achieving women build fulfilling relationships without compromising their careers.</t>
  </si>
  <si>
    <t xml:space="preserve">dating coach, relationship advice, women in power, career and love balance, high-achieving women, love success framework, conference speaker, marriage coaching</t>
  </si>
  <si>
    <t xml:space="preserve">Freelancing &amp; International Clients, Agency Growth</t>
  </si>
  <si>
    <t xml:space="preserve">Ujjwal Chadha</t>
  </si>
  <si>
    <t xml:space="preserve">@ujjwalscript</t>
  </si>
  <si>
    <t xml:space="preserve">2026-01-11</t>
  </si>
  <si>
    <t xml:space="preserve">https://x.com/ujjwalscript/status/2010221244646666335</t>
  </si>
  <si>
    <t xml:space="preserve">Freelance developers will be the next wave of top earners.</t>
  </si>
  <si>
    <t xml:space="preserve">Freelance developers will be the next wave of top earners.
Programming is becoming cheap. Companies are laying off devs due to AI. The era of the bloated 10-person engineering team is ending.
Here is the math of 2026.
The Old Way: Client hires an agency. Result: $50k budget. 3 months timeline. 5 people in meetings. Output: A basic MVP.
The Future Way: Client hires YOU (The AI-Augmented Freelan</t>
  </si>
  <si>
    <t xml:space="preserve">Timely trend call; rides the news cycle</t>
  </si>
  <si>
    <t xml:space="preserve">This text post argues that freelance developers will become top earners as companies cut costs and rely more on AI, enabling solo developers to replace large engineering teams with efficient, cost-effective solutions.</t>
  </si>
  <si>
    <t xml:space="preserve">freelance, software engineering, ai, career advice, tech industry, remote work, entrepreneurship, productivity</t>
  </si>
  <si>
    <t xml:space="preserve">Deep</t>
  </si>
  <si>
    <t xml:space="preserve">@deepstarts</t>
  </si>
  <si>
    <t xml:space="preserve">https://x.com/DeepStarts/status/2055143109194068017</t>
  </si>
  <si>
    <t xml:space="preserve">Phaneesh Murthy got fired from Infosys.</t>
  </si>
  <si>
    <t xml:space="preserve">Phaneesh Murthy got fired from Infosys.
Sexual harassment allegation.
One of the most powerful people in Indian IT.
Gone overnight.
He had built Infosys's entire US business.
70% of their revenue came from his relationships.
Everyone wrote him off.
Career over. Reputation finished.
Joined iGate as CEO.
Small company. Nobody had heard of them.
Acquired Patni Computer Systems.
3x bigger than iGate</t>
  </si>
  <si>
    <t xml:space="preserve">Keep the statement hook mechanic and swap in your own proof. Teach one business growth &amp; scale systems lesson for Indian B2B service founders (10-50 staff). Ship it as a LinkedIn text/carousel.</t>
  </si>
  <si>
    <t xml:space="preserve">Phaneesh Murthy got fired from Infosys.
Sexual harassment allegation.
One of the most powerful people in Indian IT.
Gon</t>
  </si>
  <si>
    <t xml:space="preserve">Davide Grieco</t>
  </si>
  <si>
    <t xml:space="preserve">@davidegrieco</t>
  </si>
  <si>
    <t xml:space="preserve">2026-04-03</t>
  </si>
  <si>
    <t xml:space="preserve">https://www.linkedin.com/feed/update/urn:li:activity:7445862326324572160</t>
  </si>
  <si>
    <t xml:space="preserve">We banned cold calling at Clay. It doesn’t work and it’s a waste of time.</t>
  </si>
  <si>
    <t xml:space="preserve">We banned cold calling at Clay. It doesn’t work and it’s a waste of time.
We didn’t give up on outbound, but the whole point of GTM Engineering is to build a system that turns every cold call into a warm one before the rep even picks up the phone.
We just took our 300 best Tier 1 accounts and built a fully integrated ABM campaign across all channels, triggered automatically and orchestrated via</t>
  </si>
  <si>
    <t xml:space="preserve">We banned cold calling at Clay. It doesn’t work and it’s a waste of time. The post describes an ABM campaign using direct mail, ads, landing pages, outbound sequences and UGC to turn cold calls into warm leads.</t>
  </si>
  <si>
    <t xml:space="preserve">cold calling, abm, outbound, clay, direct mail, linkedin ads, landing pages, outbound sequence</t>
  </si>
  <si>
    <t xml:space="preserve">cold outreach warm outbound pipeline B2B founder-led sales; case study how we generated pipeline for a B2B client with content and outbound</t>
  </si>
  <si>
    <t xml:space="preserve">Consulting / Fractional, High-Ticket Sales, Content Marketing &amp; Systems</t>
  </si>
  <si>
    <t xml:space="preserve">jessie van breugel</t>
  </si>
  <si>
    <t xml:space="preserve">@jessievanbreugel</t>
  </si>
  <si>
    <t xml:space="preserve">Out of band</t>
  </si>
  <si>
    <t xml:space="preserve">2025-10-29</t>
  </si>
  <si>
    <t xml:space="preserve">https://www.linkedin.com/feed/update/urn:li:activity:7389341155429117952</t>
  </si>
  <si>
    <t xml:space="preserve">99% of LinkedIn Profiles leave money on the table.</t>
  </si>
  <si>
    <t xml:space="preserve">99% of LinkedIn Profiles leave money on the table. 
After $2.5M in client revenue, steal my system ↓
↳ Comment “GUIDE”, and I’ll send over The LinkedIn GPT Playbook.
It's the exact system I've used to;
→ Help our clients close $2,500,000+
→ Train 100s of coaches &amp; consultants 
→ Book 1,000s of meetings with $0 on ads
→ Become a Top 50 LinkedIn Creator worldwide
→ Grow a 75K+ audience w/o engag</t>
  </si>
  <si>
    <t xml:space="preserve">Proof-first opening; Keyword CTA converts reach into DMs</t>
  </si>
  <si>
    <t xml:space="preserve">how consultants and boutique firms get clients from LinkedIn content</t>
  </si>
  <si>
    <t xml:space="preserve">https://www.linkedin.com/feed/update/urn:li:activity:7389273564430000128</t>
  </si>
  <si>
    <t xml:space="preserve">Agency Growth, Business Growth &amp; Scale Systems</t>
  </si>
  <si>
    <t xml:space="preserve">zagency.iq</t>
  </si>
  <si>
    <t xml:space="preserve">@zagency.iq</t>
  </si>
  <si>
    <t xml:space="preserve">https://www.instagram.com/reel/Da8ZPqps4rM/</t>
  </si>
  <si>
    <t xml:space="preserve">Silence is expensive.</t>
  </si>
  <si>
    <t xml:space="preserve">Your story needs to be loud. Ours is the agency that turns it up.
Ready to stop whispering? 
📧 info...</t>
  </si>
  <si>
    <t xml:space="preserve">Reel: B-roll over text-on-screen</t>
  </si>
  <si>
    <t xml:space="preserve">Small-account breakout: the idea beat the audience size; Format: text-overlay cinematic montage</t>
  </si>
  <si>
    <t xml:space="preserve">A high-end, cinematic brand advertisement showcasing the services and philosophy of a marketing agency through abstract, moody imagery and text overlays.</t>
  </si>
  <si>
    <t xml:space="preserve">Evan Seech | Ads &amp; Funnels</t>
  </si>
  <si>
    <t xml:space="preserve">@evanseech</t>
  </si>
  <si>
    <t xml:space="preserve">2026-03-10</t>
  </si>
  <si>
    <t xml:space="preserve">https://x.com/evanseech/status/2031345968122134799</t>
  </si>
  <si>
    <t xml:space="preserve"># I scaled my agency from $0 to $100K/month in under a year. Here’s my exact blueprint for scaling!</t>
  </si>
  <si>
    <t xml:space="preserve">Not too long ago, I was the starving agency owner running 5 different offers… grinding 12+ hour days… taking on ANYONE willing to pay me… And convincing myself I was "building an agency." Just a handful of months later, Sell More Online has worked with some of the largest companies in the B2B/B2C space…
…and we’ve crossed six figures per month in under a year. It’s all because I learned that ever</t>
  </si>
  <si>
    <t xml:space="preserve">Keep the build hook mechanic and swap in your own proof. Teach one agency growth lesson for founders of 10-50 person boutique firms (US/UK/AU). Ship it as a LinkedIn text/carousel.</t>
  </si>
  <si>
    <t xml:space="preserve">Marketing Strategy, Content Marketing &amp; Systems, Consulting / Fractional</t>
  </si>
  <si>
    <t xml:space="preserve">Hannah Zhang</t>
  </si>
  <si>
    <t xml:space="preserve">@hannahzhang0</t>
  </si>
  <si>
    <t xml:space="preserve">https://www.linkedin.com/feed/update/urn:li:activity:7416127189055922176</t>
  </si>
  <si>
    <t xml:space="preserve">I paid $200K for my MBA at Wharton. My biggest takeaway was also the most obvious one.</t>
  </si>
  <si>
    <t xml:space="preserve">I paid $200K for my MBA at Wharton. My biggest takeaway was also the most obvious one.
It's called business school. Not "get a better job" school. Not "higher salary" school. 
So much of what you learn is about people who started businesses. Founders. Entrepreneurs. People who built something. You study how they did it, why it worked, what they got wrong.
Here's the irony: the vast majority of</t>
  </si>
  <si>
    <t xml:space="preserve">The author shares personal insights after investing $200K for an MBA at Wharton, emphasizing the value of learning entrepreneurship and building ownership over simply seeking higher salary jobs. The post discusses various paths to business ownership like acquisition funds, bootstrapping, side startups, and content brands.</t>
  </si>
  <si>
    <t xml:space="preserve">mba, wharton, entrepreneurship, business ownership, startup, side hustle, equity, career advice</t>
  </si>
  <si>
    <t xml:space="preserve">Marketing Strategy, Agency Growth</t>
  </si>
  <si>
    <t xml:space="preserve">https://www.instagram.com/reel/DcKTVQWu47A/</t>
  </si>
  <si>
    <t xml:space="preserve">Client: "This Workflow Got me 50 leads in One afternoon and I landed 4 clients!"</t>
  </si>
  <si>
    <t xml:space="preserve">This AI lead generation workflow searches Google Maps for businesses in your target niche and locati...</t>
  </si>
  <si>
    <t xml:space="preserve">Small-account breakout: the idea beat the audience size; Proof-first opening; Format: software workflow showcase with text overlay</t>
  </si>
  <si>
    <t xml:space="preserve">A screen recording of a CRM automation workflow presented as a case study testimonial to drive engagement.</t>
  </si>
  <si>
    <t xml:space="preserve">Jeremy S - LinkedIn Legend</t>
  </si>
  <si>
    <t xml:space="preserve">@linkedin_legend</t>
  </si>
  <si>
    <t xml:space="preserve">https://x.com/linkedin_legend/status/2097108920611307803</t>
  </si>
  <si>
    <t xml:space="preserve">I genuinely think the growth partner model is just trash (or fractional exec, or growth consultant, etc ad infinitum)</t>
  </si>
  <si>
    <t xml:space="preserve">I genuinely think the growth partner model is just trash (or fractional exec, or growth consultant, etc ad infinitum)
This is not an unqualified opinion, I have as many nutty case studies doing it as anyone
$18K MRR to $950K MRR
$2M to $20M annual revenue
1M MRR signed in one week
I've posted these video testimonials publicly. So I'm not saying the model is bad becuase I haven't done it well.</t>
  </si>
  <si>
    <t xml:space="preserve">Agency Supply</t>
  </si>
  <si>
    <t xml:space="preserve">2025-12-09</t>
  </si>
  <si>
    <t xml:space="preserve">https://www.instagram.com/reel/DSDONxmCDsS/</t>
  </si>
  <si>
    <t xml:space="preserve">Comment "systems" and I'll send you my complete system for running my lifestyle business:</t>
  </si>
  <si>
    <t xml:space="preserve">Comment "systems" and I'll send you my complete system for running my lifestyle business:
Most agency owners aren't disorganized—they just don't have the right templates.
I spent 3 years building the exact system that runs Tempo Digital: 
Sales CRM
client onboarding automation
project delivery workflows
team SOPs
Marketing 
&amp; More
It's the difference between constantly putting out fires and ac</t>
  </si>
  <si>
    <t xml:space="preserve">Keep the comment-gate hook mechanic and swap in your own proof. Teach one business growth &amp; scale systems lesson for founders of 10-50 person boutique firms (US/UK/AU). Ship it as a IG reel, then repurpose to LinkedIn.</t>
  </si>
  <si>
    <t xml:space="preserve">sales system CRM follow-up process for service business owners; client kaise laaye business grow kaise kare sales marketing agency</t>
  </si>
  <si>
    <t xml:space="preserve">Outbound / Warm Outbound, Content Marketing &amp; Systems, Marketing Strategy</t>
  </si>
  <si>
    <t xml:space="preserve">Lobo Brothers | AI Systems for Business Owners</t>
  </si>
  <si>
    <t xml:space="preserve">@lvl_aiautomations</t>
  </si>
  <si>
    <t xml:space="preserve">2025-11-08</t>
  </si>
  <si>
    <t xml:space="preserve">https://www.instagram.com/reel/DQzhXXHjyja/</t>
  </si>
  <si>
    <t xml:space="preserve">Number 8 is changing lives 👇🏻</t>
  </si>
  <si>
    <t xml:space="preserve">Number 8 is changing lives 👇🏻
Here are 8 AI Automations that are exploding right now (and will grow even more in 2026):
1️⃣ AI Appointment Setter: automatically qualify inbound leads via IG DM and get them to book an appointment if they are qualified for your service or product.
2️⃣ AI Content Creation Agent (Veo 3 + n8n):
Effortlessly ideas, generate &amp; post short-form videos on autopilot.
3</t>
  </si>
  <si>
    <t xml:space="preserve">Keep the statement hook mechanic and swap in your own proof. Teach one client acquisition lesson for founders of 10-50 person boutique firms (US/UK/AU). Ship it as a IG reel, then repurpose to LinkedIn.</t>
  </si>
  <si>
    <t xml:space="preserve">Business Growth &amp; Scale Systems, Client Acquisition, Agency Growth</t>
  </si>
  <si>
    <t xml:space="preserve">deno</t>
  </si>
  <si>
    <t xml:space="preserve">@denohawari</t>
  </si>
  <si>
    <t xml:space="preserve">2026-07-03</t>
  </si>
  <si>
    <t xml:space="preserve">https://x.com/denohawari/status/2073135200968859772</t>
  </si>
  <si>
    <t xml:space="preserve">How to rank #1 on ChatGPT for your competitor's brand name (the alternatives page method)</t>
  </si>
  <si>
    <t xml:space="preserve">12 months ago a copycat website launched with a near-identical domain to one of our clients, EssayGrader.
within weeks the copycat was sitting in positions 1-3 for EssayGrader's OWN brand name.
every lead doing due diligence was landing on the wrong site. revenue dropped and their team panicked.
most agencies would have told them to "wait it out and let Google sort it."
we went the other way.</t>
  </si>
  <si>
    <t xml:space="preserve">Isaac James</t>
  </si>
  <si>
    <t xml:space="preserve">@isaac-james-416678256</t>
  </si>
  <si>
    <t xml:space="preserve">https://www.linkedin.com/feed/update/urn:li:activity:7500925185454170113</t>
  </si>
  <si>
    <t xml:space="preserve">My candidate asked for $160K.</t>
  </si>
  <si>
    <t xml:space="preserve">My candidate asked for $160K.
Two companies told him no.
The third offered him exactly $160K.
Why?
He was trying to make a career transition.
The problem was, his background didn't command $160K in the role he wanted.
The first company liked him.
They offered around $130K.
He passed.
A few months later, we tried again with another company.
Same result.
They liked him, but came in around</t>
  </si>
  <si>
    <t xml:space="preserve">A career advisor shares a case study about a candidate who insisted on a $160K salary and was rejected by two companies, but secured the exact amount by transitioning to a role that highly valued his unique background experience.</t>
  </si>
  <si>
    <t xml:space="preserve">salary negotiation, career transition, salary offer, job search, candidate experience, role valuation, career advice, salary benchmarks</t>
  </si>
  <si>
    <t xml:space="preserve">Kasey Brown</t>
  </si>
  <si>
    <t xml:space="preserve">@kaseybrownb</t>
  </si>
  <si>
    <t xml:space="preserve">2025-12-04</t>
  </si>
  <si>
    <t xml:space="preserve">https://www.linkedin.com/feed/update/urn:li:activity:7402364824510230529</t>
  </si>
  <si>
    <t xml:space="preserve">After scaling to 200k followers on TikTok, I decided to start creating on LinkedIn and have grown to over 50,000 followers here (still wild to me).</t>
  </si>
  <si>
    <t xml:space="preserve">After scaling to 200k followers on TikTok, I decided to start creating on LinkedIn and have grown to over 50,000 followers here (still wild to me). 
Every week, I generate millions of views and leads for our business, and I have even had a post hit 8 million impressions. 
8 MILLION. 
I should also add that we've been able to generate an entire new revenue stream straight from LinkedIn -- 2 Bric</t>
  </si>
  <si>
    <t xml:space="preserve">Keep the result hook mechanic and swap in your own proof. Teach one content marketing &amp; systems lesson for founders of 10-50 person boutique firms (US/UK/AU). Ship it as a LinkedIn text/carousel.</t>
  </si>
  <si>
    <t xml:space="preserve">A promotional image features a red notebook titled Get Famous Before Christmas, advertising an 18-day content surge guide for December. The graphic includes festive Christmas-themed decorations and promotes a strategy for building an audience when others are less active.</t>
  </si>
  <si>
    <t xml:space="preserve">content strategy, audience building, december growth, cross-platform, content surge, holiday marketing, creator guide, linkedin growth</t>
  </si>
  <si>
    <t xml:space="preserve">agency growth scaling service business revenue; marketing agency business model productized service niche down</t>
  </si>
  <si>
    <t xml:space="preserve">Louis Garoz</t>
  </si>
  <si>
    <t xml:space="preserve">@garozlouis</t>
  </si>
  <si>
    <t xml:space="preserve">2026-06-02</t>
  </si>
  <si>
    <t xml:space="preserve">https://www.instagram.com/reel/DZF1FpUvcRk/</t>
  </si>
  <si>
    <t xml:space="preserve">comment “BLITZ” and I’ll send over the exact playbook we used to scale multiple operators to multiple 7 &amp; 8 figures</t>
  </si>
  <si>
    <t xml:space="preserve">A video features a live coaching call between an entrepreneur and a coach, discussing techniques for developing confidence in leadership. The discussion includes concepts of self-worth, self-image, and influence.</t>
  </si>
  <si>
    <t xml:space="preserve">confidence building, leadership development, coaching, self-worth, influence</t>
  </si>
  <si>
    <t xml:space="preserve">Agency Growth, Consulting / Fractional, Marketing Strategy</t>
  </si>
  <si>
    <t xml:space="preserve">https://x.com/paolo_scales/status/2057828308625002733</t>
  </si>
  <si>
    <t xml:space="preserve">Why 99% Of People Can't Sign Clients On Linkedin</t>
  </si>
  <si>
    <t xml:space="preserve">i've audited over 200 linkedin funnels in the last 12 months.
agencies. SaaS companies. consultants. coaches. service businesses across every B2B niche you can think of.
and the pattern is depressingly consistent: 90% of them are broken in the exact same ways.
not broken in complicated, hard-to-fix ways. broken in obvious, easy-to-fix ways that nobody addresses because they don't even realize t</t>
  </si>
  <si>
    <t xml:space="preserve">This post appears to be a link-only tweet, likely sharing an article or resource. There are no visual elements or additional textual details in the post provided.</t>
  </si>
  <si>
    <t xml:space="preserve">tech news, newsletter, link post</t>
  </si>
  <si>
    <t xml:space="preserve">J.B.</t>
  </si>
  <si>
    <t xml:space="preserve">@vibemarketer_</t>
  </si>
  <si>
    <t xml:space="preserve">https://x.com/VibeMarketer_/status/2010413892380373256</t>
  </si>
  <si>
    <t xml:space="preserve">how to position yourself for success in the AI gold rush</t>
  </si>
  <si>
    <t xml:space="preserve">this post is based on an older thread that went viral a couple of months ago.
since then, i've added another 10k or so followers, scaled up an entirely new offer for my business and built connections that have genuinely changed my trajectory.
with X articles taking off, it felt like the right time to repost and update these ideas.
here's how you can find your edge and build wealth in the AI era</t>
  </si>
  <si>
    <t xml:space="preserve">A thread offering practical steps for businesses to create engaging content that attracts and retains customers, emphasizing audience understanding and consistent value delivery.</t>
  </si>
  <si>
    <t xml:space="preserve">content marketing, customer engagement, audience targeting, brand storytelling, social media strategy, business growth, marketing tips, organic reach</t>
  </si>
  <si>
    <t xml:space="preserve">content system that generates inbound leads for B2B founders; LinkedIn content strategy that books sales calls for B2B service businesses</t>
  </si>
  <si>
    <t xml:space="preserve">Ronin Socials | Content Marketing | Ads</t>
  </si>
  <si>
    <t xml:space="preserve">@roninxsocials</t>
  </si>
  <si>
    <t xml:space="preserve">https://www.instagram.com/reel/DXzcVckxl22/</t>
  </si>
  <si>
    <t xml:space="preserve">Comment “jeff” for the exact prompt we use.</t>
  </si>
  <si>
    <t xml:space="preserve">Comment “jeff” for the exact prompt we use. 
A lot of the top marketers and businesses are pre-handling their biggest objections right in their content. It takes the pressure off the sales team, and it takes the pressure off you. By the time the prospect books a call, they’ve already heard their own questions answered.
Here is how you can build an objection engine from the data you already have:</t>
  </si>
  <si>
    <t xml:space="preserve">The video provides a tutorial on using pre-handling objections extracted from sales transcripts to build ready-to-buy prospects. It includes steps to record calls, analyze transcripts in a tool, and create content using the identified objections to improve sales call attendance and conversion.</t>
  </si>
  <si>
    <t xml:space="preserve">sales objections, content creation, pre-handling objections, sales calls, transcript analysis, prompt usage, Claude, marketing strategy</t>
  </si>
  <si>
    <t xml:space="preserve">https://www.linkedin.com/feed/update/urn:li:activity:7416894034755084289</t>
  </si>
  <si>
    <t xml:space="preserve">99% of LinkedIn Profiles leave money on the table. 
After $2.5M in client revenue, steal this system ↓
↳ Comment “LINKEDIN” &amp; I’ll send over the full system.
It's the exact system I've used to;
→ Help our clients close $2,500,000+
→ Train 100s of coaches &amp; consultants 
→ Book 1,000s of meetings with $0 on ads
→ Become a Top 50 LinkedIn Creator worldwide
→ Grow a 93K+ audience w/o engagement po</t>
  </si>
  <si>
    <t xml:space="preserve">A LinkedIn profile optimization guide shown as an image includes a structured checklist with actionable tips for profile elements. Features a sample profile for 'Jessie van Breugel' and overlaid calls to action encouraging users to engage with the content.</t>
  </si>
  <si>
    <t xml:space="preserve">linkedin profile optimization, profile checklist, lead generation, content guide, social media tutorial, growth strategy, client acquisition, digital marketing</t>
  </si>
  <si>
    <t xml:space="preserve">Ihtesham Ali</t>
  </si>
  <si>
    <t xml:space="preserve">@ihteshamali</t>
  </si>
  <si>
    <t xml:space="preserve">https://x.com/ihtesham2005/status/2035035410758619428</t>
  </si>
  <si>
    <t xml:space="preserve">How to Use NotebookLM to Create Your Entire Course Curriculum From Scratch</t>
  </si>
  <si>
    <t xml:space="preserve">Professors at NYU, Stanford, and Case Western stopped building courses by hand.
They're using NotebookLM to do it in hours and one just called it the biggest shift in academic research in 20 years.
Here's the exact workflow they shared publicly:
Step 1 - The source upload strategy that changes everything.
Most people upload one or two documents.
Professors building full courses upload their e</t>
  </si>
  <si>
    <t xml:space="preserve">The post is a link-only tweet with no further context or content provided.</t>
  </si>
  <si>
    <t xml:space="preserve">link, url, text</t>
  </si>
  <si>
    <t xml:space="preserve">Alex Vacca</t>
  </si>
  <si>
    <t xml:space="preserve">@itsalexvacca</t>
  </si>
  <si>
    <t xml:space="preserve">2026-04-15</t>
  </si>
  <si>
    <t xml:space="preserve">https://x.com/itsalexvacca/status/2044502868556992937</t>
  </si>
  <si>
    <t xml:space="preserve">How to Build Services-as-Software Business</t>
  </si>
  <si>
    <t xml:space="preserve">Sequoia partner Julien Bek recently published the thesis I have been betting on since 2022.
He calls it "Services: The New Software."
The argument in one line: the next trillion-dollar company will sell the work, not the tool, because for every dollar of software spend there are six or more dollars of services spend sitting next to it, and AI just turned that services budget into something a sta</t>
  </si>
  <si>
    <t xml:space="preserve">Keep the how-to hook mechanic and swap in your own proof. Teach one freelancing &amp; international clients lesson for founders of 10-50 person boutique firms (US/UK/AU). Ship it as a LinkedIn text/carousel.</t>
  </si>
  <si>
    <t xml:space="preserve">https://t.co/2THN8zmv9S</t>
  </si>
  <si>
    <t xml:space="preserve">client kaise laaye business grow kaise kare sales marketing agency; founder dependency hiring delegation scaling agency beyond the founder; agency owner lessons scaling to 7 figures clients retention</t>
  </si>
  <si>
    <t xml:space="preserve">David Paffenholz 🧃</t>
  </si>
  <si>
    <t xml:space="preserve">@david-paffenholz</t>
  </si>
  <si>
    <t xml:space="preserve">https://www.linkedin.com/feed/update/urn:li:activity:7422338418170572801</t>
  </si>
  <si>
    <t xml:space="preserve">I am going to finally say it.</t>
  </si>
  <si>
    <t xml:space="preserve">I am going to finally say it.
Founder-led hiring alone won't scale, and holding onto it too long actually hurts your company.
In our early days, hiring was 100% founder-run. Ishan and I personally handled every step first calls, case studies, final on-sites. We’d spend 6–8 hours per candidate, getting to know them deeply.
At that stage, it was the right call. These were the first people on the</t>
  </si>
  <si>
    <t xml:space="preserve">2025-10-28</t>
  </si>
  <si>
    <t xml:space="preserve">https://www.linkedin.com/feed/update/urn:li:activity:7388844603602280448</t>
  </si>
  <si>
    <t xml:space="preserve">FINALLY A CAR AD THAT ISN'T DULL</t>
  </si>
  <si>
    <t xml:space="preserve">FINALLY A CAR AD THAT ISN'T DULL
They say sex sells.
In which case Jeep might be about to sell a lot of cars.
I haven't laughed at a car ad like this in ages
When you operate in a category so full of cliches the best thing you can do is parody them and here Jeep has done exactly that
Comedian Iliza Shlesinger pitches the Jeep team an idea to promote the Grand Wagoneer as 'the best car to have</t>
  </si>
  <si>
    <t xml:space="preserve">A car blog author discusses a Jeep Grand Wagoneer advertisement parodying cliches about 'cars to have sex in'. The post analyzes the ad's witty approach and uses it as a case study for creative advertising.</t>
  </si>
  <si>
    <t xml:space="preserve">jeep, car advertisement, parody, creative advertising, Grand Wagoneer, Iliza Shlesinger, car culture, marketing</t>
  </si>
  <si>
    <t xml:space="preserve">marketing agency business model productized service niche down; case study how we generated pipeline for a B2B client with content and outbound</t>
  </si>
  <si>
    <t xml:space="preserve">Jesse Tinsley</t>
  </si>
  <si>
    <t xml:space="preserve">@jessetinsley</t>
  </si>
  <si>
    <t xml:space="preserve">2026-09-26</t>
  </si>
  <si>
    <t xml:space="preserve">https://x.com/JesseTinsley/status/2103926975794679825</t>
  </si>
  <si>
    <t xml:space="preserve">This is the easiest time in human history to become a millionaire.</t>
  </si>
  <si>
    <t xml:space="preserve">This is the easiest time in human history to become a millionaire.
Not someday. Right now.
AI has collapsed the cost of learning, building, coding, marketing, selling and starting a company.
One person with a laptop can now do what used to require a team, millions in capital and years of experience.
Everyone is focused on what AI will destroy.
They’re overlooking how much easier it just becam</t>
  </si>
  <si>
    <t xml:space="preserve">Jesse Tinsley argues that AI has collapsed the cost of learning, building, coding, marketing and selling, making it the easiest moment in history for one person with a laptop to build wealth. He says most people focus on what AI destroys rather than the opportunity it creates.</t>
  </si>
  <si>
    <t xml:space="preserve">ai, solopreneur, millionaire, wealth, one person business, leverage, startups, building</t>
  </si>
  <si>
    <t xml:space="preserve">ethanleblanc___</t>
  </si>
  <si>
    <t xml:space="preserve">@ethanleblanc___</t>
  </si>
  <si>
    <t xml:space="preserve">https://www.instagram.com/reel/DcfEmr4OVFZ/</t>
  </si>
  <si>
    <t xml:space="preserve">What I send to clients after they say yes</t>
  </si>
  <si>
    <t xml:space="preserve">Comment “Share” and I’ll send you my onboarding process package.
This is a plug &amp; play package that...</t>
  </si>
  <si>
    <t xml:space="preserve">Reel: Static shot with text overlays</t>
  </si>
  <si>
    <t xml:space="preserve">Keyword CTA converts reach into DMs; Format: listicle with on-screen text overlays</t>
  </si>
  <si>
    <t xml:space="preserve">Keep the question hook mechanic and swap in your own proof. Teach one freelancing &amp; international clients lesson for founders of 10-50 person boutique firms (US/UK/AU). Ship it as a IG reel, then repurpose to LinkedIn.</t>
  </si>
  <si>
    <t xml:space="preserve">A professional freelancer displays a step-by-step 10-point checklist of their client onboarding process using text overlays while working at their desk.</t>
  </si>
  <si>
    <t xml:space="preserve">Business &amp; Career</t>
  </si>
  <si>
    <t xml:space="preserve">beau_norton</t>
  </si>
  <si>
    <t xml:space="preserve">@beau_norton</t>
  </si>
  <si>
    <t xml:space="preserve">https://www.instagram.com/reel/DctmTH7MbZ9/</t>
  </si>
  <si>
    <t xml:space="preserve">You're probably really good at what you do, but not so good at selling what you do.</t>
  </si>
  <si>
    <t xml:space="preserve">How to make “selling” almost unnecessary
(for coaches and expert-led businesses)</t>
  </si>
  <si>
    <t xml:space="preserve">Reel: Talking head with static instructional graphic overlay.</t>
  </si>
  <si>
    <t xml:space="preserve">Format: talking head with text overlay</t>
  </si>
  <si>
    <t xml:space="preserve">The speaker explains the 'pre-selling' strategy for entrepreneurs, emphasizing how to align marketing with customer desires, frustrations, and beliefs.</t>
  </si>
  <si>
    <t xml:space="preserve">andrew.today</t>
  </si>
  <si>
    <t xml:space="preserve">@andrew.today</t>
  </si>
  <si>
    <t xml:space="preserve">https://www.instagram.com/reel/Dc1PFXUKyCi/</t>
  </si>
  <si>
    <t xml:space="preserve">My secret to hosting 100 events a year</t>
  </si>
  <si>
    <t xml:space="preserve">The system I use to host over 100 events a year.
Hint: it's not just pure hustle. 
#AttioPartner</t>
  </si>
  <si>
    <t xml:space="preserve">Reel: Talking head with B-roll screenshots and screen recordings</t>
  </si>
  <si>
    <t xml:space="preserve">Curiosity gap / insider framing; Format: The video uses an authority-based hook to establish credibility, followed by a personal 'h</t>
  </si>
  <si>
    <t xml:space="preserve">Keep the insider secret hook mechanic and swap in your own proof. Teach one business growth &amp; scale systems lesson for founders of 10-50 person boutique firms (US/UK/AU). Ship it as a IG reel, then repurpose to LinkedIn.</t>
  </si>
  <si>
    <t xml:space="preserve">An entrepreneur explains how he successfully scales his event planning business by using software automation instead of manual effort.</t>
  </si>
  <si>
    <t xml:space="preserve">roiinmarketing</t>
  </si>
  <si>
    <t xml:space="preserve">@roiinmarketing</t>
  </si>
  <si>
    <t xml:space="preserve">https://www.instagram.com/reel/DbP2AbTh_tk/</t>
  </si>
  <si>
    <t xml:space="preserve">This is a genius marketing idea 🤯</t>
  </si>
  <si>
    <t xml:space="preserve">A coffee brand built a billboard that literally makes you yawn. 😴 Would it work on you?
#marketing #...</t>
  </si>
  <si>
    <t xml:space="preserve">Format: commentary over video case study</t>
  </si>
  <si>
    <t xml:space="preserve">The creator breaks down a clever, interactive marketing campaign by Cafe Pele that uses yawning to promote their coffee.</t>
  </si>
  <si>
    <t xml:space="preserve">imbuecreative_</t>
  </si>
  <si>
    <t xml:space="preserve">@imbuecreative_</t>
  </si>
  <si>
    <t xml:space="preserve">https://www.instagram.com/reel/Dba0dm-CK7Y/</t>
  </si>
  <si>
    <t xml:space="preserve">brand strategy VS creative strategy</t>
  </si>
  <si>
    <t xml:space="preserve">Is your brand strategy clear or are you still figuring it out?</t>
  </si>
  <si>
    <t xml:space="preserve">Contrast format (X vs Y) creates instant tension; Format: on-camera expert explanation</t>
  </si>
  <si>
    <t xml:space="preserve">Keep the pov hook mechanic and swap in your own proof. Teach one marketing strategy lesson for founders of 10-50 person boutique firms (US/UK/AU). Ship it as a IG reel, then repurpose to LinkedIn.</t>
  </si>
  <si>
    <t xml:space="preserve">A creator explains the difference between brand strategy and creative strategy using a movie production analogy.</t>
  </si>
  <si>
    <t xml:space="preserve">bizjordanwhite</t>
  </si>
  <si>
    <t xml:space="preserve">@bizjordanwhite</t>
  </si>
  <si>
    <t xml:space="preserve">https://www.instagram.com/reel/DcjOceDKj52/</t>
  </si>
  <si>
    <t xml:space="preserve">Act like all of your clients are going to leave next month</t>
  </si>
  <si>
    <t xml:space="preserve">Pretend that all your clients are gonna leave next month what would you do to stop that? 
Act like ...</t>
  </si>
  <si>
    <t xml:space="preserve">Single-line contrarian instruction ('Act like all your clients leave next month'), 6.2K account at 33x. Low production, high clarity.</t>
  </si>
  <si>
    <t xml:space="preserve">Retention angle for agency owners: 'Act like your top 3 clients churn in 90 days. What does your pipeline look like?' Leads into the pipeline-dependency diagnostic.</t>
  </si>
  <si>
    <t xml:space="preserve">A creator explains why agency owners should proactively communicate with clients more frequently to reduce churn and build trust.</t>
  </si>
  <si>
    <t xml:space="preserve">2026-04-25</t>
  </si>
  <si>
    <t xml:space="preserve">https://x.com/dimitarangg/status/2048044038209654934</t>
  </si>
  <si>
    <t xml:space="preserve">how i FORCE claude cowork 4.7 into scraping UNTAPPED b2b leads (NOT APOLLO)</t>
  </si>
  <si>
    <t xml:space="preserve">everyone's using Apollo and wondering why their reply rates are 2%. it's because those leads have been pitched 50 times already this month
here's my exact system for forcing claude cowork to scrape untapped databases that nobody else is touching, and the lead quality is 10x better because these people haven't been burned yet
(most of these databases are completely free and sitting there waiting</t>
  </si>
  <si>
    <t xml:space="preserve">Keep the how-to hook mechanic and swap in your own proof. Teach one client acquisition lesson for founders of 10-50 person boutique firms (US/UK/AU). Ship it as a LinkedIn text/carousel.</t>
  </si>
  <si>
    <t xml:space="preserve">A tweet containing only a Twitter link with no additional context or text.</t>
  </si>
  <si>
    <t xml:space="preserve">link, reference</t>
  </si>
  <si>
    <t xml:space="preserve">Content Marketing &amp; Systems, Consulting / Fractional, Client Acquisition</t>
  </si>
  <si>
    <t xml:space="preserve">2026-04-06</t>
  </si>
  <si>
    <t xml:space="preserve">https://www.linkedin.com/feed/update/urn:li:activity:7446973018553233408</t>
  </si>
  <si>
    <t xml:space="preserve">I built an AI tool that audits your LinkedIn profile.</t>
  </si>
  <si>
    <t xml:space="preserve">I built an AI tool that audits your LinkedIn profile.
It tells you exactly why nobody's reaching out — get it for free ↓
I've helped 100+ clients fix their profiles over the past 2 years.
I see the same mistakes every single time.
Your profile is the first thing a potential client sees.
If it doesn't clearly say who you help, what you do, and why they should reach out — that attention goes so</t>
  </si>
  <si>
    <t xml:space="preserve">Shows the system or tool, not just claims; High comment-to-like ratio: debate driver</t>
  </si>
  <si>
    <t xml:space="preserve">Keep the build hook mechanic and swap in your own proof. Teach one marketing strategy lesson for founders of 10-50 person boutique firms (US/UK/AU). Ship it as a LinkedIn text/carousel.</t>
  </si>
  <si>
    <t xml:space="preserve">An infographic promotes an AI tool designed to audit LinkedIn profiles and offers suggestions for optimization. It features a LinkedIn profile mockup and highlights features of the AI tool with tips on how to improve one's profile for better client outreach.</t>
  </si>
  <si>
    <t xml:space="preserve">linkedin, ai tool, profile optimization, personal branding, career development, social media marketing, lead generation, coaching</t>
  </si>
  <si>
    <t xml:space="preserve">Consulting / Fractional, Client Acquisition</t>
  </si>
  <si>
    <t xml:space="preserve">https://www.instagram.com/reel/DYj-FLTxrLH/</t>
  </si>
  <si>
    <t xml:space="preserve">Keep the statement hook mechanic and swap in your own proof. Teach one high-ticket sales lesson for founders of 10-50 person boutique firms (US/UK/AU). Ship it as a IG reel, then repurpose to LinkedIn.</t>
  </si>
  <si>
    <t xml:space="preserve">A video argues against common pricing advice for consultants, criticizing those who raise prices without proven value or market demand. The speaker emphasizes that true pricing is determined by market validation of results, not personal confidence or affirmations.</t>
  </si>
  <si>
    <t xml:space="preserve">consulting, pricing strategy, market validation, value proposition, business advice, client acquisition, social proof, business critique</t>
  </si>
  <si>
    <t xml:space="preserve">kalanotart</t>
  </si>
  <si>
    <t xml:space="preserve">@kalanotart</t>
  </si>
  <si>
    <t xml:space="preserve">https://www.instagram.com/reel/DbqZgYdC3Th/</t>
  </si>
  <si>
    <t xml:space="preserve">working as a freelance designer in India is a bad choice</t>
  </si>
  <si>
    <t xml:space="preserve">living in india was never my excuse. i cracked what most freelancers fail to 🧿
comment ‘hello’ and ...</t>
  </si>
  <si>
    <t xml:space="preserve">Reel: Split screen (talking head intro + screen recording proof)</t>
  </si>
  <si>
    <t xml:space="preserve">Small-account breakout: the idea beat the audience size; Challenges a belief the ICP holds; Keyword CTA converts reach into DMs; Format: talking head into screen recorded proof</t>
  </si>
  <si>
    <t xml:space="preserve">Keep the contrarian hook mechanic and swap in your own proof. Teach one freelancing &amp; international clients lesson for Indian B2B service founders (10-50 staff). Ship it as a IG reel, then repurpose to LinkedIn.</t>
  </si>
  <si>
    <t xml:space="preserve">A creator challenges the idea that being a freelance designer is unprofitable by showing screenshots of receiving international payments.</t>
  </si>
  <si>
    <t xml:space="preserve">Business &amp; Finance</t>
  </si>
  <si>
    <t xml:space="preserve">Deena Priest</t>
  </si>
  <si>
    <t xml:space="preserve">@deena-priest</t>
  </si>
  <si>
    <t xml:space="preserve">2026-09-01</t>
  </si>
  <si>
    <t xml:space="preserve">https://www.linkedin.com/feed/update/urn:li:activity:7500522995900256257</t>
  </si>
  <si>
    <t xml:space="preserve">Your capability as an advisor, consultant or coach is judged before the first call.</t>
  </si>
  <si>
    <t xml:space="preserve">Your capability as an advisor, consultant or coach is judged before the first call.
By the time a senior buyer books a conversation, they've formed a view on your credibility, your judgement, your commercial value, and whether you're safe to trust.
(And sometimes, it isn't even in your control because people make subconscious assumptions based on what you look or sound like.)
Nevertheless, if y</t>
  </si>
  <si>
    <t xml:space="preserve">Text post advising consultants and coaches to control their value proposition, sales process, and content before a senior buyer's first call, plus a promo for a mid-September LinkedIn high-ticket sales masterclass. The attached four-panel image shows a suited man gesturing beside a car and a lioness carrying her cub, overlaid with the text "The danger of a one sided story."</t>
  </si>
  <si>
    <t xml:space="preserve">consulting, coaching, positioning, value proposition, sales process, linkedin, high-ticket sales, senior buyers</t>
  </si>
  <si>
    <t xml:space="preserve">how consultants and boutique firms get clients from LinkedIn content; personal brand for founders builds trust shortens sales cycle</t>
  </si>
  <si>
    <t xml:space="preserve">Business Growth &amp; Scale Systems, Agency Growth</t>
  </si>
  <si>
    <t xml:space="preserve">Mike Futia</t>
  </si>
  <si>
    <t xml:space="preserve">@mikefutia</t>
  </si>
  <si>
    <t xml:space="preserve">2026-04-22</t>
  </si>
  <si>
    <t xml:space="preserve">https://x.com/mikefutia/status/2047019993439850631</t>
  </si>
  <si>
    <t xml:space="preserve">Claude Code + ChatGPT Images 2.0 is f*cking cracked 🤯</t>
  </si>
  <si>
    <t xml:space="preserve">Claude Code + ChatGPT Images 2.0 is f*cking cracked 🤯
I rebuilt my static ad system inside Claude Code on the new ChatGPT Images 2.0 model.
One brand name + one URL = 40 production-ready static ads.
All inside Claude Code.
Perfect for DTC brands and agencies who need high-volume ad creative without briefing a designer or spending hours in Canva.
If you're finding winning ad concepts on Meta</t>
  </si>
  <si>
    <t xml:space="preserve">The video demonstrates an advertising system that generates brand-specific ad creatives using AI tools. It shows the process of creating 40 production-ready static ads from a brand name and URL, including template filling, image generation, and organization.</t>
  </si>
  <si>
    <t xml:space="preserve">ai advertising, ad creation, brand dna, chatgpt images, claude code, static ads, dtc brands, product visuals</t>
  </si>
  <si>
    <t xml:space="preserve">Taylor Haren</t>
  </si>
  <si>
    <t xml:space="preserve">@taylorharen</t>
  </si>
  <si>
    <t xml:space="preserve">https://www.linkedin.com/feed/update/urn:li:activity:7434655206426042368</t>
  </si>
  <si>
    <t xml:space="preserve">We were Clay's largest user at one point in time, hitting their platform 17.3 million times per week. Last month we replaced them entirely with a $200/mo Claude Code subscription.</t>
  </si>
  <si>
    <t xml:space="preserve">We were Clay's largest user at one point in time, hitting their platform 17.3 million times per week. Last month we replaced them entirely with a $200/mo Claude Code subscription.
I can't write code. Neither can James, my VP of Growth who built the replacement.
Here's the full story.
Clay is a GREAT product and I TRULY think most people should use it. But we hit their ceiling.
50,000 row limit</t>
  </si>
  <si>
    <t xml:space="preserve">Specific number/result in the hook; First-person or observed story: narrative pull; High comment-to-like ratio: debate driver</t>
  </si>
  <si>
    <t xml:space="preserve">The image displays a dashboard comparing metrics between Clay and Claude Code platforms, showing key performance improvements with the tech stack blueprint and built features highlighted below, with a red X over the Clay branding.</t>
  </si>
  <si>
    <t xml:space="preserve">tech stack, metrics comparison, ai tools, lead processing, dashboard, performance stats, platform replacement, productivity upgrade</t>
  </si>
  <si>
    <t xml:space="preserve">Fivos Aresti</t>
  </si>
  <si>
    <t xml:space="preserve">@fivosaresti</t>
  </si>
  <si>
    <t xml:space="preserve">https://www.linkedin.com/feed/update/urn:li:activity:7419636145778688000</t>
  </si>
  <si>
    <t xml:space="preserve">110 leads in a single week … with zero ad spend.</t>
  </si>
  <si>
    <t xml:space="preserve">110 leads in a single week … with zero ad spend.
Three reasons why this outbound campaign worked:
1️⃣ We scraped data competitors don’t have access to
Elena built a custom Python scraper for public directories.
Got full business info + validated emails.
2️⃣ AI personalization that sounded like a human wrote it 
Lorenzo built an AI agent to name-drop local competitors + a nearby coffee shop t</t>
  </si>
  <si>
    <t xml:space="preserve">The post shows an email analytics dashboard showcasing campaign performance metrics such as total sends, open rates, and reply rates, alongside a line chart tracking email engagement over a seven-day period. Text highlights scraping competitor data, AI personalization, and cold outbound efficiency.</t>
  </si>
  <si>
    <t xml:space="preserve">email campaign, lead generation, cold outreach, data scraping, ai personalization, b2b marketing, automated outbound, sales funnel</t>
  </si>
  <si>
    <t xml:space="preserve">2026-01-20</t>
  </si>
  <si>
    <t xml:space="preserve">https://www.linkedin.com/feed/update/urn:li:activity:7419332970752344064</t>
  </si>
  <si>
    <t xml:space="preserve">An image of an email campaign dashboard displaying key metrics: 6.6K total sent emails, a 10.6% reply rate, and 110 opportunities worth $550,000. A time-series chart shows email performance trends over a two-week period, with categories like sent, opens, replies, and clicks visualized through stacked areas.</t>
  </si>
  <si>
    <t xml:space="preserve">cold outbound, email campaign, b2b marketing, lead generation, sales automation, marketing dashboard, python scraper, ai personalization</t>
  </si>
  <si>
    <t xml:space="preserve">Ridge Krauss | 6 Figure Video Agency Coach</t>
  </si>
  <si>
    <t xml:space="preserve">@ridgekrauss</t>
  </si>
  <si>
    <t xml:space="preserve">https://www.instagram.com/reel/DU_mBxxDPDR/</t>
  </si>
  <si>
    <t xml:space="preserve">I didn’t start making real money until I stopped trying to make better videos.</t>
  </si>
  <si>
    <t xml:space="preserve">I didn’t start making real money until I stopped trying to make better videos.
For years I chased quality.
Better edits. Better gear. Better color.
Working until 2–3 AM thinking that’s what separated me.
It didn’t.
I was stuck at 10k months, working 60+ hours, losing clients who said the same thing every time:
“The videos look great… we’re just not seeing results.”
Here’s the truth most creati</t>
  </si>
  <si>
    <t xml:space="preserve">Keep the story hook mechanic and swap in your own proof. Teach one content marketing &amp; systems lesson for founders of 10-50 person boutique firms (US/UK/AU). Ship it as a IG reel, then repurpose to LinkedIn.</t>
  </si>
  <si>
    <t xml:space="preserve">The video shows a person reflecting on their business success while sitting poolside. Text overlays narrate their transition from focusing on video quality to achieving client results, leading to personal and professional fulfillment.</t>
  </si>
  <si>
    <t xml:space="preserve">business success, client outcomes, video production, financial growth, work-life balance, agency coaching, income growth, career transformation</t>
  </si>
  <si>
    <t xml:space="preserve">Marketing Strategy, Consulting / Fractional, Client Acquisition</t>
  </si>
  <si>
    <t xml:space="preserve">Sam Huxter</t>
  </si>
  <si>
    <t xml:space="preserve">@samhxtr</t>
  </si>
  <si>
    <t xml:space="preserve">https://www.instagram.com/reel/DQjmVyqDKPa/</t>
  </si>
  <si>
    <t xml:space="preserve">👉 Follow @samhxtr to learn how to take your creator business past $20k - $50k/mo using Conversion Architecture</t>
  </si>
  <si>
    <t xml:space="preserve">👉 Follow @samhxtr to learn how to take your creator business past $20k - $50k/mo using Conversion Architecture
This is how Tim launched a brand new coaching business and scaled past $21k/mo and built a system to get warm, qualified &amp; ready to buy leads consistently every single week
Rob took his trading coaching offer from $7k/mo to over $45k/mo with this same strategy
Josh also used this stra</t>
  </si>
  <si>
    <t xml:space="preserve">Keep the result hook mechanic and swap in your own proof. Teach one business growth &amp; scale systems lesson for founders of 10-50 person boutique firms (US/UK/AU). Ship it as a IG reel, then repurpose to LinkedIn.</t>
  </si>
  <si>
    <t xml:space="preserve">A short video promotes Sam Huxter's CreatorX program, featuring success stories from users who scaled their income using conversion architecture strategies. Includes a testimonial about hitting five-figure monthly revenue through the program.</t>
  </si>
  <si>
    <t xml:space="preserve">creator business, conversion architecture, monetization, business growth, income scaling, success stories, testimonials, creatorx program</t>
  </si>
  <si>
    <t xml:space="preserve">Tino Nguruve</t>
  </si>
  <si>
    <t xml:space="preserve">@tinodiwanashenguruve</t>
  </si>
  <si>
    <t xml:space="preserve">2026-04-26</t>
  </si>
  <si>
    <t xml:space="preserve">https://www.linkedin.com/feed/update/urn:li:activity:7454205178427232257</t>
  </si>
  <si>
    <t xml:space="preserve">PROPAGANDA I'M NOT FALLING FOR ON LINKEDIN</t>
  </si>
  <si>
    <t xml:space="preserve">PROPAGANDA I'M NOT FALLING FOR ON LINKEDIN
After a full year of posting consistently, here’s the advice that sounds good but falls apart in real life:  
→ “Drop F-bombs to seem authentic” = shock value fades fast  
→ “Post every day” = sustainable rhythm wins long term, live your life
→ “Share your entire life story” =boundaries build respect 
→ “Copy my 5 AM routine” = build a routine that fits</t>
  </si>
  <si>
    <t xml:space="preserve">A LinkedIn post over an image of a posed woman on a sidewalk, critiquing common marketing advice for entrepreneurs. The post debunks common content mythologies and offers contrary practical advice on building brands and impact.</t>
  </si>
  <si>
    <t xml:space="preserve">content marketing, entrepreneurship, marketing advice, linkedin marketing, brand building, relationship marketing, networking, audience engagement</t>
  </si>
  <si>
    <t xml:space="preserve">chandan.hasija</t>
  </si>
  <si>
    <t xml:space="preserve">@chandan.hasija</t>
  </si>
  <si>
    <t xml:space="preserve">https://www.instagram.com/reel/DbpmEFEzK1d/</t>
  </si>
  <si>
    <t xml:space="preserve">small systmen can 10x your sales</t>
  </si>
  <si>
    <t xml:space="preserve">This is how big brands 10 X their sales by just one small system</t>
  </si>
  <si>
    <t xml:space="preserve">Small-account breakout: the idea beat the audience size; Specific number/result in the hook; Proof-first opening; Format: on-camera informational pitch</t>
  </si>
  <si>
    <t xml:space="preserve">A creator explains how an AI-based system can help retail business owners manage customer lists and increase footfall.</t>
  </si>
  <si>
    <t xml:space="preserve">Alex Vacca </t>
  </si>
  <si>
    <t xml:space="preserve">@alex-vacca</t>
  </si>
  <si>
    <t xml:space="preserve">https://www.linkedin.com/feed/update/urn:li:activity:7422213698724724736</t>
  </si>
  <si>
    <t xml:space="preserve">R.I.P. LinkedIn "experts".</t>
  </si>
  <si>
    <t xml:space="preserve">R.I.P. LinkedIn "experts".
↳ For 2026, I built this step-by-step guide + agents so you can get clients on LinkedIn.
Most LinkedIn "experts" only do two things:
Post generic motivational content.
Send cold DMs that smell like a pitch from the first second.
We decided to do something different.
We created a real system that combines AI + strategic positioning + intentional content:
- Generates</t>
  </si>
  <si>
    <t xml:space="preserve">The post promotes a step-by-step guide combining AI and strategic positioning to generate LinkedIn clients, emphasizing organic visibility, inbound leads, and automated systems without ads or team support. The visual focuses on turning a LinkedIn profile into a client machine.</t>
  </si>
  <si>
    <t xml:space="preserve">linkedin marketing, ai marketing, client acquisition, organic growth, content strategy, lead generation, automated system, authority building</t>
  </si>
  <si>
    <t xml:space="preserve">Client Acquisition, Consulting / Fractional, Content Marketing &amp; Systems</t>
  </si>
  <si>
    <t xml:space="preserve">2026-03-08</t>
  </si>
  <si>
    <t xml:space="preserve">https://www.linkedin.com/feed/update/urn:li:activity:7436383989508190209</t>
  </si>
  <si>
    <t xml:space="preserve">Stop wasting hours on bad design. Use Claude + Figma ↓</t>
  </si>
  <si>
    <t xml:space="preserve">Stop wasting hours on bad design. Use Claude + Figma ↓
I just built the visual workflow for getting leads on LinkedIn.
Every week I see coaches and consultants burning time in Canva trying to make their content look professional.
Meanwhile I'm cranking out carousels, lead magnets, and banners in 20 minutes flat.
(40% of my lead magnets posts go viral with &gt; 1,000 comments. Built with this exac</t>
  </si>
  <si>
    <t xml:space="preserve">The image displays the logos of Claude and Figma, two design applications, on a light gray background. A white arrow points from the Claude logo to the Figma logo, visually suggesting a workflow or integration between the two tools for graphic design tasks on LinkedIn.</t>
  </si>
  <si>
    <t xml:space="preserve">claude, figma, linkedin, workflow, design tools, graphic design, efficiency, social media</t>
  </si>
  <si>
    <t xml:space="preserve">https://www.linkedin.com/feed/update/urn:li:activity:7436484542821187584</t>
  </si>
  <si>
    <t xml:space="preserve">The image shows the logos of Claude and Figma connected by an arrow, symbolizing a workflow. It promotes a visual workflow for LinkedIn lead generation that uses Claude AI and Figma, claiming to boost design efficiency without prior experience.</t>
  </si>
  <si>
    <t xml:space="preserve">graphic design workflow, ai design tools, claude ai, figma, design efficiency, linkedin marketing, lead generation, content creation</t>
  </si>
  <si>
    <t xml:space="preserve">Blake Maddox</t>
  </si>
  <si>
    <t xml:space="preserve">@blakeemaddox</t>
  </si>
  <si>
    <t xml:space="preserve">https://www.instagram.com/reel/DeZn1JCB8_i/</t>
  </si>
  <si>
    <t xml:space="preserve">Comment “ST6” for more in depth high ticket sales breakdowns #highticketsales #closer #remotesales #info #highticketcloser</t>
  </si>
  <si>
    <t xml:space="preserve">The video features a person discussing the challenges and frustrations of follow-up communications in sales. Text overlays highlight various aspects of the follow-up process and the difficulties encountered.</t>
  </si>
  <si>
    <t xml:space="preserve">sales, follow-up, high ticket, remote sales, customer communication, sales challenges, sales strategy, sales training</t>
  </si>
  <si>
    <t xml:space="preserve">Outbound / Warm Outbound, Marketing Strategy, Business Growth &amp; Scale Systems</t>
  </si>
  <si>
    <t xml:space="preserve">Sami Najim</t>
  </si>
  <si>
    <t xml:space="preserve">@sami-najim-424b83261</t>
  </si>
  <si>
    <t xml:space="preserve">https://www.linkedin.com/feed/update/urn:li:activity:7513146223147687936</t>
  </si>
  <si>
    <t xml:space="preserve">BREAKING: The Claude Lead Generation Guide 2026 is NOW here.</t>
  </si>
  <si>
    <t xml:space="preserve">BREAKING: The Claude Lead Generation Guide 2026 is NOW here.
Your complete playbook for turning Claude into a lead generation operating system.
---
Most people use Claude to write a cold email.
But what about everything that happens before and after you hit send?
Finding the right accounts.
Understanding the buyer.
Spotting buying signals.
Preparing for discovery.
Following up.
Keeping the pi</t>
  </si>
  <si>
    <t xml:space="preserve">Keep the result hook mechanic and swap in your own proof. Teach one client acquisition lesson for founders of 10-50 person boutique firms (US/UK/AU). Ship it as a LinkedIn text/carousel.</t>
  </si>
  <si>
    <t xml:space="preserve">Promotional image showing a 28-page PDF titled "The Claude Lead Generation Guide 2026," with its table of contents covering ICP research, prospect lists, buying signals, personalized outreach, and follow-up. A gold banner invites viewers to comment "LEADS" for free access.</t>
  </si>
  <si>
    <t xml:space="preserve">lead generation, claude, ai workflow, sales, cold email, icp, prospect research, outreach</t>
  </si>
  <si>
    <t xml:space="preserve">Leon Abboud</t>
  </si>
  <si>
    <t xml:space="preserve">@leonabboud</t>
  </si>
  <si>
    <t xml:space="preserve">https://x.com/leonabboud/status/2094147135109275896</t>
  </si>
  <si>
    <t xml:space="preserve">Been tinkering with my GrokBot a lot this weekend.</t>
  </si>
  <si>
    <t xml:space="preserve">Been tinkering with my GrokBot a lot this weekend. 
Here are 10 Github skills I've been trying out.
A collection of skills that turn your Grokbot into a research, marketing, copywriting, and design genius.
1/ marketing-loops @coreyhainesco
Builds marketing automations that run on a schedule or trigger. It can monitor ad fatigue, find new SEO opportunities, refresh old content, watch churn sign</t>
  </si>
  <si>
    <t xml:space="preserve">A text thread listing ten GitHub "skills" for a custom Grok bot, covering marketing automation, prospecting, cold email, deep web research, browser control, outbound calls, security audits, LinkedIn content generation, and competitive intelligence, each with a short description and link.</t>
  </si>
  <si>
    <t xml:space="preserve">ai agents, github, grokbot, skills, automation, marketing, sales outreach, web research</t>
  </si>
  <si>
    <t xml:space="preserve">adswithsimon</t>
  </si>
  <si>
    <t xml:space="preserve">@adswithsimon</t>
  </si>
  <si>
    <t xml:space="preserve">https://www.instagram.com/reel/Da8ffLGDnlv/</t>
  </si>
  <si>
    <t xml:space="preserve">TOFU, MOFU, BOFU.</t>
  </si>
  <si>
    <t xml:space="preserve">Be honest: Is your whole account secretly one stage of the funnel?👀
#metaads  #marketingstrategy</t>
  </si>
  <si>
    <t xml:space="preserve">Small-account breakout: the idea beat the audience size; Format: talking head with diagram overlay</t>
  </si>
  <si>
    <t xml:space="preserve">A marketing expert explains how to structure advertising campaigns using the Top, Middle, and Bottom of the Funnel (ToFu, MoFu, BoFu) framework by pointing to example ads.</t>
  </si>
  <si>
    <t xml:space="preserve">Christian Di Bratto</t>
  </si>
  <si>
    <t xml:space="preserve">@dibratto</t>
  </si>
  <si>
    <t xml:space="preserve">2026-08-31</t>
  </si>
  <si>
    <t xml:space="preserve">https://www.instagram.com/reel/DctEm8ugamJ/</t>
  </si>
  <si>
    <t xml:space="preserve">In the past 3 years, I've personally written 5,000 LinkedIn posts for 50+ tech founders.</t>
  </si>
  <si>
    <t xml:space="preserve">In the past 3 years, I've personally written 5,000 LinkedIn posts for 50+ tech founders. 
In that time, we have distilled a framework for growing a LinkedIn account in 90 days. 
I walked through it in detail here. 
#founder #ycombinator #b2bsaas #b2bmarketing</t>
  </si>
  <si>
    <t xml:space="preserve">This LinkedIn short video from Christian Di Bratto details a framework for growing a LinkedIn presence in 90 days. He outlines steps like profile optimization, posting frequency, content types, and networking strategies.</t>
  </si>
  <si>
    <t xml:space="preserve">linkedin, growth, framework, profile optimization, content strategy, networking, b2b, founders</t>
  </si>
  <si>
    <t xml:space="preserve">Business Growth &amp; Scale Systems, Freelancing &amp; International Clients, Marketing Strategy</t>
  </si>
  <si>
    <t xml:space="preserve">SynQ with Saad</t>
  </si>
  <si>
    <t xml:space="preserve">@synqwithsaad</t>
  </si>
  <si>
    <t xml:space="preserve">https://www.instagram.com/reel/DZFimmrsrsc/</t>
  </si>
  <si>
    <t xml:space="preserve">How to turn a service into a scalable business?</t>
  </si>
  <si>
    <t xml:space="preserve">How to turn a service into a scalable business? 
Branding expert Gohar Shafique drops major truth bombs on scaling creative agencies, why cash flow is king, and how to stop playing the “same old game” as everyone else.
If you are a freelancer or agency owner feeling stuck, this one is for you.
💡 Key Takeaways:
Service businesses are a tough sell, unless you build a strong retainer model.
Aim for</t>
  </si>
  <si>
    <t xml:space="preserve">Keep the how-to hook mechanic and swap in your own proof. Teach one agency growth lesson for founders of 10-50 person boutique firms (US/UK/AU). Ship it as a IG reel, then repurpose to LinkedIn.</t>
  </si>
  <si>
    <t xml:space="preserve">Michel Lieben 🧠</t>
  </si>
  <si>
    <t xml:space="preserve">@michel-lieben</t>
  </si>
  <si>
    <t xml:space="preserve">2025-12-11</t>
  </si>
  <si>
    <t xml:space="preserve">https://www.linkedin.com/feed/update/urn:li:activity:7404843326744453121</t>
  </si>
  <si>
    <t xml:space="preserve">How I'd find my first 10 B2B clients if I had to start from 0:</t>
  </si>
  <si>
    <t xml:space="preserve">How I'd find my first 10 B2B clients if I had to start from 0:
(It's what I've done to hit $5M+ ARR)
1/ I'd find a cheap way to get my brand out there.
You have more time than money when you start.
Thus, begin with an acquisition channel that takes time, but doesn't cost much.
For example:
- Blog posts.
- YouTube videos.
- LinkedIn publications.
- Answering questions in communities.
I tried</t>
  </si>
  <si>
    <t xml:space="preserve">A flowchart titled '7-figure GTM Funnel' by Michel Lieben outlines a B2B sales strategy starting with building brand visibility through LinkedIn posts, paid ads, cold outbound, etc., leading to lead scoring, outreach, and deal closure. The post details specific steps and tools for finding first 10 B2B clients with an emphasis on time investment over monetary costs.</t>
  </si>
  <si>
    <t xml:space="preserve">b2b, client acquisition, sales strategy, lead generation, marketing funnel, linkedin, cold outreach, gTM</t>
  </si>
  <si>
    <t xml:space="preserve">Lukas Otompasis, MSc</t>
  </si>
  <si>
    <t xml:space="preserve">@lukas-otompasis</t>
  </si>
  <si>
    <t xml:space="preserve">2025-11-13</t>
  </si>
  <si>
    <t xml:space="preserve">https://www.linkedin.com/feed/update/urn:li:activity:7394664828847525889</t>
  </si>
  <si>
    <t xml:space="preserve">How to charge more without changing your service</t>
  </si>
  <si>
    <t xml:space="preserve">How to charge more without changing your service
Raising your prices can feel risky, especially when you’re offering the same service.
Many businesses worry about losing clients or being seen as too expensive.
But you don’t need to change what you do to charge more.
You just need to change how you present and deliver it.
Here’s how we do it:
1. Refine our positioning and value
If clients</t>
  </si>
  <si>
    <t xml:space="preserve">Keep the how-to hook mechanic and swap in your own proof. Teach one high-ticket sales lesson for founders of 10-50 person boutique firms (US/UK/AU). Ship it as a LinkedIn text/carousel.</t>
  </si>
  <si>
    <t xml:space="preserve">hitansh.exee</t>
  </si>
  <si>
    <t xml:space="preserve">@hitansh.exee</t>
  </si>
  <si>
    <t xml:space="preserve">https://www.instagram.com/reel/DcC-2k8zJqP/</t>
  </si>
  <si>
    <t xml:space="preserve">Find Freelancing Clients 🤔</t>
  </si>
  <si>
    <t xml:space="preserve">Follow + Comment “🙌🏻”</t>
  </si>
  <si>
    <t xml:space="preserve">Small-account breakout: the idea beat the audience size; Keyword CTA converts reach into DMs; Format: talking head with text overlay</t>
  </si>
  <si>
    <t xml:space="preserve">A creator shares his personal success story with freelancing and offers a step-by-step guide to help viewers get clients.</t>
  </si>
  <si>
    <t xml:space="preserve">Outbound / Warm Outbound, Business Growth &amp; Scale Systems, Client Acquisition</t>
  </si>
  <si>
    <t xml:space="preserve">@tim-stodz</t>
  </si>
  <si>
    <t xml:space="preserve">https://www.linkedin.com/feed/update/urn:li:activity:7497619778023428096</t>
  </si>
  <si>
    <t xml:space="preserve">I close $4k-$8k a month deals all the time. 4 things you need to make that happen:</t>
  </si>
  <si>
    <t xml:space="preserve">I close $4k-$8k a month deals all the time. 4 things you need to make that happen:
(I talk about these in my newsletter often)
1. Prospects who can afford it. I like targeting boring businesses that make good money. The one I've earned the most from over the years is rehab clinics.
2. A positive-ROI service. Something that's worth more than you charge. This is easy when your service directly br</t>
  </si>
  <si>
    <t xml:space="preserve">The image features a black background with white text, displaying three client scenarios: a $50 client requesting free service with post-result payment, a $500 client negotiating price and asking about refund policy, and a $5000 client confirming payment and offering a referral. The post is authored by Tim Stoddart.</t>
  </si>
  <si>
    <t xml:space="preserve">sales, client scenarios, pricing negotiation, referral, roi, business strategy</t>
  </si>
  <si>
    <t xml:space="preserve">fractional executive CMO consulting business positioning and pricing</t>
  </si>
  <si>
    <t xml:space="preserve">Salem King</t>
  </si>
  <si>
    <t xml:space="preserve">@salemking</t>
  </si>
  <si>
    <t xml:space="preserve">https://www.linkedin.com/feed/update/urn:li:activity:7499200540862599183</t>
  </si>
  <si>
    <t xml:space="preserve">“i want to build a brand on LinkedIn, but the space is already too saturated. everyone is now on LinkedIn.”</t>
  </si>
  <si>
    <t xml:space="preserve">“i want to build a brand on LinkedIn, but the space is already too saturated. everyone is now on LinkedIn.”
okay, and so? 
have you ever met anyone that said “i’ve already listened to one musician, so I no longer need music?” society has not gathered together to say, “okay, that’s enough! no more musicians!”
because the world does not need only one person doing each thing. replication is requir</t>
  </si>
  <si>
    <t xml:space="preserve">Opens on a real objection/quote the buyer recognises</t>
  </si>
  <si>
    <t xml:space="preserve">Keep the objection hook mechanic and swap in your own proof. Teach one content marketing &amp; systems lesson for founders of 10-50 person boutique firms (US/UK/AU). Ship it as a LinkedIn text/carousel.</t>
  </si>
  <si>
    <t xml:space="preserve">Text post arguing against the fear that a saturated platform like LinkedIn is "too late" for building a brand, using analogies about musicians, salons, and teachers to argue replication is needed and demand matters more than originality. Accompanied by a mirror selfie photo with no overlaid text.</t>
  </si>
  <si>
    <t xml:space="preserve">linkedin, personal branding, content creation, motivation, originality, saturation, audience building, creator advice</t>
  </si>
  <si>
    <t xml:space="preserve">Graham Nicholls</t>
  </si>
  <si>
    <t xml:space="preserve">@grahamnicholls1</t>
  </si>
  <si>
    <t xml:space="preserve">2026-04-23</t>
  </si>
  <si>
    <t xml:space="preserve">https://www.linkedin.com/feed/update/urn:li:activity:7453041354718220288</t>
  </si>
  <si>
    <t xml:space="preserve">17,000+ coaches saved this.</t>
  </si>
  <si>
    <t xml:space="preserve">17,000+ coaches saved this.
Most were making the same mistake:
They built their business on effort
instead of systems.
Most coaches:
undercharge
overwork
and rely on guesswork
Not because they’re bad.
Because they’re missing structure.
More content won’t fix that.
Systems will.
So I stripped everything back
after 20+ years coaching…
…and built this:
A complete coaching system
on one page.</t>
  </si>
  <si>
    <t xml:space="preserve">Elaine Empalmado</t>
  </si>
  <si>
    <t xml:space="preserve">@elaineempalmado</t>
  </si>
  <si>
    <t xml:space="preserve">https://www.instagram.com/reel/DdmDn6_A8wu/</t>
  </si>
  <si>
    <t xml:space="preserve">This 23 year old makes $100k a month with his online offer, helping info coaches who feel stuck. His content is intentional, bringing leads in through these exact 3 steps.</t>
  </si>
  <si>
    <t xml:space="preserve">This 23 year old makes $100k a month with his online offer, helping info coaches who feel stuck. His content is intentional, bringing leads in through these exact 3 steps. 
Comment SYSTEM and I’ll send you the entire breakdown.</t>
  </si>
  <si>
    <t xml:space="preserve">Specific number/result in the hook; Scannable, save-worthy steps; Keyword CTA converts reach into DMs</t>
  </si>
  <si>
    <t xml:space="preserve">Keep the how-to hook mechanic and swap in your own proof. Teach one business growth &amp; scale systems lesson for founders of 10-50 person boutique firms (US/UK/AU). Ship it as a IG reel, then repurpose to LinkedIn.</t>
  </si>
  <si>
    <t xml:space="preserve">A short video breaking down how Jerry Stécco scaled to $100k/month with 10,000 followers, citing three lessons: short-form reels target the ICP rather than chasing virality, YouTube builds "value debt," and standardized systems enable upsells. It ends with a "comment SYSTEM" CTA to receive the full breakdown.</t>
  </si>
  <si>
    <t xml:space="preserve">short-form strategy, reels, lead generation, comment system, cta, info coaches, youtube funnel, value debt</t>
  </si>
  <si>
    <t xml:space="preserve">Client Acquisition, Outbound / Warm Outbound, Content Marketing &amp; Systems</t>
  </si>
  <si>
    <t xml:space="preserve">One-Person Brand Studio</t>
  </si>
  <si>
    <t xml:space="preserve">@rockyroark</t>
  </si>
  <si>
    <t xml:space="preserve">https://www.instagram.com/reel/Ddlxo8YBwPN/</t>
  </si>
  <si>
    <t xml:space="preserve">How do you get your first freelance client?</t>
  </si>
  <si>
    <t xml:space="preserve">How do you get your first freelance client? 
Here’s what I’d do if I started over with nothing.
A few things that didn’t make the final cut.
You’re going to hear a lot of noes. 
That’s expected. Out of 50 conversations, most go nowhere. 
A few turn into yeses. 
More turn into maybes, and the maybes are where the work comes from over the next 30 to 90 days, as long as you keep talking to them</t>
  </si>
  <si>
    <t xml:space="preserve">Keep the how-to hook mechanic and swap in your own proof. Teach one freelancing &amp; international clients lesson for founders of 10-50 person boutique firms (US/UK/AU). Ship it as a IG reel, then repurpose to LinkedIn.</t>
  </si>
  <si>
    <t xml:space="preserve">The video features a person discussing strategies for acquiring the first freelance client from scratch. They share personal anecdotes and experiences, emphasizing the importance of persistence and networking.</t>
  </si>
  <si>
    <t xml:space="preserve">freelance, first client, networking, persistence, personal brand, career advice, client acquisition, portfolio building</t>
  </si>
  <si>
    <t xml:space="preserve">Superior</t>
  </si>
  <si>
    <t xml:space="preserve">@andreysuperior</t>
  </si>
  <si>
    <t xml:space="preserve">2026-05-28</t>
  </si>
  <si>
    <t xml:space="preserve">https://x.com/andreysuperior/status/2059992370414796888</t>
  </si>
  <si>
    <t xml:space="preserve">Claude agents as a service. $20,000/month selling AI automation to small businesses. Business model.</t>
  </si>
  <si>
    <t xml:space="preserve">A marketing agency in Austin had a 6-person operations team. Lead qualification, customer support, invoicing, reporting, competitor monitoring - all done manually, all costing $28,000/month in salaries.
They replaced 80% of it with 5 Claude agents. Total tool cost: $200/month. Monthly savings: $22,400. The person who built those agents charges $2,500/month to maintain them.
That is the business.</t>
  </si>
  <si>
    <t xml:space="preserve">thenickaustin_</t>
  </si>
  <si>
    <t xml:space="preserve">@thenickaustin_</t>
  </si>
  <si>
    <t xml:space="preserve">https://www.instagram.com/reel/DbNU9a9BHK8/</t>
  </si>
  <si>
    <t xml:space="preserve">THE MOST CLASSIC SALESPERSON CLOSE</t>
  </si>
  <si>
    <t xml:space="preserve">Comment “SCALE” below👇
If you’re ready to scale your sales team, we’ll break down:
✅ The exact gap...</t>
  </si>
  <si>
    <t xml:space="preserve">Reel: Split screen reaction</t>
  </si>
  <si>
    <t xml:space="preserve">Keyword CTA converts reach into DMs; Format: split screen educational reaction</t>
  </si>
  <si>
    <t xml:space="preserve">An educational video where a salesperson analyzes and breaks down a specific closing technique shown in a screen-recorded clip.</t>
  </si>
  <si>
    <t xml:space="preserve">Business &amp; Sales</t>
  </si>
  <si>
    <t xml:space="preserve">High-Ticket Sales, Content Marketing &amp; Systems, Business Growth &amp; Scale Systems</t>
  </si>
  <si>
    <t xml:space="preserve">Julius Solaris</t>
  </si>
  <si>
    <t xml:space="preserve">@juliussolaris</t>
  </si>
  <si>
    <t xml:space="preserve">2025-12-16</t>
  </si>
  <si>
    <t xml:space="preserve">https://www.linkedin.com/feed/update/urn:li:activity:7406713660355751936</t>
  </si>
  <si>
    <t xml:space="preserve">FREE slides, reviews and frameworks - IT’S THE HOLIDAY MEGABUNDLE.</t>
  </si>
  <si>
    <t xml:space="preserve">FREE slides, reviews and frameworks - IT’S THE HOLIDAY MEGABUNDLE.
My gift for the holidays.
The result of months of work
15 Resources
132 slides
Frameworks:
Event Pricing Strategy
Event Connection Ecosystem
Activations Per Stages of the Funnel
45 Tactics to Convince Your CFO to Invest in Events
2025 Attendee Persona Map
Event ROI vs ROO vs ROE
30 Event Marketing Tactics
Anatomy of a Trade Show</t>
  </si>
  <si>
    <t xml:space="preserve">A promotional graphic showcases an event planning mega bundle with eight infographic sections on topics like pricing strategy, event ecosystems, and event ROI, offering various resources for event professionals.</t>
  </si>
  <si>
    <t xml:space="preserve">event planning, resources, frameworks, strategy, infographics, cfo tactics, attendee persona, event roi</t>
  </si>
  <si>
    <t xml:space="preserve">Amelia Willingham Gonzamonte | Social Media Marketing</t>
  </si>
  <si>
    <t xml:space="preserve">@ameliagonzamonte</t>
  </si>
  <si>
    <t xml:space="preserve">https://www.instagram.com/reel/DcR2EJ_Rmbp/</t>
  </si>
  <si>
    <t xml:space="preserve">Top content creators like @hormozi are making this MASSIVE shift in their content – and it’s highlighting something VERY important about what it really takes to make money from social media…</t>
  </si>
  <si>
    <t xml:space="preserve">Top content creators like @hormozi are making this MASSIVE shift in their content – and it’s highlighting something VERY important about what it really takes to make money from social media…
Now. It’s important to note that most business owners posting on social media WILL necessarily have a different approach to content strategy than someone with a social media following of over ten million peop</t>
  </si>
  <si>
    <t xml:space="preserve">This short video discusses a strategic shift in content creation among top social media creators, emphasizing the importance of targeting the right audience rather than chasing virality. The creator shares a case study of a client who achieved success by focusing on hyper-targeted messaging instead of viral content.</t>
  </si>
  <si>
    <t xml:space="preserve">content strategy, audience targeting, social media marketing, business growth, case study, viral content, targeted messaging, authentic content</t>
  </si>
  <si>
    <t xml:space="preserve">sellhungry</t>
  </si>
  <si>
    <t xml:space="preserve">@sellhungry</t>
  </si>
  <si>
    <t xml:space="preserve">https://www.instagram.com/reel/Dbrbk8Kxw4w/</t>
  </si>
  <si>
    <t xml:space="preserve">This is what a NO bullsh** close looks like.</t>
  </si>
  <si>
    <t xml:space="preserve">This @closrtech lead wanted to put up a fight. #sellhungry 
#lifeinsuranceagent #insurancesales #fi...</t>
  </si>
  <si>
    <t xml:space="preserve">Reel: skit</t>
  </si>
  <si>
    <t xml:space="preserve">Format: scripted roleplay with text overlay</t>
  </si>
  <si>
    <t xml:space="preserve">A salesperson demonstrates how to effectively handle the 'send me some information' objection by roleplaying a direct, no-nonsense closing technique.</t>
  </si>
  <si>
    <t xml:space="preserve">Joey Battista</t>
  </si>
  <si>
    <t xml:space="preserve">@joeybattista</t>
  </si>
  <si>
    <t xml:space="preserve">https://www.instagram.com/reel/DdmrqTOiOtL/</t>
  </si>
  <si>
    <t xml:space="preserve">Hiring the impressive résumé is one of the most expensive mistakes a growing business owner can make.</t>
  </si>
  <si>
    <t xml:space="preserve">Hiring the impressive résumé is one of the most expensive mistakes a growing business owner can make.
⠀
The people who look most qualified on paper are often the ones who’ve spent years directing traffic instead of doing the work and that gap shows up the moment you actually need them to build. There’s a reason so few businesses survive the jump to the next level, and it’s sitting in the org chart</t>
  </si>
  <si>
    <t xml:space="preserve">Joey Battista argues that hiring candidates with impressive résumés is one of the most expensive mistakes a growing business owner can make, since big-company executives often can't do hands-on work. He cites stats that only 9% of entrepreneurs pass $1M revenue and 1 in 20 of those reach $10M.</t>
  </si>
  <si>
    <t xml:space="preserve">hiring, executive hiring, small business, scaling, resume, entrepreneurship, org chart, delegation</t>
  </si>
  <si>
    <t xml:space="preserve">David Brier</t>
  </si>
  <si>
    <t xml:space="preserve">@davidbrier</t>
  </si>
  <si>
    <t xml:space="preserve">https://www.linkedin.com/feed/update/urn:li:activity:7507790049237897216</t>
  </si>
  <si>
    <t xml:space="preserve">An insurance ad went viral.</t>
  </si>
  <si>
    <t xml:space="preserve">An insurance ad went viral.
The product never appeared.
Most insurance ads sell fear. 
The car crash. The hospital bed. The empty chair at dinner.
Or they sell skits and punchlines.
Or small animated characters with Australian accents.
Then there's Thai Life Insurance.
In 2014, they launched "Unsung Hero."
No product specs. No policy comparisons.
Just a man doing anonymous good deeds while</t>
  </si>
  <si>
    <t xml:space="preserve">David Brier breaks down Thai Life Insurance's 2014 "Unsung Hero" commercial, which went viral without ever showing the product, as a lesson in brand differentiation through storytelling. He argues that standing out comes from telling a story no competitor would consider, not from humor or fear-based tactics.</t>
  </si>
  <si>
    <t xml:space="preserve">brand storytelling, advertising, thai life insurance, unsung hero, viral ad, differentiation, brand awareness, marketing case study</t>
  </si>
  <si>
    <t xml:space="preserve">Mane Harutyunyan</t>
  </si>
  <si>
    <t xml:space="preserve">@manelegend</t>
  </si>
  <si>
    <t xml:space="preserve">https://www.linkedin.com/feed/update/urn:li:activity:7509580159440596992</t>
  </si>
  <si>
    <t xml:space="preserve">She was bullied at her Dubai real estate agency for posting on LinkedIn.</t>
  </si>
  <si>
    <t xml:space="preserve">She was bullied at her Dubai real estate agency for posting on LinkedIn.
Her colleagues mocked her daily.
"Stick to referrals."
"LinkedIn doesn't sell villas."
"You're embarrassing yourself."
She told me: "I want clients from anywhere in the world. Not just my network."
I told her: "Then let's make LinkedIn your global showroom."
So we built it:
→ Rebuilt her profile for international buyers</t>
  </si>
  <si>
    <t xml:space="preserve">A woman poses seated at a white table in a modern interior with a laptop and handbag, in what appears to be a casual portrait for a LinkedIn content-marketing post. The caption tells the story of a Dubai real estate agent who landed $4.2M and $2.8M deals after eight months of LinkedIn posting, ending with a sales call link.</t>
  </si>
  <si>
    <t xml:space="preserve">linkedin, personal branding, client case study, dubai real estate, luxury real estate, lead generation, social selling, testimonial</t>
  </si>
  <si>
    <t xml:space="preserve">real.moneymoe</t>
  </si>
  <si>
    <t xml:space="preserve">@real.moneymoe</t>
  </si>
  <si>
    <t xml:space="preserve">https://www.instagram.com/reel/Dbrc-YJxo-b/</t>
  </si>
  <si>
    <t xml:space="preserve">HE HAD THE MONEY. I STILL FIRED HIM.</t>
  </si>
  <si>
    <t xml:space="preserve">He told my assistant it was urgent. I got out of the pool with my kids and drove to the office.
The...</t>
  </si>
  <si>
    <t xml:space="preserve">Format: live-action confrontation dialogue</t>
  </si>
  <si>
    <t xml:space="preserve">A business coach conducts a confrontational and high-pressure sales negotiation with a hesitant prospect.</t>
  </si>
  <si>
    <t xml:space="preserve">Thomas Allgeyer</t>
  </si>
  <si>
    <t xml:space="preserve">@thomas-allgeyer</t>
  </si>
  <si>
    <t xml:space="preserve">https://www.linkedin.com/feed/update/urn:li:activity:7458476240354660352</t>
  </si>
  <si>
    <t xml:space="preserve">Most B2B teams have adopted AI tools. Almost none have built AI capability.</t>
  </si>
  <si>
    <t xml:space="preserve">Most B2B teams have adopted AI tools. Almost none have built AI capability.
CW 17/18 of AI in B2B Marketing pulled 70 posts and 35 new voices worth following. The full digest is live.
What stood out to us screening these posts: 
AI SDR adoption is growing, but weak targeting, positioning, and handoff quality are driving high churn and limited long-term retention.
AI can support research (!), s</t>
  </si>
  <si>
    <t xml:space="preserve">A LinkedIn post analyzes trends in AI adoption across B2B marketing, highlighting gaps between tool usage and true AI capability development. It covers challenges in targeting, data fragmentation, and the growing importance of AI as an integrated operating layer rather than just tools.</t>
  </si>
  <si>
    <t xml:space="preserve">ai, b2b marketing, sdrs, enterprise roi, brand context, content engineering, ai adoption, team capability</t>
  </si>
  <si>
    <t xml:space="preserve">emilios.eth</t>
  </si>
  <si>
    <t xml:space="preserve">@emilios_eth</t>
  </si>
  <si>
    <t xml:space="preserve">https://x.com/emilios_eth/status/2015877389411037492</t>
  </si>
  <si>
    <t xml:space="preserve">The Sin Model: Nikita's end-game for content monetization (and why Agencies are next)</t>
  </si>
  <si>
    <t xml:space="preserve">InfoFi got shut down the other day.
People started moving.
Agencies. Clipping. Creator Communities. Ambassadorships. ActionFi.
WhateverFi ...
Tearing down a whole market that had been scaling for more than a year took a toll on its participants.
But this wasn't just a crackdown on a niche market.
It was the first domino.
You thought (or were served) the shutdown was about bots and spam. 
Abo</t>
  </si>
  <si>
    <t xml:space="preserve">Keep the statement hook mechanic and swap in your own proof. Teach one agency growth lesson for founders of 10-50 person boutique firms (US/UK/AU). Ship it as a LinkedIn text/carousel.</t>
  </si>
  <si>
    <t xml:space="preserve">https://www.instagram.com/reel/Dc_7i_1D0_c/</t>
  </si>
  <si>
    <t xml:space="preserve">I got this business to $500K a month. If I lost all of it tomorrow and had to rebuild from zero, here is the exact order I would do it in.</t>
  </si>
  <si>
    <t xml:space="preserve">I got this business to $500K a month. If I lost all of it tomorrow and had to rebuild from zero, here is the exact order I would do it in.
Pick one outcome and sell only that
Most owners sell six services to stay busy. Pick the one your best clients pay the most for and delete the rest. A narrow offer is easier to sell and far easier to hand off later.
Install the Pipeline Engine before anything</t>
  </si>
  <si>
    <t xml:space="preserve">Austin Schneider explains the exact steps he would take to rebuild a $500K/month business from zero, emphasizing focusing on one service, installing a pipeline engine, delegating sales, fast onboarding, and hands-free fulfillment. He shares that this order has scaled 750+ agencies with $13.2M in tracked results.</t>
  </si>
  <si>
    <t xml:space="preserve">business growth, scaling, pipeline, sales system, onboarding, fulfillment, agency, hiring</t>
  </si>
  <si>
    <t xml:space="preserve">Domitille de Saint-Exupéry</t>
  </si>
  <si>
    <t xml:space="preserve">@domitilledesaintexupery</t>
  </si>
  <si>
    <t xml:space="preserve">https://www.linkedin.com/feed/update/urn:li:activity:7406591175941435392</t>
  </si>
  <si>
    <t xml:space="preserve">We spent $1.2M on marketing in 2025 at lemlist.</t>
  </si>
  <si>
    <t xml:space="preserve">We spent $1.2M on marketing in 2025 at lemlist.
And it generated $31M new ARR.
Today, I’m sharing the exact breakdown:
→ $550K on Paid Ads
Split between Google, LinkedIn, Meta, and a few experimental channels.
Search works extremely well when the market is mature.
People actively search for what you offer.
That’s the case for most of our capabilities.
When it’s not, we go more upstream:
Education</t>
  </si>
  <si>
    <t xml:space="preserve">Client Acquisition, Content Marketing &amp; Systems, Consulting / Fractional</t>
  </si>
  <si>
    <t xml:space="preserve">https://www.linkedin.com/feed/update/urn:li:activity:7437108781827821568</t>
  </si>
  <si>
    <t xml:space="preserve">Stop wasting hours on tasks AI can do. Use Claude Skills ↓</t>
  </si>
  <si>
    <t xml:space="preserve">Stop wasting hours on tasks AI can do. Use Claude Skills ↓
I built 7 Skills to handle your lead-gen on LinkedIn.
Every week I see coaches and consultants spending 6+ hours writing posts, planning content, crafting DMs — all manually.
Meanwhile I'm getting it done in under an hour.
Getting &gt;500k impressions per week, and 1,000s of leads.
But most service providers don't even know Claude Skills</t>
  </si>
  <si>
    <t xml:space="preserve">The image shows a terminal window with the text "Your Skills are ready. Get started." in the Claude application which is mentioned in the text as an AI tool. The post promotes a set of AI skills designed to automate lead generation and content creation tasks on LinkedIn, offering tools like a Content Calendar Planner and a Viral Hook Writer.</t>
  </si>
  <si>
    <t xml:space="preserve">ai tools, lead generation, linkedin marketing, productivity, content creation, marketing automation, business growth, digital tools</t>
  </si>
  <si>
    <t xml:space="preserve">Outbound / Warm Outbound, Business Growth &amp; Scale Systems</t>
  </si>
  <si>
    <t xml:space="preserve">Zephyr</t>
  </si>
  <si>
    <t xml:space="preserve">@zephyr_hg</t>
  </si>
  <si>
    <t xml:space="preserve">2026-04-20</t>
  </si>
  <si>
    <t xml:space="preserve">https://x.com/Zephyr_hg/status/2046201083916161190</t>
  </si>
  <si>
    <t xml:space="preserve">The 1-Person AI Agency Model That Hits $20K/Month in 90 Days (Full Playbook)</t>
  </si>
  <si>
    <t xml:space="preserve">Most agencies still run on headcount. The new model runs on systems. One operator, four stacked retainer services, zero employees. Here's the playbook.
Agencies used to need people.
You hired junior writers, SDRs, VAs, media buyers. You paid salaries.
You managed them. You hoped the margin held.
In 2026 that whole shape is breaking.
A solo operator with the right AI stack runs four services i</t>
  </si>
  <si>
    <t xml:space="preserve">Keep the result hook mechanic and swap in your own proof. Teach one agency growth lesson for founders of 10-50 person boutique firms (US/UK/AU). Ship it as a LinkedIn text/carousel.</t>
  </si>
  <si>
    <t xml:space="preserve">The post is a direct hyperlink with no additional context or textual content provided, indicating it is a referral or reference to external material without commentary.</t>
  </si>
  <si>
    <t xml:space="preserve">referral, external_link, contextless</t>
  </si>
  <si>
    <t xml:space="preserve">High-Ticket Sales, Agency Growth, Freelancing &amp; International Clients</t>
  </si>
  <si>
    <t xml:space="preserve">Varun Anand</t>
  </si>
  <si>
    <t xml:space="preserve">@vaanand</t>
  </si>
  <si>
    <t xml:space="preserve">2025-12-08</t>
  </si>
  <si>
    <t xml:space="preserve">https://www.linkedin.com/feed/update/urn:li:activity:7403793290204180480</t>
  </si>
  <si>
    <t xml:space="preserve">We just hit $100M ARR at Clay. It took us six years to go from $0-1m, then two years to go from $1-100m. I’m going to walk you through the 6 biggest GTM bets that got us here.</t>
  </si>
  <si>
    <t xml:space="preserve">We just hit $100M ARR at Clay. It took us six years to go from $0-1m, then two years to go from $1-100m. I’m going to walk you through the 6 biggest GTM bets that got us here.
$100M ARR may be the headline, but I’m most proud of how we accomplished it: we’ve never churned an enterprise customer, have &gt;200% enterprise NRR, every dollar we invest grows 15x, and we’ve created a culture of creativity</t>
  </si>
  <si>
    <t xml:space="preserve">The carousel presents a graph titled Time (YEARS) TO $100M ARR: CLAY. It shows an upward curve progressing from year 0 to year 2, with monetary values on the y-axis ranging from $1M to $100M, indicating Clay's growth trajectory to $100M ARR.</t>
  </si>
  <si>
    <t xml:space="preserve">product led growth, arr milestone, gtm strategy, startups, scaling, customer acquisition, usage based pricing, community building</t>
  </si>
  <si>
    <t xml:space="preserve">agency growth scaling service business revenue; LinkedIn content strategy that books sales calls for B2B service businesses</t>
  </si>
  <si>
    <t xml:space="preserve">https://www.instagram.com/reel/Db26XzEMB3d/</t>
  </si>
  <si>
    <t xml:space="preserve">Unlimited usa clients part 2</t>
  </si>
  <si>
    <t xml:space="preserve">How to find usa clients part 2 !!
.
.
#instalike #usaclients #client #instagood #editing</t>
  </si>
  <si>
    <t xml:space="preserve">Reel: Screen recording with creator's hand in frame</t>
  </si>
  <si>
    <t xml:space="preserve">Small-account breakout: the idea beat the audience size; Format: screen recording with voiceover guide</t>
  </si>
  <si>
    <t xml:space="preserve">The creator offers a free PDF guide on how to find, reach out to, and close USA-based clients for video editing services.</t>
  </si>
  <si>
    <t xml:space="preserve">Client acquisition (Hindi/India)</t>
  </si>
  <si>
    <t xml:space="preserve">tamarraallen</t>
  </si>
  <si>
    <t xml:space="preserve">@tamarraallen</t>
  </si>
  <si>
    <t xml:space="preserve">https://www.instagram.com/reel/DclCob7Bb6g/</t>
  </si>
  <si>
    <t xml:space="preserve">Move the webinar to Sunday. Same slides, don't rebuild nothing.</t>
  </si>
  <si>
    <t xml:space="preserve">When your Mentor has a Mentor. 
Gen X, we are NOT too old for AI. We are actually the generation AI...</t>
  </si>
  <si>
    <t xml:space="preserve">Reel: Cinematic two-shot dialogue</t>
  </si>
  <si>
    <t xml:space="preserve">Challenges a belief the ICP holds; Format: staged business mentorship dialogue</t>
  </si>
  <si>
    <t xml:space="preserve">Keep the contrarian hook mechanic and swap in your own proof. Teach one consulting / fractional lesson for founders of 10-50 person boutique firms (US/UK/AU). Ship it as a IG reel, then repurpose to LinkedIn.</t>
  </si>
  <si>
    <t xml:space="preserve">A male business coach gives a direct, high-stakes consultation to a female client on how to scale her business.</t>
  </si>
  <si>
    <t xml:space="preserve">Nozz</t>
  </si>
  <si>
    <t xml:space="preserve">@noahepstein_</t>
  </si>
  <si>
    <t xml:space="preserve">2025-12-18</t>
  </si>
  <si>
    <t xml:space="preserve">https://x.com/NoahEpstein_/status/2001668932495868139</t>
  </si>
  <si>
    <t xml:space="preserve">if i had zero skills and needed to make $2k/month in 2026, here's exactly what i'd do:</t>
  </si>
  <si>
    <t xml:space="preserve">if i had zero skills and needed to make $2k/month in 2026, here's exactly what i'd do:
step 1: learn n8n at a basic level
not master it. just play around. understand what it does. enough to speak about it when someone asks. that's it.
step 2: go sell something
find a niche. doesn't need to be sexy. doesn't need to be "money twitter" approved.
i reached out to my 12 linkedin followers. twelve.</t>
  </si>
  <si>
    <t xml:space="preserve">A thread outlining a five-step plan to earn $2k/month by 2026 starting from zero skills, focusing on learning basic automation tools, selling services, using Synta.io for quick implementation, proper pricing, and client referrals. The author offers a detailed 3-page guide in exchange for comments.</t>
  </si>
  <si>
    <t xml:space="preserve">side project, automation, n8n, synta.io, outreach, pricing, client acquisition, business automation</t>
  </si>
  <si>
    <t xml:space="preserve">referrals plateau service business founder stuck at revenue ceiling; LinkedIn DM outreach scripts and warm prospecting signals</t>
  </si>
  <si>
    <t xml:space="preserve">Tom Youngs - #1 Business Coach For Consultants</t>
  </si>
  <si>
    <t xml:space="preserve">@tom__youngs</t>
  </si>
  <si>
    <t xml:space="preserve">2025-12-07</t>
  </si>
  <si>
    <t xml:space="preserve">https://www.instagram.com/reel/DR9c83XjQ-q/</t>
  </si>
  <si>
    <t xml:space="preserve">Comment “LEVERAGE” and I’ll send you the full video breaking down the TWO key metrics you need to optimise in 2026 to be able to dump calls from your cal 🫡</t>
  </si>
  <si>
    <t xml:space="preserve">The video breaks down two key analytics metrics crucial for optimizing revenue and building a successful micro-education business in 2026, featuring case studies of clients achieving high earnings without direct sales calls.</t>
  </si>
  <si>
    <t xml:space="preserve">metrics, revenue optimization, micro-education, case studies, 2026, analytics, business growth, scalable</t>
  </si>
  <si>
    <t xml:space="preserve">Panda Talks 🐼</t>
  </si>
  <si>
    <t xml:space="preserve">@secretpandatalks</t>
  </si>
  <si>
    <t xml:space="preserve">2026-08-01</t>
  </si>
  <si>
    <t xml:space="preserve">https://www.instagram.com/reel/Dbe5HgRM2L4/</t>
  </si>
  <si>
    <t xml:space="preserve">​Most people assume that paying higher prices guarantees natural, quality fabrics—while cheap clothes are loaded with synthetic polyester. But as this chart reveals, price tag and material quality don't always line up th</t>
  </si>
  <si>
    <t xml:space="preserve">​Most people assume that paying higher prices guarantees natural, quality fabrics—while cheap clothes are loaded with synthetic polyester. But as this chart reveals, price tag and material quality don't always line up the way you’d expect.
​While fast-fashion giants like SHEIN sit at the top with a massive share of polyester products at low price points, premium brands aren't automatically off the</t>
  </si>
  <si>
    <t xml:space="preserve">Curiosity gap / insider framing</t>
  </si>
  <si>
    <t xml:space="preserve">Melissa Rosenthal</t>
  </si>
  <si>
    <t xml:space="preserve">@melissarosenthal5</t>
  </si>
  <si>
    <t xml:space="preserve">2026-02-06</t>
  </si>
  <si>
    <t xml:space="preserve">https://www.linkedin.com/feed/update/urn:li:activity:7425667505383280640</t>
  </si>
  <si>
    <t xml:space="preserve">Hi Melissa,</t>
  </si>
  <si>
    <t xml:space="preserve">Hi Melissa, 
Saw you went to college. Did you ever smoke weed? 
How was that experience for you personally and professionally? 
That said, want to increase sales with influential industry leaders? 
This is perhaps the most hilarious and unhinged cold outreach I've ever received. 😂</t>
  </si>
  <si>
    <t xml:space="preserve">The post is a text-based message on a white background posing a question about personal drug use experience, framed humorously, and followed by a marketing pitch for sales solutions using customer data tools. </t>
  </si>
  <si>
    <t xml:space="preserve">cold outreach, drug use, humor, marketing pitch, personal experience, college, sales strategy, customer data</t>
  </si>
  <si>
    <t xml:space="preserve">High-Ticket Sales, Content Marketing &amp; Systems, Client Acquisition</t>
  </si>
  <si>
    <t xml:space="preserve">Noam Nisand</t>
  </si>
  <si>
    <t xml:space="preserve">@noam-nisand</t>
  </si>
  <si>
    <t xml:space="preserve">2026-09-28</t>
  </si>
  <si>
    <t xml:space="preserve">https://www.linkedin.com/feed/update/urn:li:activity:7510284697445466112</t>
  </si>
  <si>
    <t xml:space="preserve">Sales and marketing shouldn't be two separate conversations.</t>
  </si>
  <si>
    <t xml:space="preserve">Sales and marketing shouldn't be two separate conversations.
Especially if you're a founder selling B2B.
Your sales team is talking to prospects every day.
They're hearing:
“What’s stopping them from buying?”
“Why are they using X instead?”
“Why is this suddenly a priority?”
“What do they actually care about?”
That information is fucking valuable. But most companies let it die inside sales ca</t>
  </si>
  <si>
    <t xml:space="preserve">Screenshot of an X post by Grant Miller illustrating "the difference between sales &amp; marketing in 1 photo" — two labeled images of a man holding cardboard flower signs, captioned "Sales." and "Marketing." The author's caption argues founders should turn sales-call objections into LinkedIn content, treating content as a sales asset.</t>
  </si>
  <si>
    <t xml:space="preserve">sales, marketing, linkedin, b2b, founders, content marketing, objection handling, sales enablement</t>
  </si>
  <si>
    <t xml:space="preserve">LinkedIn content strategy that books sales calls for B2B service businesses; contrarian take on marketing and sales advice for small B2B companies</t>
  </si>
  <si>
    <t xml:space="preserve">JD™</t>
  </si>
  <si>
    <t xml:space="preserve">@lostmyhats</t>
  </si>
  <si>
    <t xml:space="preserve">https://x.com/LostMyHats/status/2029976966275944883</t>
  </si>
  <si>
    <t xml:space="preserve">Trump just called Tucker Carlson crazy for talking about the Jewish Chabad mafia. Get a load of this:</t>
  </si>
  <si>
    <t xml:space="preserve">Trump just called Tucker Carlson crazy for talking about the Jewish Chabad mafia. Get a load of this: 
On July 8 this year, after Operation Rising Lion, the joint U.S.-Israeli strikes on Iran, Netanyahu brought Trump two gifts. The first was a mezuzah case made from Iranian missile shrapnel shaped like a B-2 bomber. Cool, a sacred Jewish war relic. No big deal. Desert war cult religions have war</t>
  </si>
  <si>
    <t xml:space="preserve">This post is a written text discussing Trump's recent criticism of Tucker Carlson regarding the Jewish Chabad movement. It explains the involvement of US presidents and international leaders with Chabad-Lubavitch, implying hidden political influence and manipulation.</t>
  </si>
  <si>
    <t xml:space="preserve">trump, tucker carlson, chabad, netanyahu, political influence, jewish messiah, us politics, presidency</t>
  </si>
  <si>
    <t xml:space="preserve">https://x.com/imsehej/status/2029235992339828761</t>
  </si>
  <si>
    <t xml:space="preserve">if i was starting from scratch right now, this is exactly what i'd build</t>
  </si>
  <si>
    <t xml:space="preserve">day 1-7: three faceless pages in boring desperate niches
page 1: property tax appeals page 2: HVAC service business operations
page 3: medical billing dispute resolution
budget needed: $500 total ($3k better, $500 minimum) time needed: 60 hours (week 1) goal: all three live by day 7
and you're debating which course to buy about "finding your passion niche"
let me show you the exact 90-day blue</t>
  </si>
  <si>
    <t xml:space="preserve">The post contains no meaningful textual content; it only includes a link to an external URL repeated twice.</t>
  </si>
  <si>
    <t xml:space="preserve">link, external_url, blank, null_content</t>
  </si>
  <si>
    <t xml:space="preserve">createwithpankhuri</t>
  </si>
  <si>
    <t xml:space="preserve">@createwithpankhuri</t>
  </si>
  <si>
    <t xml:space="preserve">https://www.instagram.com/reel/DcQ_MXYB4Z1/</t>
  </si>
  <si>
    <t xml:space="preserve">Marketing Concepts you MUST know (to stay relevant in 2026)</t>
  </si>
  <si>
    <t xml:space="preserve">comment “pdf” and I’ll share the best resources to learn these!
.
.
.
.
.
[how to learn marketing, m...</t>
  </si>
  <si>
    <t xml:space="preserve">Reel: split screen (creator + overlay)</t>
  </si>
  <si>
    <t xml:space="preserve">Small-account breakout: the idea beat the audience size; Timely trend call; rides the news cycle; Keyword CTA converts reach into DMs; Format: talking head with overlay slides</t>
  </si>
  <si>
    <t xml:space="preserve">A creator lists key marketing concepts with visual diagrams to test the viewer's industry knowledge.</t>
  </si>
  <si>
    <t xml:space="preserve">Rosanna Campbell</t>
  </si>
  <si>
    <t xml:space="preserve">@rosannacampbell</t>
  </si>
  <si>
    <t xml:space="preserve">https://www.linkedin.com/feed/update/urn:li:activity:7462864777107800064</t>
  </si>
  <si>
    <t xml:space="preserve">I ghostwrite for a whole bunch of LinkedIn accounts. And one of the most frustrating things I've had to learn:</t>
  </si>
  <si>
    <t xml:space="preserve">I ghostwrite for a whole bunch of LinkedIn accounts. And one of the most frustrating things I've had to learn:
Nobody wants your wise thoughts.
Posts that are basically "here is an interesting thing I think" will bomb. Pretty much every time. Even if you're very smart and your thoughts are very interesting.
My clients are brilliant, and I still can't save these posts. I've watched a clever indu</t>
  </si>
  <si>
    <t xml:space="preserve">A ghostwriter shares insights on effective LinkedIn content, emphasizing that posts offering practical, actionable advice perform better than simply sharing interesting thoughts. The post outlines three tactical post types that consistently engage readers.</t>
  </si>
  <si>
    <t xml:space="preserve">linkedin content, ghostwriting, content strategy, actionable advice, post types, engagement, writing tips, professional networking</t>
  </si>
  <si>
    <t xml:space="preserve">Tom Goodwin</t>
  </si>
  <si>
    <t xml:space="preserve">@tomjamesgoodwin</t>
  </si>
  <si>
    <t xml:space="preserve">2026-09-11</t>
  </si>
  <si>
    <t xml:space="preserve">https://www.linkedin.com/feed/update/urn:li:activity:7504070681752576000</t>
  </si>
  <si>
    <t xml:space="preserve">Every significant move I've made in my life started with fear.</t>
  </si>
  <si>
    <t xml:space="preserve">Every significant move I've made in my life started with fear.
What I've learned is: fear doesn't go away by waiting.
Waiting gives you assumptions, but TRYING gives you information.
When I started my first business at 19, I had no idea if it would work. 
I ended up selling it and started another one. 
Managed to sell that as well. 
When I walked into a tech startup with no background in the</t>
  </si>
  <si>
    <t xml:space="preserve">The image is a minimal Temu brand graphic: the lowercase "temu" logo in black on white with the tagline "Shop Like a Billionaire". The caption is a personal reflection arguing that acting despite fear beats waiting, tied to fast-moving eCommerce trends.</t>
  </si>
  <si>
    <t xml:space="preserve">fear, action bias, ecommerce, business, entrepreneurship, curiosity, learning, personal reflection</t>
  </si>
  <si>
    <t xml:space="preserve">2026-06-22</t>
  </si>
  <si>
    <t xml:space="preserve">https://www.linkedin.com/feed/update/urn:li:activity:7474789546497544192</t>
  </si>
  <si>
    <t xml:space="preserve">Your capability as an advisor, consultant or coach is judged before the first call.
By the time a senior buyer books a conversation, they've formed a view on your credibility, your judgement, your commercial value, and whether you're safe to trust.
(And sometimes, it isn't even in your control because people make subconscious assumptions based on what you look or sound like.)
Nevertheless, i</t>
  </si>
  <si>
    <t xml:space="preserve">This post presents strategic advice for advisors, consultants and coaches focused on positioning. It highlights three key areas (value proposition, sales process and content) that establish authority before the first client call, addressing how senior buyers evaluate providers.</t>
  </si>
  <si>
    <t xml:space="preserve">consulting, client acquisition, value proposition, sales process, content strategy, buyer's journey, positioning, authority</t>
  </si>
  <si>
    <t xml:space="preserve">Nick Saraev</t>
  </si>
  <si>
    <t xml:space="preserve">@nick-saraev</t>
  </si>
  <si>
    <t xml:space="preserve">2026-01-06</t>
  </si>
  <si>
    <t xml:space="preserve">https://www.linkedin.com/feed/update/urn:li:activity:7414298455659167744</t>
  </si>
  <si>
    <t xml:space="preserve">$400,000+ in Upwork revenue.</t>
  </si>
  <si>
    <t xml:space="preserve">$400,000+ in Upwork revenue.
Here's the blueprint.
For free.
Most people treat Upwork like a race to the bottom: competing on price, sending 100 applications and getting ghosted.
I treated it like a business.
And built systems that actually worked:
• Profile that converted 3x better than competitors
• Application strategy that got 1 in 3 responses
• Message templates that closed deals on aut</t>
  </si>
  <si>
    <t xml:space="preserve">Keep the result hook mechanic and swap in your own proof. Teach one freelancing &amp; international clients lesson for (re-aim at business owners, not aspirants). Ship it as a LinkedIn text/carousel.</t>
  </si>
  <si>
    <t xml:space="preserve">The post presents a freelance career success story with a detailed profile card and blueprint for upwork success. The image and text together offer a guide for optimizing profiles and securing higher-paying freelance work on upwork.</t>
  </si>
  <si>
    <t xml:space="preserve">upwork, freelancing, revenue, profile optimization, freelance strategy, freelance blueprint, job applications, deal closing</t>
  </si>
  <si>
    <t xml:space="preserve">Content Marketing &amp; Systems, Agency Growth</t>
  </si>
  <si>
    <t xml:space="preserve">Justin Oberman</t>
  </si>
  <si>
    <t xml:space="preserve">@justinoberman</t>
  </si>
  <si>
    <t xml:space="preserve">2026-08-17</t>
  </si>
  <si>
    <t xml:space="preserve">https://www.linkedin.com/feed/update/urn:li:activity:7495181952933715969</t>
  </si>
  <si>
    <t xml:space="preserve">The worst advice I ever got in advertising school was not to read this book.</t>
  </si>
  <si>
    <t xml:space="preserve">The worst advice I ever got in advertising school was not to read this book. 
My teacher said it had too many rules and would kill your creativity. 
It took five years before I would ignore his advice. 
And I’m so glad I did. 
The number of times I refer to “The Book of David" for advice means I've probably read it at least 20 times a year. 
And why not?
John Caples (writer of “They Laughed</t>
  </si>
  <si>
    <t xml:space="preserve">Justin Oberman holds up a copy of David Ogilvy's "Ogilvy on Advertising" while reflecting on how the book's rules for great advertising still hold up, and why he built a thought-leadership playbook around it.</t>
  </si>
  <si>
    <t xml:space="preserve">david ogilvy, ogilvy on advertising, advertising, copywriting, book recommendation, advertising history, creative revolution, confessions of an advertising man</t>
  </si>
  <si>
    <t xml:space="preserve">https://www.instagram.com/reel/DdMX_byhlDb/</t>
  </si>
  <si>
    <t xml:space="preserve">Lets get paid #highticketsales #remotesales #closer #entrepreneur #sales</t>
  </si>
  <si>
    <t xml:space="preserve">Small-account breakout: the idea beat the audience size; High comment-to-like ratio: debate driver</t>
  </si>
  <si>
    <t xml:space="preserve">Keep the statement hook mechanic and swap in your own proof. Teach one high-ticket sales lesson for (re-aim at business owners, not aspirants). Ship it as a IG reel, then repurpose to LinkedIn.</t>
  </si>
  <si>
    <t xml:space="preserve">Tony, a former restaurant worker of six years, shares a testimonial for Blake Maddox's ST6 program: he joined August 21st and landed his first high-ticket sales role within two weeks through the program's internal network, crediting daily coaching calls and modules.</t>
  </si>
  <si>
    <t xml:space="preserve">sales, high ticket sales, remote sales, closer, testimonial, high-ticket, entrepreneurship, coaching program</t>
  </si>
  <si>
    <t xml:space="preserve">Content Marketing &amp; Systems, High-Ticket Sales</t>
  </si>
  <si>
    <t xml:space="preserve">Heike Young</t>
  </si>
  <si>
    <t xml:space="preserve">@heikeyoung</t>
  </si>
  <si>
    <t xml:space="preserve">2026-04-09</t>
  </si>
  <si>
    <t xml:space="preserve">https://www.linkedin.com/feed/update/urn:li:activity:7448015639690129408</t>
  </si>
  <si>
    <t xml:space="preserve">I was head of branded content for Salesforce and Microsoft. But one day I realized: Brands don’t land the way people do.</t>
  </si>
  <si>
    <t xml:space="preserve">I was head of branded content for Salesforce and Microsoft. But one day I realized: Brands don’t land the way people do.
After 15 years making content strategies, reviewing performance data, and trying to edit out “content voice” anytime I saw it, this is the single biggest thing I come back to:
People are the content strategy. ✨ 
It was always true, but now more than ever, as more content is m</t>
  </si>
  <si>
    <t xml:space="preserve">Infographic frame titled "How to Create a People-Generated Content Engine," breaking PGC into three pillars: execs &amp; employees, industry creators, and customers, each with ideal voices, brand investment, and best deployment. Accompanying text argues people, not AI, drive the most credible B2B content.</t>
  </si>
  <si>
    <t xml:space="preserve">pgc, people-generated content, branded content, employee advocacy, creator marketing, customer stories, b2b marketing, content strategy</t>
  </si>
  <si>
    <t xml:space="preserve">2025-12-23</t>
  </si>
  <si>
    <t xml:space="preserve">https://x.com/imsehej/status/2003285922935374258</t>
  </si>
  <si>
    <t xml:space="preserve">how to use quora and reddit comments to build a $100k/m faceless info product business</t>
  </si>
  <si>
    <t xml:space="preserve">how to use quora and reddit comments to build a $100k/m faceless info product business
most people think quora and reddit are "dead platforms" or "don't convert"
meanwhile there are operators quietly doing $50k-$100k/month farming these platforms for qualified
Buyers
and they're doing it completely faceless with zero personal brand
here's why this works better than twitter or any other platfo</t>
  </si>
  <si>
    <t xml:space="preserve">Keep the how-to hook mechanic and swap in your own proof. Teach one business growth &amp; scale systems lesson for (re-aim at business owners, not aspirants). Ship it as a LinkedIn text/carousel.</t>
  </si>
  <si>
    <t xml:space="preserve">How to use Quora and Reddit to build a faceless info product business, focusing on identifying high-intent questions, providing value-packed answers, scaling with multiple accounts, and funneling to a landing page.</t>
  </si>
  <si>
    <t xml:space="preserve">quora marketing, reddit marketing, faceless business, info product, high-intent traffic, content bank, automation, landing page</t>
  </si>
  <si>
    <t xml:space="preserve">agency growth scaling service business revenue; client acquisition for agencies and consultants</t>
  </si>
  <si>
    <t xml:space="preserve">Dan Rosenthal</t>
  </si>
  <si>
    <t xml:space="preserve">@dan__rosenthal</t>
  </si>
  <si>
    <t xml:space="preserve">2026-07-11</t>
  </si>
  <si>
    <t xml:space="preserve">https://x.com/dan__rosenthal/status/2076013236646736214</t>
  </si>
  <si>
    <t xml:space="preserve">How We Hit $2M ARR in 7 Months With One Channel: LinkedIn</t>
  </si>
  <si>
    <t xml:space="preserve">We hit $2,000,000 ARR in 7 months, and one channel did most of the work: LinkedIn.
I have 45,000 followers, and our company generates 1.5 million impressions a month.
This all came from running LinkedIn as a SYSTEM that we operate.
Below is the exact content system behind those numbers, broken down the way we actually run it internally.
Why LinkedIn, and why one channel
Most B2B companies tre</t>
  </si>
  <si>
    <t xml:space="preserve">The post is a plain link with no additional context or description provided. It lacks visual elements and contains only a URL as content.</t>
  </si>
  <si>
    <t xml:space="preserve">url, link, uncategorized</t>
  </si>
  <si>
    <t xml:space="preserve">Jayde I. Powell</t>
  </si>
  <si>
    <t xml:space="preserve">@jaydeipowell</t>
  </si>
  <si>
    <t xml:space="preserve">https://www.linkedin.com/feed/update/urn:li:activity:7448349913706508288</t>
  </si>
  <si>
    <t xml:space="preserve">this is what we in the business like to call ✨a brand✨ 😌🤌🏾</t>
  </si>
  <si>
    <t xml:space="preserve">The image displays a screenshot of a social media reply interface showing a conversation about a Black girl's marketing agency success, with mentions of branding and user engagement metrics.</t>
  </si>
  <si>
    <t xml:space="preserve">branding, marketing agency, social media, success story, user engagement, reply interface, purple checkered pattern, usernames</t>
  </si>
  <si>
    <t xml:space="preserve">annakatehart</t>
  </si>
  <si>
    <t xml:space="preserve">@annakatehart</t>
  </si>
  <si>
    <t xml:space="preserve">https://www.instagram.com/reel/DbnvEmaR1L5/</t>
  </si>
  <si>
    <t xml:space="preserve">$70 on bandages?!</t>
  </si>
  <si>
    <t xml:space="preserve">Analyzing @bringbenjie as a brand strategy expert with over 15 years of experience creating brands! ...</t>
  </si>
  <si>
    <t xml:space="preserve">Reel: split screen (creator + b-roll) and single-shot talking head</t>
  </si>
  <si>
    <t xml:space="preserve">Specific number/result in the hook; Proof-first opening; Format: branded product teardown review</t>
  </si>
  <si>
    <t xml:space="preserve">A marketing expert performs an audit of a direct-to-consumer brand's packaging, branding, and messaging.</t>
  </si>
  <si>
    <t xml:space="preserve">Sheila of the Most High</t>
  </si>
  <si>
    <t xml:space="preserve">@sheilatebra</t>
  </si>
  <si>
    <t xml:space="preserve">https://x.com/sheilatebra/status/2048980174742368547</t>
  </si>
  <si>
    <t xml:space="preserve">Anonymous</t>
  </si>
  <si>
    <t xml:space="preserve">Anonymous 
I was a week away from losing my bakery when a stranger walked in and ordered four dozen cookies. Nothing unusual about that except it was a Tuesday morning and I hadn’t had a customer in three days and the lights were about to get cut and I had been sitting in the back doing math that refused to cooperate no matter how many times I ran it.
She picked them up Thursday. Paid in full. Th</t>
  </si>
  <si>
    <t xml:space="preserve">A woman shares how a stranger's large cookie order and subsequent referrals saved her bakery from closing, turning it into an eleven-year-old success.</t>
  </si>
  <si>
    <t xml:space="preserve">bakery, small business, community, business turnaround, customer loyalty, word of mouth, unexpected help, business survival</t>
  </si>
  <si>
    <t xml:space="preserve">Outbound / Warm Outbound, Business Growth &amp; Scale Systems, Marketing Strategy</t>
  </si>
  <si>
    <t xml:space="preserve">Saurabh Agarwal</t>
  </si>
  <si>
    <t xml:space="preserve">@saurabhag1</t>
  </si>
  <si>
    <t xml:space="preserve">https://www.linkedin.com/feed/update/urn:li:activity:7396769690724995072</t>
  </si>
  <si>
    <t xml:space="preserve">A ₹85L Chief of Staff role was closed in 72 hours.</t>
  </si>
  <si>
    <t xml:space="preserve">A ₹85L Chief of Staff role was closed in 72 hours.
Here’s how.
No job post. No mandate. No shortlists.
Founder drops a message in his IIM WhatsApp group on Friday night:
“Need a CoS. Who’s solid?”
By Saturday afternoon: two referrals.
By Sunday evening: conversations done.
By Monday: offer out.
When you sit in founder hiring discussions, you realise fast:
The shortlist is made before the searc</t>
  </si>
  <si>
    <t xml:space="preserve">Keep the result hook mechanic and swap in your own proof. Teach one high-ticket sales lesson for Indian B2B service founders (10-50 staff). Ship it as a LinkedIn text/carousel.</t>
  </si>
  <si>
    <t xml:space="preserve">Business Growth &amp; Scale Systems, Content Marketing &amp; Systems, Client Acquisition</t>
  </si>
  <si>
    <t xml:space="preserve">https://www.linkedin.com/feed/update/urn:li:activity:7416823658507296768</t>
  </si>
  <si>
    <t xml:space="preserve">This image tutorial provides a step-by-step guide to optimizing a LinkedIn profile using ChatGPT. It includes sections on profile picture, headline, banner, about section, services, and featured section to enhance visibility and generate leads on the platform.</t>
  </si>
  <si>
    <t xml:space="preserve">linkedin profile, chatgpt, optimization guide, lead generation, profile optimization, social media growth, professional networking, personal branding</t>
  </si>
  <si>
    <t xml:space="preserve">QwenWork</t>
  </si>
  <si>
    <t xml:space="preserve">@qwenwork</t>
  </si>
  <si>
    <t xml:space="preserve">https://x.com/qwenwork/status/2054934477483471041</t>
  </si>
  <si>
    <t xml:space="preserve">One chat window replaced her entire creative suite</t>
  </si>
  <si>
    <t xml:space="preserve">Competitor analysis. Product photography. Promotional poster. Brand video with full production script. Pitch deck. 3-month content calendar with KPIs. Monthly budget with ROI projections.
That's not a project recap from a marketing agency. It's what Camila, a digital marketing freelancer based in São Paulo, delivered to a specialty coffee client — working entirely inside MuleRun.
The brief
Cami</t>
  </si>
  <si>
    <t xml:space="preserve">Brendan (can/do)</t>
  </si>
  <si>
    <t xml:space="preserve">@brendanfoody</t>
  </si>
  <si>
    <t xml:space="preserve">2026-10-13</t>
  </si>
  <si>
    <t xml:space="preserve">https://x.com/BrendanFoody/status/2109838645339607285</t>
  </si>
  <si>
    <t xml:space="preserve">In the summer of 2023, my friend @benspector, who co-founded Anysphere (aka Cursor), reached out to one top venture funds in Silicon Valley, suggesting we meet.</t>
  </si>
  <si>
    <t xml:space="preserve">In the summer of 2023, my friend @benspector, who co-founded Anysphere (aka Cursor), reached out to one top venture funds in Silicon Valley, suggesting we meet.
They turned down the intro, saying it wasn’t a category they were interested in.
Ben insisted that he thought our team was special and that they had to meet us, but the partner still wouldn’t even take a meeting.
I drove over to their o</t>
  </si>
  <si>
    <t xml:space="preserve">Brendan Foody recounts how a top Silicon Valley venture fund refused an intro meeting with Anysphere (Cursor) in summer 2023 despite co-founder Ben Spector's insistence; Foody left a note on Sandhill Road and the team built on with no funding. He frames it as a lesson in persistence and contrarian conviction.</t>
  </si>
  <si>
    <t xml:space="preserve">cursor, anysphere, venture capital, sandhill road, rejected pitch, contrarian, founder persistence, dropout founders</t>
  </si>
  <si>
    <t xml:space="preserve">Content Marketing &amp; Systems, Business Growth &amp; Scale Systems, Consulting / Fractional</t>
  </si>
  <si>
    <t xml:space="preserve">Nicole Ramirez</t>
  </si>
  <si>
    <t xml:space="preserve">@nicoleramirez-personal-brand-expert</t>
  </si>
  <si>
    <t xml:space="preserve">https://www.linkedin.com/feed/update/urn:li:activity:7388938270853935104</t>
  </si>
  <si>
    <t xml:space="preserve">In July 2024, I was laid off from my Director role at Forbes.</t>
  </si>
  <si>
    <t xml:space="preserve">In July 2024, I was laid off from my Director role at Forbes.
So I decided to do something I had never done before: I started investing in myself.
No plan. No brand. No following.
Fast forward to today, I just hit 30,000 followers on LinkedIn, run multiple consulting clients, ghostwrite for executives, and teach others how to grow their personal brands.
And I do it all without a team, 80-hour w</t>
  </si>
  <si>
    <t xml:space="preserve">theryankeip</t>
  </si>
  <si>
    <t xml:space="preserve">@theryankeip</t>
  </si>
  <si>
    <t xml:space="preserve">https://www.instagram.com/reel/Da75WdaRCFL/</t>
  </si>
  <si>
    <t xml:space="preserve">Only 7 Questions Handle 90% of Objections</t>
  </si>
  <si>
    <t xml:space="preserve">7 Questions to close more deals…
The average salesperson hears an objection and goes into defense m...</t>
  </si>
  <si>
    <t xml:space="preserve">Scannable, save-worthy steps; Format: talking head with text overlay</t>
  </si>
  <si>
    <t xml:space="preserve">A sales coach explains seven specific questions that can handle 90% of objections during sales calls.</t>
  </si>
  <si>
    <t xml:space="preserve">Agency Growth, Marketing Strategy, Client Acquisition</t>
  </si>
  <si>
    <t xml:space="preserve">Jackson Blackledge</t>
  </si>
  <si>
    <t xml:space="preserve">@blvckledge</t>
  </si>
  <si>
    <t xml:space="preserve">https://x.com/blvckledge/status/2021035814713762132</t>
  </si>
  <si>
    <t xml:space="preserve">Lessons from Growing My Agency to 160+ Active Clients</t>
  </si>
  <si>
    <t xml:space="preserve">during over a decade in this business game, i’ve generated over 8 figures in revenue with my agency. worked with 500+ brands. built 100k+ followers across all platforms.
we’ve got a solid system running in the agency now, but it definitely didn’t start that way.
the early days were brutal. i was working 80-hour weeks for clients who didn't respect me. undercharging by 70%. hiring the wrong peopl</t>
  </si>
  <si>
    <t xml:space="preserve">The post appears to lead to a video link but provides no visual content within the tweet itself, leaving the subject matter ambiguous without viewing the external content.</t>
  </si>
  <si>
    <t xml:space="preserve">link-only, redirect, unknown-content, external-reference, minimal-text</t>
  </si>
  <si>
    <t xml:space="preserve">https://www.linkedin.com/feed/update/urn:li:activity:7499099421587021825</t>
  </si>
  <si>
    <t xml:space="preserve">An image post pairing a mirror selfie of the author with a written reflection arguing that a saturated market is no reason to avoid starting a personal brand. The text uses analogies (musicians, salons, teachers) to claim replication creates relevance and that crowded spaces signal demand.</t>
  </si>
  <si>
    <t xml:space="preserve">linkedin, personal branding, saturation, originality, content creation, motivation, audience building, creators</t>
  </si>
  <si>
    <t xml:space="preserve">Suhasini Sampath</t>
  </si>
  <si>
    <t xml:space="preserve">@suhasini-sampath-b6ab611a</t>
  </si>
  <si>
    <t xml:space="preserve">https://www.linkedin.com/feed/update/urn:li:activity:7505869737239691264</t>
  </si>
  <si>
    <t xml:space="preserve">I raised 25 lakhs while starting Yogabar and it was a mistake. When you have no family backing - you should raise at least 4x of what the spreadsheet tells you. It enables you to get further along in the business and hel</t>
  </si>
  <si>
    <t xml:space="preserve">I raised 25 lakhs while starting Yogabar and it was a mistake. When you have no family backing - you should raise at least 4x of what the spreadsheet tells you. It enables you to get further along in the business and helps in better valuation in subsequent rounds. The first two rounds of dilution determine your cap table position on exit.
That is part of why I am helping Better Bite Ventures with</t>
  </si>
  <si>
    <t xml:space="preserve">Keep the story hook mechanic and swap in your own proof. Teach one business growth &amp; scale systems lesson for Indian B2B service founders (10-50 staff). Ship it as a LinkedIn text/carousel.</t>
  </si>
  <si>
    <t xml:space="preserve">Photo of two women in a garden with small blue and colorful 'N'-branded boxes. Caption: founder Suhasini Sampath says raising ₹25 lakhs for Yogabar was a mistake for founders without family backing, and promotes Better Bite Ventures' First Bite fund (up to ₹2.5 crore for pre-launch/just-launched Indian consumer food brands, applications closing 23 September).</t>
  </si>
  <si>
    <t xml:space="preserve">fundraising, india, consumer brands, food startup, yogabar, dilution, cap table, venture capital</t>
  </si>
  <si>
    <t xml:space="preserve">Indian founders service business scaling systems LinkedIn content marketing</t>
  </si>
  <si>
    <t xml:space="preserve">Agency Growth, Consulting / Fractional</t>
  </si>
  <si>
    <t xml:space="preserve">Jordan Lee</t>
  </si>
  <si>
    <t xml:space="preserve">@jordan-james-lee</t>
  </si>
  <si>
    <t xml:space="preserve">2026-02-02</t>
  </si>
  <si>
    <t xml:space="preserve">https://www.linkedin.com/feed/update/urn:li:activity:7424089544221966337</t>
  </si>
  <si>
    <t xml:space="preserve">We’re at the absolute beginning of the AI boom.</t>
  </si>
  <si>
    <t xml:space="preserve">We’re at the absolute beginning of the AI boom.
1.7M+ mid-market businesses in the US need AI implementation.
Companies doing $1M-$50M in revenue who know they need to automate but have no idea where to start.
They don’t need one service. They need full transformation, consulting and execution.
There are roughly 1,500 AI agencies operating nationwide. do the math.
1,133 potential clients for</t>
  </si>
  <si>
    <t xml:space="preserve">Business of Sport</t>
  </si>
  <si>
    <t xml:space="preserve">@bizofsport</t>
  </si>
  <si>
    <t xml:space="preserve">2026-03-27</t>
  </si>
  <si>
    <t xml:space="preserve">https://www.instagram.com/reel/DWYKDicNvHM/</t>
  </si>
  <si>
    <t xml:space="preserve">Comment “Pat” and we’ll send you the full conversation!</t>
  </si>
  <si>
    <t xml:space="preserve">Comment “Pat” and we’ll send you the full conversation!
@patcummins30 X @bizofsport 
#patcummins #ipl #sunrisershyderabad</t>
  </si>
  <si>
    <t xml:space="preserve">Keep the comment-gate hook mechanic and swap in your own proof. Teach one consulting / fractional lesson for Indian B2B service founders (10-50 staff). Ship it as a IG reel, then repurpose to LinkedIn.</t>
  </si>
  <si>
    <t xml:space="preserve">The video features an interview with Pat Cummins, where he discusses the differences between having an Indian captain versus an overseas captain in cricket, especially in the context of the IPL. He touches upon communication challenges due to language barriers and relying on local players and coaches for insights.</t>
  </si>
  <si>
    <t xml:space="preserve">pat cummins, cricket, ipl, sunrisers hyderabad, captain, coach, indian, overseas</t>
  </si>
  <si>
    <t xml:space="preserve">Noah Greenberg</t>
  </si>
  <si>
    <t xml:space="preserve">@noahg</t>
  </si>
  <si>
    <t xml:space="preserve">https://www.linkedin.com/feed/update/urn:li:activity:7511137849216278528</t>
  </si>
  <si>
    <t xml:space="preserve">This is lore for anyone who works in content at a brand.</t>
  </si>
  <si>
    <t xml:space="preserve">This is lore for anyone who works in content at a brand.
Zillow (and NerdWalletet, IMO) are the godfathers of the "publish objective research, get famous, and customers will come to you when they are ready to buy" playbook.</t>
  </si>
  <si>
    <t xml:space="preserve">Text post praising Zillow and NerdWallet as the pioneers of the "publish objective research, get famous, and customers will come" content playbook, framed as lore for brand content teams.</t>
  </si>
  <si>
    <t xml:space="preserve">brand content, content marketing, case study, zillow, nerdwallet, research marketing, thought leadership, brand publishing</t>
  </si>
  <si>
    <t xml:space="preserve">processthepodcast</t>
  </si>
  <si>
    <t xml:space="preserve">@processthepodcast</t>
  </si>
  <si>
    <t xml:space="preserve">https://www.instagram.com/reel/DbnGvDJJMIb/</t>
  </si>
  <si>
    <t xml:space="preserve">So then we actually flipped the handle overnight.</t>
  </si>
  <si>
    <t xml:space="preserve">The secret strategy behind Merit Beauty’s $100k launch day.
Before launching @merit , the team spen...</t>
  </si>
  <si>
    <t xml:space="preserve">Reel: Split screen (talking head + screen recording)</t>
  </si>
  <si>
    <t xml:space="preserve">Format: founder commentary over screen recorded grid</t>
  </si>
  <si>
    <t xml:space="preserve">A brand founder explains how she built an audience for her brand by launching a mood board account first and testing content before officially launching the product.</t>
  </si>
  <si>
    <t xml:space="preserve">Anu Hariharan</t>
  </si>
  <si>
    <t xml:space="preserve">@anuhariharan</t>
  </si>
  <si>
    <t xml:space="preserve">2025-11-12</t>
  </si>
  <si>
    <t xml:space="preserve">https://x.com/anuhariharan/status/1988453584099221689</t>
  </si>
  <si>
    <t xml:space="preserve">Today we celebrate Team @_groww often called the Charles Schwab or Robinhood of India — now the largest stock brokerage platform in the country, built in just 5 short years. 🇮🇳📈</t>
  </si>
  <si>
    <t xml:space="preserve">Today we celebrate Team @_groww often called the Charles Schwab or Robinhood of India — now the largest stock brokerage platform in the country, built in just 5 short years. 🇮🇳📈
Lalit, Harsh, Ishan, and Neeraj started Groww after leaving Flipkart in 2016 with one goal: make investing easy for Indians. 
They launched mutual funds in 2017. At Series B, Groww had $0.7M ARR; by Series C in 2020,</t>
  </si>
  <si>
    <t xml:space="preserve">A celebratory story about the founders of Groww, India's largest stock brokerage platform. It highlights the team's journey from launching in 2016 to becoming a market leader through focus, product simplicity, and strong execution.</t>
  </si>
  <si>
    <t xml:space="preserve">startup success, founder story, growth, india fintech, investment platform, product leadership, teamwork, market expansion</t>
  </si>
  <si>
    <t xml:space="preserve">Marketing Strategy, Client Acquisition, Outbound / Warm Outbound</t>
  </si>
  <si>
    <t xml:space="preserve">2026-05-24</t>
  </si>
  <si>
    <t xml:space="preserve">https://x.com/andreysuperior/status/2058539604391735714</t>
  </si>
  <si>
    <t xml:space="preserve">Built 7 automations with Claude. They run the business while I sleep. Full breakdown.</t>
  </si>
  <si>
    <t xml:space="preserve">A startup had a 10-person operations team. Scheduling, follow-ups, reporting, customer support, invoicing, lead qualification, data entry.
They replaced all of it with 7 automated workflows. Claude does the thinking. n8n does the connecting. The business runs while the team focuses on what actually matters.
$15,000/month in saved labor. $180,000/year. Here's every workflow.
Every business has t</t>
  </si>
  <si>
    <t xml:space="preserve">NOVXY CORE</t>
  </si>
  <si>
    <t xml:space="preserve">@novxy.hq</t>
  </si>
  <si>
    <t xml:space="preserve">https://www.instagram.com/reel/DbfyZjwvktr/</t>
  </si>
  <si>
    <t xml:space="preserve">Rajiv Talreja (born and raised in Bengaluru, Karnataka) is a defining titan of the Indian entrepreneurial ecosystem, a best-selling author, and the premier pioneer of systematic MSME (Micro, Small, and Medium Enterprises</t>
  </si>
  <si>
    <t xml:space="preserve">Rajiv Talreja (born and raised in Bengaluru, Karnataka) is a defining titan of the Indian entrepreneurial ecosystem, a best-selling author, and the premier pioneer of systematic MSME (Micro, Small, and Medium Enterprises) business coaching in India. Raised in a Sindhi business family, he entered the startup world straight out of college in 2006. His extraordinary evolution—from navigating severe e</t>
  </si>
  <si>
    <t xml:space="preserve">Keep the statement hook mechanic and swap in your own proof. Teach one business growth &amp; scale systems lesson for Indian B2B service founders (10-50 staff). Ship it as a IG reel, then repurpose to LinkedIn.</t>
  </si>
  <si>
    <t xml:space="preserve">https://x.com/paolo_scales/status/2091961906210967746</t>
  </si>
  <si>
    <t xml:space="preserve">Clay's Full LinkedIn GTM Playbook ($3.1B Valuation)</t>
  </si>
  <si>
    <t xml:space="preserve">Clay went from roughly $1M to $100M ARR in about two years.
Six million LinkedIn impressions from executive content in a single quarter. Sixty percent of revenue arriving self-serve, meaning the majority of their customers decided to buy before a salesperson ever entered the conversation.
Most founders look at that and conclude Clay hired good writers.
They did something considerably stranger.</t>
  </si>
  <si>
    <t xml:space="preserve">The post contains only a URL with no additional context or description.</t>
  </si>
  <si>
    <t xml:space="preserve">url_only, no_context</t>
  </si>
  <si>
    <t xml:space="preserve">Alex Claudovich</t>
  </si>
  <si>
    <t xml:space="preserve">@hinocode</t>
  </si>
  <si>
    <t xml:space="preserve">https://www.linkedin.com/feed/update/urn:li:activity:7388231071840038912</t>
  </si>
  <si>
    <t xml:space="preserve">R.I.P Upwork.</t>
  </si>
  <si>
    <t xml:space="preserve">R.I.P Upwork.
Freelancers use Perplexity with these 10 prompts to find jobs online easily.
(part 5)
Here is how:
1. Niche Community Pulse
“Identify 10 active online communities (Slack, Discord, Telegram, Indie Hackers, Reddit subs) where [target clients] discuss hiring and pain points. For each, list the community link, jobs channel, and sample recent gig post.”
2. RFP Portal Watch
“List 8 in</t>
  </si>
  <si>
    <t xml:space="preserve">Keep the prediction hook mechanic and swap in your own proof. Teach one freelancing &amp; international clients lesson for founders of 10-50 person boutique firms (US/UK/AU). Ship it as a LinkedIn text/carousel.</t>
  </si>
  <si>
    <t xml:space="preserve">Hades</t>
  </si>
  <si>
    <t xml:space="preserve">@0xhvdes</t>
  </si>
  <si>
    <t xml:space="preserve">https://x.com/0xHvdes/status/2094075106096009695</t>
  </si>
  <si>
    <t xml:space="preserve">The Principles of Learning Faster.</t>
  </si>
  <si>
    <t xml:space="preserve">Every day, you're learning something. From books. Conversations. Podcasts. Mistakes. Articles. Videos. The people around you.
But consuming more information doesn't necessarily mean you're learning more. Two people can spend the same 100 hours learning the same skill and walk away with completely different results.
One watches every tutorial, reads every book, and still struggles to use what the</t>
  </si>
  <si>
    <t xml:space="preserve">This post shares a link to an article discussing recent advancements and trends in Large Language Models (LLMs), likely covering topics such as model scaling, fine-tuning techniques, and emerging applications.</t>
  </si>
  <si>
    <t xml:space="preserve">llm, ai, machine learning, natural language processing, tech news, artificial intelligence, deep learning, transformer models</t>
  </si>
  <si>
    <t xml:space="preserve">2026-05-04</t>
  </si>
  <si>
    <t xml:space="preserve">https://x.com/WifiMoneyPlant/status/2051143077645988068</t>
  </si>
  <si>
    <t xml:space="preserve">A text post shares details of a bootstrapped startup achieving $30M/year revenue selling a single $500 info product with 97% margins, no sales calls and only 1 employee.</t>
  </si>
  <si>
    <t xml:space="preserve">info product, high margin, bootstrapped, entrepreneur, revenue milestone, lean startup, zero sales calls, single product</t>
  </si>
  <si>
    <t xml:space="preserve">Marketing Strategy, Consulting / Fractional, Outbound / Warm Outbound</t>
  </si>
  <si>
    <t xml:space="preserve">https://www.linkedin.com/feed/update/urn:li:activity:7437170220391264257</t>
  </si>
  <si>
    <t xml:space="preserve">Keep the contrarian hook mechanic and swap in your own proof. Teach one client acquisition lesson for founders of 10-50 person boutique firms (US/UK/AU). Ship it as a LinkedIn text/carousel.</t>
  </si>
  <si>
    <t xml:space="preserve">The image shows a "Claude" AI notification indicating "Your Skills are ready." The accompanying text describes how these AI tools can automate LinkedIn lead generation and content creation, aiming to save users hours and boost impressions and leads.</t>
  </si>
  <si>
    <t xml:space="preserve">ai tools, linkedin marketing, lead generation, productivity, efficiency, time management, automation, business growth</t>
  </si>
  <si>
    <t xml:space="preserve">Cynthia Ozumba</t>
  </si>
  <si>
    <t xml:space="preserve">@cynthiaozumba</t>
  </si>
  <si>
    <t xml:space="preserve">https://x.com/CynthiaOzumba/status/2094869216767750399</t>
  </si>
  <si>
    <t xml:space="preserve">Here is a strategy I have seen work repeatedly.</t>
  </si>
  <si>
    <t xml:space="preserve">Here is a strategy I have seen work repeatedly.
Go to Crunchbase. Search companies that received seed funding in the last six months. Go to their website. Find the founder. Send a direct pitch.
A funded startup with a small team almost always needs operational or administrative support immediately.</t>
  </si>
  <si>
    <t xml:space="preserve">The post outlines a strategy for contacting newly funded startups by searching Crunchbase for seed-funded companies, visiting their websites, identifying founders, and sending a direct pitch for operational or administrative support.</t>
  </si>
  <si>
    <t xml:space="preserve">startup, crunchbase, seed funding, founder, pitch, operational support, administrative support, business strategy</t>
  </si>
  <si>
    <t xml:space="preserve">https://x.com/levikmunneke/status/2046355512741310930</t>
  </si>
  <si>
    <t xml:space="preserve">$1M GTM playbook to generate 100+ opportunities / month</t>
  </si>
  <si>
    <t xml:space="preserve">the teams generating 100+ opportunities per month aren't writing better emails than you.
they've just nailed the three pillars that actually matter:
offer. targeting. infrastructure.
I am constantly talking about how these are the only factors that really move the needle.
But why is that? and how can you leverage your offer, targeting, and infrastructure to go-to-market successfully.
if you c</t>
  </si>
  <si>
    <t xml:space="preserve">https://www.linkedin.com/feed/update/urn:li:activity:7396226068027969537</t>
  </si>
  <si>
    <t xml:space="preserve">I made a huge mistake at Goldman Sachs.</t>
  </si>
  <si>
    <t xml:space="preserve">I made a huge mistake at Goldman Sachs.
Not getting the job—that was great.
Not leaving—that was necessary.
The mistake was this: I never documented any of it.
I worked at some of the best companies in the world.
Goldman. Accenture Strategy. Stripe during hyper-growth.
Real projects. 
Smart teams. 
Insights I was gaining every single day.
And I never shared any of it.
Not the lessons. 
Not</t>
  </si>
  <si>
    <t xml:space="preserve">A personal branding reflection narrative using a travel setting backdrop to contrast insight with everyday context.</t>
  </si>
  <si>
    <t xml:space="preserve">personal branding, career lessons, content strategy, networking, professional growth, self awareness, corporate insights, audience building</t>
  </si>
  <si>
    <t xml:space="preserve">Kelly Hubbell | Sage Haus | Motherhood | House Manager Expert</t>
  </si>
  <si>
    <t xml:space="preserve">@mysagehaus</t>
  </si>
  <si>
    <t xml:space="preserve">2026-09-06</t>
  </si>
  <si>
    <t xml:space="preserve">https://www.instagram.com/reel/Dc9onC7h9pS/</t>
  </si>
  <si>
    <t xml:space="preserve">$296 out of my pocket. In return? I get my time + sanity back. I’m less stressed. I get to be the patient + present mom, wife, friend, and CEO I’ve always wanted to be.</t>
  </si>
  <si>
    <t xml:space="preserve">$296 out of my pocket. In return? I get my time + sanity back. I’m less stressed. I get to be the patient + present mom, wife, friend, and CEO I’ve always wanted to be. 
A house manager doesn’t just help with tasks, they notice, plan, and own things start to finish so you’re not the one keeping a running list in your head all week.
It’s less coordinating, less reminding, less “I’ll just do it my</t>
  </si>
  <si>
    <t xml:space="preserve">A founder of a house-manager placement agency breaks down the cost and time savings of hiring a house manager, citing typical rates of $25–$45/hour for 10–25 hours a week and the 40–80 hours of work it takes to hire well. She invites viewers to comment READY for a free info call.</t>
  </si>
  <si>
    <t xml:space="preserve">house manager, hiring, motherhood, work life balance, delegation, small business, service business, onboarding</t>
  </si>
  <si>
    <t xml:space="preserve">Jack Blair | High Ticket Sales</t>
  </si>
  <si>
    <t xml:space="preserve">@jackblairofficial</t>
  </si>
  <si>
    <t xml:space="preserve">https://www.instagram.com/p/DZFmEMhEd97/</t>
  </si>
  <si>
    <t xml:space="preserve">The smartest people in tech keep saying the same thing. AI is going to do almost every job.</t>
  </si>
  <si>
    <t xml:space="preserve">The smartest people in tech keep saying the same thing. AI is going to do almost every job.
They are probably right, and it is already happening. Oracle cut up to 30,000 people to fund AI, and the layoffs are not slowing down.
But there is one skill that does not automate easily. A human convincing another human to trust them with a high-stakes decision. That is closing. And right now the online</t>
  </si>
  <si>
    <t xml:space="preserve">A carousel post argues that while AI will automate many jobs, high-ticket sales and closing skills remain essential, urging experienced salespeople to transition into remote closing roles. The post cites Oracle's layoffs as evidence of AI's impact on employment.</t>
  </si>
  <si>
    <t xml:space="preserve">ai, automation, sales, closing, job market, career transition, remote work, high ticket sales</t>
  </si>
  <si>
    <t xml:space="preserve">Campaign Unpacked</t>
  </si>
  <si>
    <t xml:space="preserve">@campaign.unpacked</t>
  </si>
  <si>
    <t xml:space="preserve">https://www.instagram.com/reel/DdJAnS2iDma/</t>
  </si>
  <si>
    <t xml:space="preserve">VASELINE - VASELINE ORIGINALS (Case Study) | Campaign</t>
  </si>
  <si>
    <t xml:space="preserve">VASELINE - VASELINE ORIGINALS (Case Study) | Campaign
The context: For years, Vaseline has been the hero product in countless viral beauty hacks across the internet. While this user generated content drove immense cultural relevance, it also highlighted a fundamental problem in the creator economy. The original creators, the early voices whose innovative ideas first sparked these trends, were oft</t>
  </si>
  <si>
    <t xml:space="preserve">The video presents a case study about Vaseline's approach to creator partnerships. It uses a chronological narrative with visual timelines showing product use over years, transitions between problem statements and solutions, and concludes with the launch of the Vaseline Originals program.</t>
  </si>
  <si>
    <t xml:space="preserve">case study, brand partnership, creator economy, product development, chronological storytelling, visual timeline, brand stewardship, shared ownership</t>
  </si>
  <si>
    <t xml:space="preserve">Rachel Turner</t>
  </si>
  <si>
    <t xml:space="preserve">@achieveunlimited</t>
  </si>
  <si>
    <t xml:space="preserve">2025-10-22</t>
  </si>
  <si>
    <t xml:space="preserve">https://www.linkedin.com/feed/update/urn:li:activity:7386811934878302208</t>
  </si>
  <si>
    <t xml:space="preserve">After 20+ years of coaching over 1,000 founders backed by all the major VC funds, I've boiled down my philosophy to 8 core principles:</t>
  </si>
  <si>
    <t xml:space="preserve">After 20+ years of coaching over 1,000 founders backed by all the major VC funds, I've boiled down my philosophy to 8 core principles:
1) You can't fix scale-up problems with start-up leadership
Most founders double down on what made them successful in the start-up phase. Wrong approach. The scrappy, do-everything energy that got you to product-market fit becomes toxic when you need to manage 50</t>
  </si>
  <si>
    <t xml:space="preserve">swati_in_melbourne</t>
  </si>
  <si>
    <t xml:space="preserve">@swati_in_melbourne</t>
  </si>
  <si>
    <t xml:space="preserve">https://www.instagram.com/reel/Ddin5MfRj-4/</t>
  </si>
  <si>
    <t xml:space="preserve">ऑस्ट्रेलिया के बच्चो को India से online पढ़ा कर dollar कमा सकते है?</t>
  </si>
  <si>
    <t xml:space="preserve">आपकी language skill भी बन सकती है आपकी earning opportunity! 💻💰
India में बैठकर Australia के बच्चों क...</t>
  </si>
  <si>
    <t xml:space="preserve">Reel: Talking head mixed with B-roll/stock footage overlay</t>
  </si>
  <si>
    <t xml:space="preserve">Format: The creator introduces a monetization opportunity by asking a rhetorical question, then ex</t>
  </si>
  <si>
    <t xml:space="preserve">Keep the question hook mechanic and swap in your own proof. Teach one freelancing &amp; international clients lesson for Indian B2B service founders (10-50 staff). Ship it as a IG reel, then repurpose to LinkedIn.</t>
  </si>
  <si>
    <t xml:space="preserve">A tutorial explaining how Indian tutors can earn dollars by teaching Indian languages to children of Indian origin living in Australia.</t>
  </si>
  <si>
    <t xml:space="preserve">Education &amp; Career</t>
  </si>
  <si>
    <t xml:space="preserve">Zedro</t>
  </si>
  <si>
    <t xml:space="preserve">@zedromentality</t>
  </si>
  <si>
    <t xml:space="preserve">https://www.instagram.com/reel/DYe6edOCC-l/</t>
  </si>
  <si>
    <t xml:space="preserve">Ever wondered what it would take to charge 10x or even 100x more for your product or service? Imagine a client handed you a six-figure check—what value would you deliver to make that price feel like a steal?</t>
  </si>
  <si>
    <t xml:space="preserve">Ever wondered what it would take to charge 10x or even 100x more for your product or service? Imagine a client handed you a six-figure check—what value would you deliver to make that price feel like a steal? 
It’s easy to assume high prices require massive overhead, but more often than not, the premium experience comes down to creative problem-solving rather than expensive logistics. By stripping</t>
  </si>
  <si>
    <t xml:space="preserve">Keep the story hook mechanic and swap in your own proof. Teach one high-ticket sales lesson for founders of 10-50 person boutique firms (US/UK/AU). Ship it as a IG reel, then repurpose to LinkedIn.</t>
  </si>
  <si>
    <t xml:space="preserve">BeingAmarachi @ Solvyn</t>
  </si>
  <si>
    <t xml:space="preserve">@iwuezeamarachi</t>
  </si>
  <si>
    <t xml:space="preserve">2026-02-03</t>
  </si>
  <si>
    <t xml:space="preserve">https://x.com/IwuezeAmarachi/status/2018653428776419719</t>
  </si>
  <si>
    <t xml:space="preserve">Dear designer, there's enough work for you too.</t>
  </si>
  <si>
    <t xml:space="preserve">Dear designer, there's enough work for you too.
You're not in competition with me, nor I am with you.
There are 100K+ design agencies, startups and companies around the globe, the design market is massive.
Your success doesn't take away from mine, and mine doesn't limit yours.
Focus on getting better instead of stressing about what your "competitors" are doing.
There are plenty of clients out</t>
  </si>
  <si>
    <t xml:space="preserve">Calls out the exact audience in line 1</t>
  </si>
  <si>
    <t xml:space="preserve">Keep the audience callout hook mechanic and swap in your own proof. Teach one client acquisition lesson for founders of 10-50 person boutique firms (US/UK/AU). Ship it as a LinkedIn text/carousel.</t>
  </si>
  <si>
    <t xml:space="preserve">A supportive message for designers emphasizing collaboration over competition, noting the vast global market opportunities and encouraging focus on personal growth and client acquisition.</t>
  </si>
  <si>
    <t xml:space="preserve">design community, encouragement, growth mindset, supportive message, global opportunities, client acquisition, self-improvement, no competition</t>
  </si>
  <si>
    <t xml:space="preserve">goabhiii</t>
  </si>
  <si>
    <t xml:space="preserve">@goabhiii</t>
  </si>
  <si>
    <t xml:space="preserve">https://www.instagram.com/reel/DbYt14LMoeA/</t>
  </si>
  <si>
    <t xml:space="preserve">Unlimited Clients website 😎</t>
  </si>
  <si>
    <t xml:space="preserve">Freelancers, finding clients just got easier. 🚀
Get access to verified client leads, connect with p...</t>
  </si>
  <si>
    <t xml:space="preserve">Reel: Talking head intro followed by screen recording tutorial.</t>
  </si>
  <si>
    <t xml:space="preserve">Format: A creator pitches a tool to solve a specific pain point in an intro, then executes a scree</t>
  </si>
  <si>
    <t xml:space="preserve">A creator demonstrates a lead generation platform called Znole Technology designed to help freelancers like video editors and graphic designers find clients.</t>
  </si>
  <si>
    <t xml:space="preserve">Freelancing &amp; Productivity</t>
  </si>
  <si>
    <t xml:space="preserve">Marketing Strategy, Agency Growth, Business Growth &amp; Scale Systems</t>
  </si>
  <si>
    <t xml:space="preserve">2026-09-29</t>
  </si>
  <si>
    <t xml:space="preserve">https://www.linkedin.com/feed/update/urn:li:activity:7510670104469278721</t>
  </si>
  <si>
    <t xml:space="preserve">If you're an independent advisor or consultant, don't compete against the large consultancies.</t>
  </si>
  <si>
    <t xml:space="preserve">If you're an independent advisor or consultant, don't compete against the large consultancies.
Lean into what you can do better, faster, cheaper.
This is what I suggest to my clients:👇
1. 𝗙𝗶𝗻𝗱 𝘁𝗵𝗲 𝘄𝗵𝗶𝘁𝗲 𝘀𝗽𝗮𝗰𝗲. 
The clients the big firms won't touch: Too small, too niche, not enough runway of opportunity for them.
Where the risk is too big for one person to absorb, it usually</t>
  </si>
  <si>
    <t xml:space="preserve">Keep the audience callout hook mechanic and swap in your own proof. Teach one consulting / fractional lesson for founders of 10-50 person boutique firms (US/UK/AU). Ship it as a LinkedIn text/carousel.</t>
  </si>
  <si>
    <t xml:space="preserve">Meme image showing three identical half-filled glasses: labeled "Optimist — Half full," "Pessimist — Half empty," and "McKinsey &amp; Company" with the caption "This is 99.9% water but let's do a $50M diagnostic to be sure." The caption text advises independent advisors and consultants on positioning against large firms.</t>
  </si>
  <si>
    <t xml:space="preserve">consulting, mckinsey, meme, glass half full, independent consultant, positioning, differentiation, linkedin</t>
  </si>
  <si>
    <t xml:space="preserve">Victor Okafor</t>
  </si>
  <si>
    <t xml:space="preserve">@thevictorokafor</t>
  </si>
  <si>
    <t xml:space="preserve">https://x.com/TheVictorOkafor/status/2079952564271899091</t>
  </si>
  <si>
    <t xml:space="preserve">“Don’t bring up money when you’re working with billionaires.”</t>
  </si>
  <si>
    <t xml:space="preserve">“Don’t bring up money when you’re working with billionaires.” 
As someone who has worked with a few DIRECTLY, the very first thing you should do is bring up that money and get paid. 
Don’t ask for handouts but if you’re working for them in anyway, CHARGE THEM LIKE CRAZY. 
Don’t fool yourself.</t>
  </si>
  <si>
    <t xml:space="preserve">Keep the objection hook mechanic and swap in your own proof. Teach one consulting / fractional lesson for founders of 10-50 person boutique firms (US/UK/AU). Ship it as a LinkedIn text/carousel.</t>
  </si>
  <si>
    <t xml:space="preserve">The post discusses pricing strategies for consultants working with high-net-worth clients, advocating for aggressive charging.</t>
  </si>
  <si>
    <t xml:space="preserve">consulting, pricing strategy, billionaire clients, charging, business advice, payment, professional services, fee structure</t>
  </si>
  <si>
    <t xml:space="preserve">2025-11-03</t>
  </si>
  <si>
    <t xml:space="preserve">https://www.linkedin.com/feed/update/urn:li:activity:7391096862537314305</t>
  </si>
  <si>
    <t xml:space="preserve">It’s perfectly legal to…</t>
  </si>
  <si>
    <t xml:space="preserve">It’s perfectly legal to…
“Hire” an A.I Agent for $99/mo
Find boomer businesses
Install the A.I Agent for them
Charge $2,000 as a set-up fee
Charge $1,000/mo as a retainer
This strategy made me over $100k last month. Here’s how it works…
1) “Hire” an A.I Agent
Inside AI Acquisition you can find A.I Agents for:
Customer support
Personal assistants
Content creation
Running ads
Outbound sales
Bu</t>
  </si>
  <si>
    <t xml:space="preserve">Matt Paulson</t>
  </si>
  <si>
    <t xml:space="preserve">@mediaking</t>
  </si>
  <si>
    <t xml:space="preserve">https://x.com/MediaKing/status/2097384485520024026</t>
  </si>
  <si>
    <t xml:space="preserve">Founders love the idea of hiring one magical person who takes all the chaos off their plate. A COO, an integrator, a rockstar operator.</t>
  </si>
  <si>
    <t xml:space="preserve">Founders love the idea of hiring one magical person who takes all the chaos off their plate. A COO, an integrator, a rockstar operator.
It rarely works. You're trying to hire one person to do the job of five.
Past $2M, you need five leaders, each owning one lane:
Head of Marketing: traffic, leads, CAC
Head of Sales: conversion, close rate, revenue
Head of Fulfillment: retention, delivery, margi</t>
  </si>
  <si>
    <t xml:space="preserve">Founders often seek a single magical person to handle all chaos, like a COO, but this rarely works. Beyond $2M, businesses need five specialized leaders: Head of Marketing, Sales, Fulfillment, Finance, and an Executive Assistant. The advice is to hire for one function at a time, starting with the biggest bottleneck.</t>
  </si>
  <si>
    <t xml:space="preserve">founders, hiring, coo, integrator, team building, business growth, leadership, specialized roles</t>
  </si>
  <si>
    <t xml:space="preserve">https://www.instagram.com/reel/Dc8rALrxP22/</t>
  </si>
  <si>
    <t xml:space="preserve">Watch me build a founder's LinkedIn content strategy live. This is the exact process we use to build presences for over 50 founders on LinkedIn.</t>
  </si>
  <si>
    <t xml:space="preserve">Watch me build a founder's LinkedIn content strategy live. This is the exact process we use to build presences for over 50 founders on LinkedIn. 
#founder #b2bsaas #chatgpt #aiagents #yc</t>
  </si>
  <si>
    <t xml:space="preserve">The video demonstrates a step-by-step method for creating a LinkedIn content strategy for startup founders. It covers identifying target audiences, structuring a content funnel, and distribution tactics.</t>
  </si>
  <si>
    <t xml:space="preserve">linkedin, content strategy, founder, b2bsaas, ai, content funnel, audience building, distribution</t>
  </si>
  <si>
    <t xml:space="preserve">Content Marketing &amp; Systems, Agency Growth, Marketing Strategy</t>
  </si>
  <si>
    <t xml:space="preserve">Arthur Nurgaliyev</t>
  </si>
  <si>
    <t xml:space="preserve">@arthur-designs</t>
  </si>
  <si>
    <t xml:space="preserve">2026-06-23</t>
  </si>
  <si>
    <t xml:space="preserve">https://www.linkedin.com/feed/update/urn:li:activity:7475212160911101952</t>
  </si>
  <si>
    <t xml:space="preserve">I was desperate.</t>
  </si>
  <si>
    <t xml:space="preserve">I was desperate.
- $350 websites
- animations everywhere
- 100 A/B tests
- posting with fingers crossed
I was targeting small agencies.
Their $500 budget “should have been deserved”.
But the game changed.
In 2026 our average ticket is $8,200.
Not because of “high-converting” labels.
But because of design clarity.
85% of our clients come for:
- image
- trust
- experience
We still optimize.</t>
  </si>
  <si>
    <t xml:space="preserve">The image shows a man next to a sleek BMW car at night, highlighting design through visual contrast and minimal setting elements as a metaphor for minimalist design success</t>
  </si>
  <si>
    <t xml:space="preserve">minimalism, design clarity, user experience, brand trust, design evolution, client acquisition, web design, ab testing</t>
  </si>
  <si>
    <t xml:space="preserve">Ignacio P.</t>
  </si>
  <si>
    <t xml:space="preserve">@ignacioprietom</t>
  </si>
  <si>
    <t xml:space="preserve">2026-04-17</t>
  </si>
  <si>
    <t xml:space="preserve">https://www.linkedin.com/feed/update/urn:li:activity:7450797252274585600</t>
  </si>
  <si>
    <t xml:space="preserve">CLAUDE just sourced 42 new LP leads. Every single day.</t>
  </si>
  <si>
    <t xml:space="preserve">CLAUDE just sourced 42 new LP leads. Every single day.
Not per month. Not per campaign.
Daily.
This is what AI powered outreach looks like for VCs and fund managers who are serious about closing their fund.
Most fund managers are still doing this manually.
A LinkedIn search here. A conference badge scan there. A warm intro that takes 3 months and still goes nowhere.
Meanwhile the funds closi</t>
  </si>
  <si>
    <t xml:space="preserve">2026-04-14</t>
  </si>
  <si>
    <t xml:space="preserve">https://www.linkedin.com/feed/update/urn:li:activity:7449772931653701634</t>
  </si>
  <si>
    <t xml:space="preserve">Cole Schafer</t>
  </si>
  <si>
    <t xml:space="preserve">@cole-schafer</t>
  </si>
  <si>
    <t xml:space="preserve">https://www.linkedin.com/feed/update/urn:li:activity:7455289380643954689</t>
  </si>
  <si>
    <t xml:space="preserve">Steve Jobs was a copywriter at heart (and a ruthless one at that).</t>
  </si>
  <si>
    <t xml:space="preserve">Steve Jobs was a copywriter at heart (and a ruthless one at that). 
Every Wednesday, he had a standing meeting. 
It was with the top brass at Apple and their agency partners. It was relentless. It lasted three hours. It focused entirely on the brand's marketing (specifically their copy and messaging). 
Jobs would write and rewrite lines until everyone in the room was red in the face. Those who</t>
  </si>
  <si>
    <t xml:space="preserve">The image displays an email from Steve Jobs to Adobe CEO Bruce Chizen dated May 2005, addressing Adobe’s recruitment practices from Apple. The message is concise and formal, stating Apple’s policy against recruiting from Adobe and the need for one company to change.</t>
  </si>
  <si>
    <t xml:space="preserve">steve jobs, email, copywriting, leadership, communication, brand messaging,  CEOs correspondence, corporate policy</t>
  </si>
  <si>
    <t xml:space="preserve">2026-06-03</t>
  </si>
  <si>
    <t xml:space="preserve">https://www.linkedin.com/feed/update/urn:li:activity:7467904169933324291</t>
  </si>
  <si>
    <t xml:space="preserve">Calls out the exact audience in line 1; High comment-to-like ratio: debate driver</t>
  </si>
  <si>
    <t xml:space="preserve">A visual comparison shows three glasses half-filled with water labeled “Optimist”, “Pessimist”, and the McKinsey &amp; Company logo captioned “This is 99.9% water but let’s do a $50M diagnostic to be sure.” This satirical image contrasts strategic positioning claims against tangible value in consulting work.</t>
  </si>
  <si>
    <t xml:space="preserve">consulting, positioning, strategy, differentiation, value proposition, independent consultants, McKinsey satire, small business advice</t>
  </si>
  <si>
    <t xml:space="preserve">Content Marketing &amp; Systems, Client Acquisition, Agency Growth</t>
  </si>
  <si>
    <t xml:space="preserve">https://www.linkedin.com/feed/update/urn:li:activity:7446893248779927552</t>
  </si>
  <si>
    <t xml:space="preserve">The image displays a guide on how to audit a LinkedIn profile using an AI tool, Claude. It highlights sections of a LinkedIn profile with prompts for improvement, offering tips on optimizing for inbound leads and showcasing one's expertise.</t>
  </si>
  <si>
    <t xml:space="preserve">linkedin, ai tool, profile audit, social media marketing, personal branding, career development, networking, business growth</t>
  </si>
  <si>
    <t xml:space="preserve">Joyce G.</t>
  </si>
  <si>
    <t xml:space="preserve">@joycegoncalvesms</t>
  </si>
  <si>
    <t xml:space="preserve">2026-06-15</t>
  </si>
  <si>
    <t xml:space="preserve">https://www.linkedin.com/feed/update/urn:li:activity:7472340499320827904</t>
  </si>
  <si>
    <t xml:space="preserve">I built a Claude GTM skills team.</t>
  </si>
  <si>
    <t xml:space="preserve">I built a Claude GTM skills team.
215 skills. Every one written out in full. Free.
Claude isn't a better chatbot. It's a different class of model:
It reads your campaigns, transcripts, and signal data from live connected tools
It produces a full week of GTM work in one session
It verifies its own output before delivering it
Which means GTM skills that weren't possible last week:
🛠️ Operatio</t>
  </si>
  <si>
    <t xml:space="preserve">A promotional graphic showcasing a comprehensive library of 215 GTM (Go-To-Market) skills for engineers and SDR roles, emphasizing AI-driven capabilities for operations, intelligence, outreach, and business functions.</t>
  </si>
  <si>
    <t xml:space="preserve">gtm skills, ai tools, claude, sales development, skills library, marketing automation, ai-generated content, business operations</t>
  </si>
  <si>
    <t xml:space="preserve">Digital Shahbaz | Marketing Engineer</t>
  </si>
  <si>
    <t xml:space="preserve">@askdigitalshahbaz</t>
  </si>
  <si>
    <t xml:space="preserve">2026-08-16</t>
  </si>
  <si>
    <t xml:space="preserve">https://www.instagram.com/reel/DcG4JWWN7nd/</t>
  </si>
  <si>
    <t xml:space="preserve">Running Meta Ads is changing fast. 🚀</t>
  </si>
  <si>
    <t xml:space="preserve">Running Meta Ads is changing fast. 🚀
You can now use AI + one powerful prompt to simplify your ad creation, campaign planning, targeting, copy, and optimization.
No more spending hours figuring out every step manually.
The right prompt can help you turn your idea into a complete Meta Ads workflow — faster and smarter.
If you’re a marketer, business owner, freelancer, or agency owner, this is</t>
  </si>
  <si>
    <t xml:space="preserve">casahirbhasin</t>
  </si>
  <si>
    <t xml:space="preserve">@casahirbhasin</t>
  </si>
  <si>
    <t xml:space="preserve">https://www.instagram.com/reel/DcJTeGCvjdA/</t>
  </si>
  <si>
    <t xml:space="preserve">70 Crore, No GST, No Income Tax</t>
  </si>
  <si>
    <t xml:space="preserve">70 crore ka business. No GST. No income tax.
Aur sabse interesting baat?
Yeh story dikhati hai ki ka...</t>
  </si>
  <si>
    <t xml:space="preserve">Proof-first opening; Format: talking head with key takeaway captions</t>
  </si>
  <si>
    <t xml:space="preserve">A talking-head creator explains how a specific entrepreneur built a 70-crore business with no GST and income tax, framed as a case study.</t>
  </si>
  <si>
    <t xml:space="preserve">https://www.linkedin.com/feed/update/urn:li:activity:7485808173090750464</t>
  </si>
  <si>
    <t xml:space="preserve">BREAKING: The Marketer's Claude Playbook is here</t>
  </si>
  <si>
    <t xml:space="preserve">BREAKING: The Marketer's Claude Playbook is here
We packaged 6 Marketing Skill Sets for the modern B2B marketing team, built to research, report, produce, and outreach in Claude: across competitive intelligence, performance, content, outreach, and agents.
Each one produces a real deliverable: a competitive brief, a performance report, a carousel, a personalised sequence: using the actual tool an</t>
  </si>
  <si>
    <t xml:space="preserve">News / Newsjack</t>
  </si>
  <si>
    <t xml:space="preserve">Keep the news hook mechanic and swap in your own proof. Teach one outbound / warm outbound lesson for founders of 10-50 person boutique firms (US/UK/AU). Ship it as a LinkedIn text/carousel.</t>
  </si>
  <si>
    <t xml:space="preserve">@finnmallery</t>
  </si>
  <si>
    <t xml:space="preserve">2026-04-21</t>
  </si>
  <si>
    <t xml:space="preserve">https://www.linkedin.com/feed/update/urn:li:activity:7452393142810611712</t>
  </si>
  <si>
    <t xml:space="preserve">Today, we’re proud to launch Origami, the first AI that finds you new customers automatically.</t>
  </si>
  <si>
    <t xml:space="preserve">Today, we’re proud to launch Origami, the first AI that finds you new customers automatically.
Backed by Y Combinator, we spent the past year working with hundreds of the top sales teams, and built a solution (that actually WORKS) to automate lead generation for EVERYONE.
Before this, I spent years running a cold outbound / GTM agency -  helping 250+ companies book more qualified meetings.
But</t>
  </si>
  <si>
    <t xml:space="preserve">Keep the news hook mechanic and swap in your own proof. Teach one client acquisition lesson for founders of 10-50 person boutique firms (US/UK/AU). Ship it as a LinkedIn text/carousel.</t>
  </si>
  <si>
    <t xml:space="preserve">https://x.com/leonabboud/status/2008556160962752656</t>
  </si>
  <si>
    <t xml:space="preserve">I made $3m with 20k followers (and how you can too)</t>
  </si>
  <si>
    <t xml:space="preserve">This picture shows you the audited and stamped corporate tax report for my company Unfungible.
The amounts are in AED. Converted to USD, the 2024 revenue equals over $1.3 million.
In 2025, Unfungible made over $1.75 million in revenue. Which brings total company revenue to over $3 million since Unfungible started.
I share this because too many people larp on the internet talk about success usin</t>
  </si>
  <si>
    <t xml:space="preserve">Content Marketing &amp; Systems, High-Ticket Sales, Business Growth &amp; Scale Systems</t>
  </si>
  <si>
    <t xml:space="preserve">2025-12-17</t>
  </si>
  <si>
    <t xml:space="preserve">https://www.linkedin.com/feed/update/urn:li:activity:7406898483078586368</t>
  </si>
  <si>
    <t xml:space="preserve">A promotional graphic showcasing a comprehensive set of event planning templates, frameworks, and checklists. Includes tactics, strategies, and templates aimed at event professionals seeking to optimize their planning processes.</t>
  </si>
  <si>
    <t xml:space="preserve">event planning, strategic frameworks, marketing tactics, event roi, checklist templates, trade show booth, attendee persona, event sponsorship</t>
  </si>
  <si>
    <t xml:space="preserve">https://www.linkedin.com/feed/update/urn:li:activity:7395815562926374912</t>
  </si>
  <si>
    <t xml:space="preserve">I used to feel embarrassed telling MBA friends and ex banking colleagues that I work in marketing now.</t>
  </si>
  <si>
    <t xml:space="preserve">I used to feel embarrassed telling MBA friends and ex banking colleagues that I work in marketing now. 
Felt like I'd wasted my Wharton degree. Like I'd taken the "easy" path while my classmates were crushing it at Goldman or PE. Like I should be in a more "strategic" role like Product Manager or Strategy. 
At B2B tech startups, marketing feels like a second-class citizen at times. We don't ship</t>
  </si>
  <si>
    <t xml:space="preserve">Hannah Zhang reflects on feeling embarrassed about her marketing career after an MBA while her peers pursue high-paying finance roles, but finds purpose in building her own venture and mastering customer acquisition from scratch.</t>
  </si>
  <si>
    <t xml:space="preserve">marketing career, mba journey, career transition, self employed, customer acquisition, entrepreneurial mindset, career fulfillment, building own business</t>
  </si>
  <si>
    <t xml:space="preserve">2026-05-09</t>
  </si>
  <si>
    <t xml:space="preserve">https://www.linkedin.com/feed/update/urn:li:activity:7458835851985268736</t>
  </si>
  <si>
    <t xml:space="preserve">I went to bed. Claude sent 62 messages, got 14 replies, and booked 4 meetings before I woke up.</t>
  </si>
  <si>
    <t xml:space="preserve">I went to bed. Claude sent 62 messages, got 14 replies, and booked 4 meetings before I woke up.
Here's what I gave it before I slept:
&gt; 18 prospect names
&gt; 4 lines on what I do
&gt; 2 sentences on what I want
Here's what it did overnight:
&gt; Researched each prospect to a real signal
&gt; Wrote 18 unique openers based on what each person posted last week
&gt; Queued them 30 seconds apart so t</t>
  </si>
  <si>
    <t xml:space="preserve">A promotional post showcasing a productivity system using AI to autonomously generate and manage sales outreach messages. The visual shows a silver laptop displaying the product name alongside a coffee cup, establishing a work-from-home context.</t>
  </si>
  <si>
    <t xml:space="preserve">ai automation, sales outreach, productivity tool, claude ai, linkedin prospecting, lead generation, workflow automation, dm sequences</t>
  </si>
  <si>
    <t xml:space="preserve">2026-03-13</t>
  </si>
  <si>
    <t xml:space="preserve">https://www.linkedin.com/feed/update/urn:li:activity:7438256242487332864</t>
  </si>
  <si>
    <t xml:space="preserve">I turned Claude into a full GTM engineer with 1300+ prompts built from the ground up.</t>
  </si>
  <si>
    <t xml:space="preserve">I turned Claude into a full GTM engineer with 1300+ prompts built from the ground up.
Not a chatbot. Not a generic AI assistant.
An actual SaaS GTM system trained on:
•Every function a revenue team runs daily
•The exact workflows senior GTM engineers actually use
•Prompts built for practitioners not beginners
•Eight modules covering the full GTM stack
Here's what it does inside a SaaS GTM motio</t>
  </si>
  <si>
    <t xml:space="preserve">This promotional image advertises a 'Claude Prompt Library' with over 1300 prompts aimed at helping users implement a full SaaS go-to-market (GTM) system. The image highlights features such a positioning, messaging, cold outreach, and retention strategies for revenue teams, marketed as thinking like a senior GTM engineer.</t>
  </si>
  <si>
    <t xml:space="preserve">saas, gtm, prompt library, claude, revenue, lead generation, onboarding, marketing</t>
  </si>
  <si>
    <t xml:space="preserve">Agency Growth, Business Growth &amp; Scale Systems, Freelancing &amp; International Clients</t>
  </si>
  <si>
    <t xml:space="preserve">Corey Ganim</t>
  </si>
  <si>
    <t xml:space="preserve">@coreyganim</t>
  </si>
  <si>
    <t xml:space="preserve">2026-02-14</t>
  </si>
  <si>
    <t xml:space="preserve">https://x.com/coreyganim/status/2022689786339774481</t>
  </si>
  <si>
    <t xml:space="preserve">10 AI Agents You Can Sell for $2,000-$5,000 Per Month (full guide)</t>
  </si>
  <si>
    <t xml:space="preserve">The AI agent market is projected to hit $11.78 billion by end of 2026.
You can build and sell niche AI agents for $2K-$5K/month right now.
Stop building generic chatbots.
Instead, pick an industry vertical, solve a specific pain point, charge premium $2-5k/month (or more).
Here are 10 proven niches and the exact agent builds businesses are paying top dollar for right now.
If you want an Agent</t>
  </si>
  <si>
    <t xml:space="preserve">A tweet by Corey Ganim promotes an article about strategies for optimizing short-form video posting schedules to improve engagement and reach.</t>
  </si>
  <si>
    <t xml:space="preserve">shorts, reels, posting, engagement, schedule, strategy, video, content</t>
  </si>
  <si>
    <t xml:space="preserve">content system that generates inbound leads for B2B founders; referrals plateau service business founder stuck at revenue ceiling; premium pricing offer positioning charge more consulting retainer; sales system CRM follow-up process for service business owners</t>
  </si>
  <si>
    <t xml:space="preserve">https://x.com/itsalexvacca/status/2048486401105358933</t>
  </si>
  <si>
    <t xml:space="preserve">How to Build a One-Person Services-as-Software Company</t>
  </si>
  <si>
    <t xml:space="preserve">One person can now run an AI services business that generates the revenue a 30-person agency used to need. That sentence wasn't true in 2022. It became true sometime around mid-2024, and the gap is widening every quarter as the cost of running AI delivery infrastructure keeps falling.
I left an $80K job at Sam Altman's company in 2023 to bet on exactly this shift. Two years later we crossed $6.47</t>
  </si>
  <si>
    <t xml:space="preserve">The post directs users to an external link but provides no contextual content, making it an uninformative reference without any visual or textual body content.</t>
  </si>
  <si>
    <t xml:space="preserve">linkonly, externalreference, noforwardcontent, uncontextualized</t>
  </si>
  <si>
    <t xml:space="preserve">Evan Lee</t>
  </si>
  <si>
    <t xml:space="preserve">@evanlee14</t>
  </si>
  <si>
    <t xml:space="preserve">2026-07-23</t>
  </si>
  <si>
    <t xml:space="preserve">https://www.linkedin.com/feed/update/urn:li:activity:7486039850291208192</t>
  </si>
  <si>
    <t xml:space="preserve">"Someone"</t>
  </si>
  <si>
    <t xml:space="preserve">"Someone"
👀 
P.S. We're hiring SDRs at Motion (Creative Analytics)!
You'd be working directly with yours truly and Rainier, Motion's top performing Mid Market AE in 2025 (2x quota), now tasked with building Motion's outbound function from zero.
Motion's GTM has historically been pure inbound (and we rock at it). Now we're building the outbound engine the best orgs run. 
Quick intro to Moti</t>
  </si>
  <si>
    <t xml:space="preserve">Keep the objection hook mechanic and swap in your own proof. Teach one outbound / warm outbound lesson for founders of 10-50 person boutique firms (US/UK/AU). Ship it as a LinkedIn text/carousel.</t>
  </si>
  <si>
    <t xml:space="preserve">dylansmith.io</t>
  </si>
  <si>
    <t xml:space="preserve">https://www.instagram.com/reel/Dbn4LzlRYgo/</t>
  </si>
  <si>
    <t xml:space="preserve">Slightly unethical closing method</t>
  </si>
  <si>
    <t xml:space="preserve">Maybe don’t try this at home 
#sales #coldcalling #salestips #salescoaching</t>
  </si>
  <si>
    <t xml:space="preserve">Entertainment</t>
  </si>
  <si>
    <t xml:space="preserve">Format: staged dialogue performance</t>
  </si>
  <si>
    <t xml:space="preserve">A person demonstrates an aggressive and highly unethical sales closing tactic on a phone call.</t>
  </si>
  <si>
    <t xml:space="preserve">2026-05-19</t>
  </si>
  <si>
    <t xml:space="preserve">https://www.instagram.com/reel/DYg_tflu09q/</t>
  </si>
  <si>
    <t xml:space="preserve">Comment “RETAIN”, and I’ll send you the exact client retention system we use.</t>
  </si>
  <si>
    <t xml:space="preserve">Comment “RETAIN”, and I’ll send you the exact client retention system we use.
Here are the 8 moves that kept my churn under 10% while scaling to $20K MRR:
Move 1: Outcomes Over Outputs (The Shift)
Stopped selling “30 videos/month.” Started selling “1M+ views + 20 qualified leads/month.” Clients buy results, not hours.
Move 2: Bi-Weekly Strategy Calls
Not just delivery updates. Actual strategy</t>
  </si>
  <si>
    <t xml:space="preserve">Mark Satterfield</t>
  </si>
  <si>
    <t xml:space="preserve">@gentlerainman</t>
  </si>
  <si>
    <t xml:space="preserve">2026-03-19</t>
  </si>
  <si>
    <t xml:space="preserve">https://www.instagram.com/reel/DWEsYaiDrsm/</t>
  </si>
  <si>
    <t xml:space="preserve">I’m going to tell you the easiest way to get more wealthy clients…</t>
  </si>
  <si>
    <t xml:space="preserve">I’m going to tell you the easiest way to get more wealthy clients…
But before I do, stick with me.
Because you’ve heard this before…
and it didn’t work but now it will
Here it is:
“Be more specific.”
Yeah… I know.
Sounds basic.
But here’s what almost nobody does with it:
They describe what they do…
instead of defining when they’re needed.
Affluent clients don’t sit around thinking,
“Who’s the</t>
  </si>
  <si>
    <t xml:space="preserve">Curiosity gap / insider framing; High comment-to-like ratio: debate driver</t>
  </si>
  <si>
    <t xml:space="preserve">The video presents a consulting strategy for repositioning professional services to attract affluent clients by focusing on specific trigger moments rather than general service descriptions.</t>
  </si>
  <si>
    <t xml:space="preserve">client acquisition, wealthy clients, consulting positioning, trigger moments, repositioning, professional services, specificity, affluent clients</t>
  </si>
  <si>
    <t xml:space="preserve">Charles Rhodes</t>
  </si>
  <si>
    <t xml:space="preserve">https://www.instagram.com/reel/DXyeKQSxbr5/</t>
  </si>
  <si>
    <t xml:space="preserve">If you’re good at speaking to people and aren’t afraid of working hard I’m going to break down how you can start making money in remote high ticket sales in 4 steps:</t>
  </si>
  <si>
    <t xml:space="preserve">If you’re good at speaking to people and aren’t afraid of working hard I’m going to break down how you can start making money in remote high ticket sales in 4 steps:
Step 1: Learn how to close, properly -  how to navigate objections, how to guide someone to a decision without fake pressure and being an authority presence on calls.
Step 2: Put yourself in the right rooms. If you don’t have an exi</t>
  </si>
  <si>
    <t xml:space="preserve">High-Ticket Sales, Marketing Strategy</t>
  </si>
  <si>
    <t xml:space="preserve">2026-09-25</t>
  </si>
  <si>
    <t xml:space="preserve">https://www.linkedin.com/feed/update/urn:li:activity:7509208477894975488</t>
  </si>
  <si>
    <t xml:space="preserve">You’re too scared of hearing ‘no’.</t>
  </si>
  <si>
    <t xml:space="preserve">You’re too scared of hearing ‘no’.
And it’s f***ing with your dreams.
You don't send the message.
You don't follow up.
You don't ask for the sale.
Because every time you put yourself out there, you risk getting rejected.
I get it.
Rejection still makes me uncomfortable.
But over 10+ years working in sales, I've learnt that every no gives you data.
→ Wrong person.
→ Wrong timing.
→ Wrong m</t>
  </si>
  <si>
    <t xml:space="preserve">An image of an open book page with a pencil illustration of a sad figure at a laptop and a floating envelope marked with an "X". Overlaid text explains that if you knew you were 100 rejections away from your dream, you would be excited each time someone said no.</t>
  </si>
  <si>
    <t xml:space="preserve">sales, rejection, cold outreach, mindset, follow up, closing, sales motivation, entrepreneurship</t>
  </si>
  <si>
    <t xml:space="preserve">2026-03-25</t>
  </si>
  <si>
    <t xml:space="preserve">https://www.linkedin.com/feed/update/urn:li:activity:7442555894313172993</t>
  </si>
  <si>
    <t xml:space="preserve">40s and 50s are the new 20s.</t>
  </si>
  <si>
    <t xml:space="preserve">40s and 50s are the new 20s. 
Except now you're more experienced with less to prove.
If you're a current or ex-corporate female leader who is busy building their advisory, coaching or consulting business, then come join the webinar for women 𝘁𝗼𝗱𝗮𝘆 𝗮𝘁 𝟯𝗽𝗺 𝗨𝗞 𝘁𝗶𝗺𝗲.
"𝗘𝘅𝗰𝗲𝗲𝗱 𝘆𝗼𝘂𝗿 𝘀𝗮𝗹𝗮𝗿𝘆 𝘄𝗶𝘁𝗵 𝗮 𝗰𝗼𝗻𝘀𝘂𝗹𝘁𝗶𝗻𝗴 𝗼𝗿 𝗰𝗼𝗮𝗰𝗵𝗶𝗻𝗴 𝗯𝘂𝘀𝗶𝗻𝗲𝘀𝘀."
𝗟𝗶𝗻</t>
  </si>
  <si>
    <t xml:space="preserve">A close-up portrait of a stylish middle-aged woman is shown with inset self-portrait and quote: 'I had my 1st child at 40. My 2nd at 45. I starred in a Bond movie at 50. And I wouldn’t want to be 20 again for anything.' -Monica Bellucci</t>
  </si>
  <si>
    <t xml:space="preserve">corporate to consulting, women leadership, business building, webinar, consulting advice, experience based mentorship, ai business tools, client generation</t>
  </si>
  <si>
    <t xml:space="preserve">Client Acquisition, Business Growth &amp; Scale Systems, Consulting / Fractional</t>
  </si>
  <si>
    <t xml:space="preserve">Betsy Tong</t>
  </si>
  <si>
    <t xml:space="preserve">@betsytong</t>
  </si>
  <si>
    <t xml:space="preserve">https://www.linkedin.com/feed/update/urn:li:activity:7448340675936550913</t>
  </si>
  <si>
    <t xml:space="preserve">Every CEO is talking about AI.</t>
  </si>
  <si>
    <t xml:space="preserve">Every CEO is talking about AI.
I surveyed 703 about AI at work.
The scary part?
Most executives deciding what to automate and who to cut? 
They don't use AI for their own work.
And they'll never admit it.
In big companies, the AI strategy starts like this:
Inside the room:
↳ CEO: read about AI in the airport lounge.
↳ Board Member: loves the Wall Street hype.
↳ CIO: sees this as a chance to be</t>
  </si>
  <si>
    <t xml:space="preserve">A graphic illustrates inner corporate AI decision-making with a CEO, board member, CIO, consultant and vendor inside a conference room, while a director of operations and customer success lead watch from outside. The analysis criticizes enterprise AI failures that result from executive hype over actual operational knowledge.</t>
  </si>
  <si>
    <t xml:space="preserve">ai strategy, enterprise ai, corporate decision-making, ai adoption, ai implementation, operational knowledge, executive oversight, ai failures</t>
  </si>
  <si>
    <t xml:space="preserve">Dan Goldstein | Fractional CMO</t>
  </si>
  <si>
    <t xml:space="preserve">@daniellgoldstei</t>
  </si>
  <si>
    <t xml:space="preserve">https://x.com/daniellgoldstei/status/2090417094546334148</t>
  </si>
  <si>
    <t xml:space="preserve">I’ve been leading marketing for Pretty Tasty for about a year now now - and today we announced we’re now in every Target across America.</t>
  </si>
  <si>
    <t xml:space="preserve">I’ve been leading marketing for Pretty Tasty for about a year now now - and today we announced we’re now in every Target across America. 
This is a really big deal for any brand, but absolutely for us. 
Many brands celebrate getting distribution as the win - for us, it’s one step, carefully planned in our GTM strategy. 
For the last two years we’ve been purposely growing national demand, withou</t>
  </si>
  <si>
    <t xml:space="preserve">Outbound / Warm Outbound, Content Marketing &amp; Systems, Business Growth &amp; Scale Systems</t>
  </si>
  <si>
    <t xml:space="preserve">https://www.linkedin.com/feed/update/urn:li:activity:7511726925615116289</t>
  </si>
  <si>
    <t xml:space="preserve">Modern GTM stack: expectation vs reality</t>
  </si>
  <si>
    <t xml:space="preserve">Modern GTM stack: expectation vs reality
Clay + Claude Code is a great starting point.
But scaling unlocks more use cases…
And more use cases add more tools.
Here's what that looks like:
1️⃣ Data Sourcing
• Findymail - email finding &amp; validation
• BetterContact - waterfall phone enrichment
• AI Ark - linkedin company + stakeholder maps
• DiscoLike - full web data for TAM mapping
2️⃣ Data Orc</t>
  </si>
  <si>
    <t xml:space="preserve">Contrast format (X vs Y) creates instant tension</t>
  </si>
  <si>
    <t xml:space="preserve">Keep the pov hook mechanic and swap in your own proof. Teach one marketing strategy lesson for founders of 10-50 person boutique firms (US/UK/AU). Ship it as a LinkedIn text/carousel.</t>
  </si>
  <si>
    <t xml:space="preserve">Comparison graphic contrasting the expectation of a modern GTM stack (Clay + Claude Code) with the reality of a sprawling 25-tool stack including HubSpot, Customer.io, Clay, Instantly, n8n, Semrush and more. Posted by Fivos Aresti with a call to add more GTM tools.</t>
  </si>
  <si>
    <t xml:space="preserve">gtm, go-to-market, tech-stack, b2b-sales, sales-tools, outbound, clay, hubspot</t>
  </si>
  <si>
    <t xml:space="preserve">growwithhemant_</t>
  </si>
  <si>
    <t xml:space="preserve">@growwithhemant_</t>
  </si>
  <si>
    <t xml:space="preserve">https://www.instagram.com/reel/DbKiMvsPtRE/</t>
  </si>
  <si>
    <t xml:space="preserve">धंधा ऐसा करो कि लोग दाम नहीं, नाम याद रखें (Do business in such a way that people remember the name, not the price)</t>
  </si>
  <si>
    <t xml:space="preserve">"धंधा ऐसा करो कि लोग दाम नहीं, आपका नाम याद रखें! 🤝🔥
ज्यादातर लोग सोचते हैं कि बिज़नेस सिर्फ प्रोडक्ट...</t>
  </si>
  <si>
    <t xml:space="preserve">Reel: Static graphic carousel-style presentation</t>
  </si>
  <si>
    <t xml:space="preserve">Format: Present a business lesson by showing a relatable anecdote or observation on-screen. Conclu</t>
  </si>
  <si>
    <t xml:space="preserve">Keep the statement hook mechanic and swap in your own proof. Teach one marketing strategy lesson for Indian B2B service founders (10-50 staff). Ship it as a IG reel, then repurpose to LinkedIn.</t>
  </si>
  <si>
    <t xml:space="preserve">The video presents a short business anecdote about a tea seller offering free biscuits to explain the value of customer experience and marketing.</t>
  </si>
  <si>
    <t xml:space="preserve">@codyschneider</t>
  </si>
  <si>
    <t xml:space="preserve">https://x.com/codyschneider/status/2094893065202803014</t>
  </si>
  <si>
    <t xml:space="preserve">cold email explained</t>
  </si>
  <si>
    <t xml:space="preserve">cold email explained
Low IQ: 
Get a list of people with the problem. Send them four sentences about the problem and one specific offer. Send a lot of them.
Midwit:
40 domains, 120 mailboxes, a rotation schedule, and a spreadsheet tracking mailbox health
Warmup tools running permanently at 30 emails/day forever
Spintax on every sentence, {{first_name|there}} fallbacks nested three deep
"Spam wo</t>
  </si>
  <si>
    <t xml:space="preserve">A text post framing cold email advice in a "Low IQ / Midwit / High IQ" format. It argues that simple high-volume outreach with a precise list and one specific offer beats elaborate deliverability tooling, spam-word avoidance, spintax, and over-segmented sequences.</t>
  </si>
  <si>
    <t xml:space="preserve">cold email, cold outbound, sales, deliverability, lead generation, pipeline, outreach, icp</t>
  </si>
  <si>
    <t xml:space="preserve">Nader Alnajjar</t>
  </si>
  <si>
    <t xml:space="preserve">@nader-alnajjar</t>
  </si>
  <si>
    <t xml:space="preserve">https://www.linkedin.com/feed/update/urn:li:activity:7467169699005579264</t>
  </si>
  <si>
    <t xml:space="preserve">Marketing isn't as straightforward as people think.</t>
  </si>
  <si>
    <t xml:space="preserve">Marketing isn't as straightforward as people think.
Here are the 7 Ps every founder needs to cover 👇
Rohan Sheth is an insane expert at marketing.
And his breakdown here made me realise something important:
Personal branding is just traditional marketing applied to a person.
It's basically all the same principles and frameworks.
But with a personal brand, the product is just you.
So here ar</t>
  </si>
  <si>
    <t xml:space="preserve">fractional executive CMO consulting business positioning and pricing; case study how we generated pipeline for a B2B client with content and outbound</t>
  </si>
  <si>
    <t xml:space="preserve">Outbound / Warm Outbound, Marketing Strategy, Freelancing &amp; International Clients</t>
  </si>
  <si>
    <t xml:space="preserve">Vladimir Bayandin</t>
  </si>
  <si>
    <t xml:space="preserve">@vovudebosh</t>
  </si>
  <si>
    <t xml:space="preserve">2026-09-10</t>
  </si>
  <si>
    <t xml:space="preserve">https://x.com/vovudebosh/status/2098020150788104653</t>
  </si>
  <si>
    <t xml:space="preserve">i'm sorry, Claude can WHAT?</t>
  </si>
  <si>
    <t xml:space="preserve">i'm sorry, Claude can WHAT?
it can take your website link, find people who need your product, email them and book the calls?
since when?? i've been doing this by hand for a YEAR.
ok. testing it: $30 free 👇
https://t.co/7vYyhPikKP https://t.co/p9m4cwrKsC</t>
  </si>
  <si>
    <t xml:space="preserve">meme</t>
  </si>
  <si>
    <t xml:space="preserve">Keep the story hook mechanic and swap in your own proof. Teach one client acquisition lesson for (re-aim at business owners, not aspirants). Ship it as a LinkedIn text/carousel.</t>
  </si>
  <si>
    <t xml:space="preserve">Two-panel stick-figure comic showing a skeptic who claims "AI can't get me real clients lol" and then a shocked version of himself as his laptop shows five stacked "New Call Booked!" notifications plus "+11 more calls booked!". The caption promotes an AI tool that scrapes a website, finds prospects, emails them, and books calls, with a $30 free trial link.</t>
  </si>
  <si>
    <t xml:space="preserve">cold email, ai automation, lead generation, booking calls, outbound sales, claude, stick figure comic, two panel comic</t>
  </si>
  <si>
    <t xml:space="preserve">Client Acquisition, Consulting / Fractional</t>
  </si>
  <si>
    <t xml:space="preserve">James Smith | Business Mentorship</t>
  </si>
  <si>
    <t xml:space="preserve">@jamessmith.business</t>
  </si>
  <si>
    <t xml:space="preserve">https://www.instagram.com/reel/DZ4b5KaNr-x/</t>
  </si>
  <si>
    <t xml:space="preserve">At Dubai Active, a coach was traditionally told to always hide their pricing until the prospect got on a call and asked me for what I’d do in that situation</t>
  </si>
  <si>
    <t xml:space="preserve">At Dubai Active, a coach was traditionally told to always hide their pricing until the prospect got on a call and asked me for what I’d do in that situation
I LOVE using Eight Sleep as a concept to understand this. 
It’s a temperature controlled mattress cover, for £4k. I didn’t need a sales call nor a “book a call to find out more.” 
Just a website with the price, how it works, how it benefits</t>
  </si>
  <si>
    <t xml:space="preserve">Noisy</t>
  </si>
  <si>
    <t xml:space="preserve">@noisyb0y1</t>
  </si>
  <si>
    <t xml:space="preserve">2026-05-21</t>
  </si>
  <si>
    <t xml:space="preserve">https://x.com/noisyb0y1/status/2057472925826007430</t>
  </si>
  <si>
    <t xml:space="preserve">Kimi K2.6 replaced my entire dev team. Here's how I built an $80,000/month agency solo</t>
  </si>
  <si>
    <t xml:space="preserve">Most agencies have 10-15 people - a project manager, several developers, a designer, a copywriter, a QA engineer - and the client pays $15,000-50,000 for a project where most of that money goes to salaries of people doing repetitive work that a model can now handle for the cost of API tokens.
Kimi K2.6 just made that entire model obsolete and the math here is straightforward.
1 trillion paramete</t>
  </si>
  <si>
    <t xml:space="preserve">2026-03-02</t>
  </si>
  <si>
    <t xml:space="preserve">https://www.linkedin.com/feed/update/urn:li:activity:7434301889170653184</t>
  </si>
  <si>
    <t xml:space="preserve">Claude can now run tasks on your desktop while you sleep.</t>
  </si>
  <si>
    <t xml:space="preserve">Claude can now run tasks on your desktop while you sleep.
It's called Cowork. Here's how I use it to get leads on LinkedIn ↓
I've been testing it for the past week.
It writes posts, audits profiles, builds ICPs, does market research — all while I'm at the gym.
This is the biggest shortcut for LinkedIn I've seen in months.
But most coaches and consultants don't even know it exists.
So I built</t>
  </si>
  <si>
    <t xml:space="preserve">Keep the statement hook mechanic and swap in your own proof. Teach one client acquisition lesson for founders of 10-50 person boutique firms (US/UK/AU). Ship it as a LinkedIn text/carousel.</t>
  </si>
  <si>
    <t xml:space="preserve">The image shows a graphic with the text "Claude CoWork" and a star-like graphic. The post promotes a tool called Cowork that uses Claude AI to automate tasks like writing posts, auditing profiles, building ICPs, and performing market research, specifically for LinkedIn lead generation.</t>
  </si>
  <si>
    <t xml:space="preserve">claude, ai, automation, productivity, cowork, linkedin, leads, setup guide</t>
  </si>
  <si>
    <t xml:space="preserve">https://www.linkedin.com/feed/update/urn:li:activity:7434209658816434176</t>
  </si>
  <si>
    <t xml:space="preserve">The image shows the logo for "Claude CoWork," a new AI tool. The post describes how this tool, powered by Claude, can automate various tasks on a computer, including generating leads on LinkedIn, while the user is away.</t>
  </si>
  <si>
    <t xml:space="preserve">claude, cowork, ai, automation, productivity, linkedin, lead generation, software</t>
  </si>
  <si>
    <t xml:space="preserve">Milly Tamati</t>
  </si>
  <si>
    <t xml:space="preserve">@milly-tamati</t>
  </si>
  <si>
    <t xml:space="preserve">https://www.linkedin.com/feed/update/urn:li:activity:7496545928720551937</t>
  </si>
  <si>
    <t xml:space="preserve">So ahhhh.... I'M HIRING!!!  ❤️‍🔥</t>
  </si>
  <si>
    <t xml:space="preserve">So ahhhh.... I'M HIRING!!!  ❤️‍🔥 
After mulling on this job description for months, I'm finallyyyyy ready to share.......
I'm hiring for someone to help grow our Generalist World 🌀 membership!
If you love GW, love systems + automations, and if your love language is not-icky-sales... pls apply!
Details: 
Location: fully remote, work from anywhere.
Commitment: part-time contract to start (10 h</t>
  </si>
  <si>
    <t xml:space="preserve">Jolyon Varley</t>
  </si>
  <si>
    <t xml:space="preserve">@jolyonvarley</t>
  </si>
  <si>
    <t xml:space="preserve">https://www.linkedin.com/feed/update/urn:li:activity:7422187161350840320</t>
  </si>
  <si>
    <t xml:space="preserve">This will be my last LinkedIn post ever....</t>
  </si>
  <si>
    <t xml:space="preserve">This will be my last LinkedIn post ever....
…as co-founder of OK COOL as a completely independent agency. Because guess what!!
𝗢𝗞 𝗖𝗢𝗢𝗟, 𝘁𝗵𝗲 𝗯𝘂𝘀𝗶𝗻𝗲𝘀𝘀 𝗜’𝘃𝗲 𝘀𝗽𝗲𝗻𝘁 𝗮 𝗱𝗲𝗰𝗮𝗱𝗲 𝗼𝗳 𝗺𝘆 𝗹𝗶𝗳𝗲 𝗶𝗻 𝘀𝗲𝗿𝘃𝗶𝗰𝗲 𝘁𝗼, 𝗵𝗮𝘀 𝗯𝗲𝗲𝗻 𝗮𝗰𝗾𝘂𝗶𝗿𝗲𝗱 𝗯𝘆 Residence.
𝗜𝘁 𝗶𝘀 𝗮 𝗿𝗲𝗰𝗼𝗿𝗱 𝘃𝗮𝗹𝘂𝗮𝘁𝗶𝗼𝗻 𝗳𝗼𝗿 𝗮 𝘀𝗼𝗰𝗶𝗮𝗹 𝗮𝗴𝗲𝗻𝗰𝘆.
The mission has alw</t>
  </si>
  <si>
    <t xml:space="preserve">The image features three people standing together in front of a bright green corrugated metal door and brick wall backdrop, with the author announcing OK COOL's acquisition by Residence.</t>
  </si>
  <si>
    <t xml:space="preserve">acquisition, agency, business growth, linkedin post, team, brand, celebration, career milestone</t>
  </si>
  <si>
    <t xml:space="preserve">Jace England</t>
  </si>
  <si>
    <t xml:space="preserve">@jaceengland1</t>
  </si>
  <si>
    <t xml:space="preserve">2026-08-29</t>
  </si>
  <si>
    <t xml:space="preserve">https://x.com/JaceEngland1/status/2093741553453814191</t>
  </si>
  <si>
    <t xml:space="preserve">A COO is the most important hire I made as an operator that got us from $100k/mo - $300k.</t>
  </si>
  <si>
    <t xml:space="preserve">A COO is the most important hire I made as an operator that got us from $100k/mo - $300k. 
Can't be doing those 24 hr days forever</t>
  </si>
  <si>
    <t xml:space="preserve">Founder Jace England says hiring a COO was his most important hire as an operator, crediting it with scaling the business from $100k/mo to $300k/mo and escaping 24-hour workdays.</t>
  </si>
  <si>
    <t xml:space="preserve">coo, hiring, operator, revenue growth, delegation, founder advice, scaling, leadership</t>
  </si>
  <si>
    <t xml:space="preserve">https://www.linkedin.com/feed/update/urn:li:activity:7478766175548702721</t>
  </si>
  <si>
    <t xml:space="preserve">I've never seen a better case for personal brand than this Ronaldo clip.</t>
  </si>
  <si>
    <t xml:space="preserve">I've never seen a better case for personal brand than this Ronaldo clip.
Watch what happens... 👇
He went out in disguise and showed off the most insane skill out in the streets.
Nobody stopped.
They didn't even look twice.
In other words, skill was never the issue here. 
Simply put: nobody knew who he was.
And I think this is a pretty perfect metaphor for why personal brands are so importan</t>
  </si>
  <si>
    <t xml:space="preserve">Consulting / Fractional, Content Marketing &amp; Systems</t>
  </si>
  <si>
    <t xml:space="preserve">2026-03-07</t>
  </si>
  <si>
    <t xml:space="preserve">https://www.linkedin.com/feed/update/urn:li:activity:7436087872346267648</t>
  </si>
  <si>
    <t xml:space="preserve">Claude gives you access to elite marketers for $0.</t>
  </si>
  <si>
    <t xml:space="preserve">Claude gives you access to elite marketers for $0.
I codified their brains into 1 application. Access it below ↓
This app lets you interact with:
1/ Alex Hormozi (offer creation + value delivery)
2/ Gary Vee (content volume + platform strategy)
3/ Russell Brunson (funnel psychology + storytelling)
4/ Dan Kennedy (direct response + urgency tactics)
5/ Seth Godin (Brand storytelling + Trust build</t>
  </si>
  <si>
    <t xml:space="preserve">The image features the word "Claude" surrounded by five headshot portraits of marketing experts, connected by arrows. The post promotes an AI tool that codifies the knowledge of these marketers into one application for content creation and marketing strategy.</t>
  </si>
  <si>
    <t xml:space="preserve">marketing, ai, alex hormozi, gary vee, russell brunson, dan kennedy, seth godin, founders</t>
  </si>
  <si>
    <t xml:space="preserve">https://x.com/codyschneider/status/2093005637965787317</t>
  </si>
  <si>
    <t xml:space="preserve">if you run an online service business the best way to build pipeline is this format across all social</t>
  </si>
  <si>
    <t xml:space="preserve">if you run an online service business the best way to build pipeline is this format across all social
we helped x company get y outcomes in z days
it universally works
whether it is paid ads, organic social, youtube long form
why it works
described the desired outcome people want 
casts a vision of a future they can imagine their business in
describes you as the bridge to get to this
if yo</t>
  </si>
  <si>
    <t xml:space="preserve">Keep the audience callout hook mechanic and swap in your own proof. Teach one marketing strategy lesson for founders of 10-50 person boutique firms (US/UK/AU). Ship it as a LinkedIn text/carousel.</t>
  </si>
  <si>
    <t xml:space="preserve">Cody Schneider shares a social media copy framework for online service businesses: "we helped X company get Y outcomes in Z days," arguing it works across paid ads, organic social, and YouTube long-form. He explains why it works — naming the desired outcome, casting a vision, and positioning yourself as the bridge.</t>
  </si>
  <si>
    <t xml:space="preserve">marketing, lead generation, pipeline, copywriting, social media strategy, service business, case study format, framework</t>
  </si>
  <si>
    <t xml:space="preserve">https://www.linkedin.com/feed/update/urn:li:activity:7386812819234795520</t>
  </si>
  <si>
    <t xml:space="preserve">I've rejected 5552+ proposals on Upwork as a client</t>
  </si>
  <si>
    <t xml:space="preserve">I've rejected 5552+ proposals on Upwork as a client
Here are 10 points why why proposals get rejected:
1️⃣ The first paragraph is bad - the job will be never opened
- They started with "Hello, I am happy to apply on this job...", much "water"
- Templated, just freelancer description
- Not focused on the client's request
- I did the same project recently, bla bla bla
2️⃣ Stupid AI generation
- M</t>
  </si>
  <si>
    <t xml:space="preserve">https://www.linkedin.com/feed/update/urn:li:activity:7451966659919167488</t>
  </si>
  <si>
    <t xml:space="preserve">Claude can now update your LinkedIn Profile like a pro.</t>
  </si>
  <si>
    <t xml:space="preserve">Claude can now update your LinkedIn Profile like a pro.
It's called a Skill. Here's how I use it to more get leads ↓
I've helped 100+ clients fix their profiles over the past 2 years.
I see the same mistakes every single time.
Your profile is the first thing a potential client sees.
If it doesn't clearly say who you help, what you do, and why they should reach out — that attention goes somewh</t>
  </si>
  <si>
    <t xml:space="preserve">An infographic details how to optimize a LinkedIn profile using an AI-powered audit tool called Claude. It displays a mock LinkedIn profile, offering advice columns for refining various sections to attract leads.</t>
  </si>
  <si>
    <t xml:space="preserve">linkedin, profile optimization, ai tool, lead generation, content creation, social media marketing, personal branding, audit tool</t>
  </si>
  <si>
    <t xml:space="preserve">2026-09-09</t>
  </si>
  <si>
    <t xml:space="preserve">https://www.linkedin.com/feed/update/urn:li:activity:7503345290075250688</t>
  </si>
  <si>
    <t xml:space="preserve">Nothing gives me more joy than helping build a beautiful business. I built Yogabar from scratch to a 1000Cr business - now I want to help back the founder who is where I was a decade ago.</t>
  </si>
  <si>
    <t xml:space="preserve">Nothing gives me more joy than helping build a beautiful business. I built Yogabar from scratch to a 1000Cr business - now I want to help back the founder who is where I was a decade ago.
For those who know me, you know that for me building a brand is in many ways like creating art for the world to enjoy.
I am partnering with Better Bite Ventures to do this, and here is what is available on day</t>
  </si>
  <si>
    <t xml:space="preserve">Keep the story hook mechanic and swap in your own proof. Teach one marketing strategy lesson for Indian B2B service founders (10-50 staff). Ship it as a LinkedIn text/carousel.</t>
  </si>
  <si>
    <t xml:space="preserve">Suhasini Sampath, who built Yogabar into a ₹1000Cr business, announces a partnership with Better Bite Ventures to invest up to ₹2.5 crore in pre-launch or newly launched Indian consumer food brands, with applications open until 23 September. She is shown outdoors holding a light blue breakfast protein bar box.</t>
  </si>
  <si>
    <t xml:space="preserve">india, consumer food, food brand, venture capital, pre-seed, founder, yogabar, better bite ventures</t>
  </si>
  <si>
    <t xml:space="preserve">Leanne Lopez Mosley 💸</t>
  </si>
  <si>
    <t xml:space="preserve">@theleannelopezmosley</t>
  </si>
  <si>
    <t xml:space="preserve">2026-01-25</t>
  </si>
  <si>
    <t xml:space="preserve">https://www.instagram.com/reel/DT8emAViXDw/</t>
  </si>
  <si>
    <t xml:space="preserve">🚨 $500 is the “impulse premium” zone for wealthy buyers.</t>
  </si>
  <si>
    <t xml:space="preserve">🚨 $500 is the “impulse premium” zone for wealthy buyers.
🤌🏻They won’t flinch at $497 if the ROI is clear.
Cold traffic loves this price point when it’s positioned right.
👏🏻Rich clients don’t want more fluff. They want high value solutions — fast.
And contrary to what you have been told they don’t only want your high touch, high ticket spaces 🙄
👉🏻They’re more likely to buy a $497 offer</t>
  </si>
  <si>
    <t xml:space="preserve">Keep the result hook mechanic and swap in your own proof. Teach one high-ticket sales lesson for (re-aim at business owners, not aspirants). Ship it as a IG reel, then repurpose to LinkedIn.</t>
  </si>
  <si>
    <t xml:space="preserve">The video features a female entrepreneur presenting a passive income strategy for female entrepreneurs, discussing the 'impulse premium zone' of $500 offers and how $497 price points convert wealthy buyers effectively.</t>
  </si>
  <si>
    <t xml:space="preserve">passive income, entrepreneurship, wealthy buyers, premium pricing, income strategy, business scaling, retargeting, funnel</t>
  </si>
  <si>
    <t xml:space="preserve">Business Growth &amp; Scale Systems, Consulting / Fractional</t>
  </si>
  <si>
    <t xml:space="preserve">John Wernfeldt</t>
  </si>
  <si>
    <t xml:space="preserve">@john-wernfeldt-82894b58</t>
  </si>
  <si>
    <t xml:space="preserve">2026-03-01</t>
  </si>
  <si>
    <t xml:space="preserve">https://www.linkedin.com/feed/update/urn:li:activity:7433779064005562368</t>
  </si>
  <si>
    <t xml:space="preserve">Every failed AI strategy I've seen had the same problem.</t>
  </si>
  <si>
    <t xml:space="preserve">Every failed AI strategy I've seen had the same problem.
The people building the slide deck had never seen the data.
Inside the room:
• Chief AI Officer: read the Gartner report
• VP of Digital: saw it at Davos
• Head of Innovation: built a GPT wrapper
• Strategy Consultant: has the slide deck
• External Vendor: selling the solution
Outside the room:
• The Data Engineer, not invited, fixing wha</t>
  </si>
  <si>
    <t xml:space="preserve">The image depicts a scene of seven individuals in an office meeting, with overlaid text identifying roles. A prominent data engineer watches from outside the meeting, with text reading, 'Not invited, fixing what they just announced,' which supports the post's argument about excluded data expertise in AI strategy building.</t>
  </si>
  <si>
    <t xml:space="preserve">ai strategy, data engineering, leadership, team meeting, office, decision making, strategy, conference room</t>
  </si>
  <si>
    <t xml:space="preserve">2026-09-15</t>
  </si>
  <si>
    <t xml:space="preserve">https://www.instagram.com/reel/DdT6E3pyk6z/</t>
  </si>
  <si>
    <t xml:space="preserve">Raj Shamani (born July 29, 1997, in Indore, Madhya Pradesh) is a definitive force in the global creator economy and the premier pioneer of business-first digital media in India. Rising from a devastating family factory f</t>
  </si>
  <si>
    <t xml:space="preserve">Raj Shamani (born July 29, 1997, in Indore, Madhya Pradesh) is a definitive force in the global creator economy and the premier pioneer of business-first digital media in India. Rising from a devastating family factory fire at age 16—where he was handed just ₹10,000 by his father to sell dish soaps shop-to-shop for survival—he completely shattered the conventional, highly academic barriers to entr</t>
  </si>
  <si>
    <t xml:space="preserve">Promotional profile video celebrating Indian entrepreneur and podcaster Raj Shamani, founder of Figuring Out Media and startup accelerator House of X, tracing his rise from selling dish soap after a family factory fire to building a business media empire. Closes with a quip that a sports car attracts other men, not women.</t>
  </si>
  <si>
    <t xml:space="preserve">raj shamani, figuring out, house of x, creator economy, india, entrepreneurship, founder profile, personal branding</t>
  </si>
  <si>
    <t xml:space="preserve">@molly-stovold</t>
  </si>
  <si>
    <t xml:space="preserve">https://www.linkedin.com/feed/update/urn:li:activity:7514652222589210624</t>
  </si>
  <si>
    <t xml:space="preserve">Next time I feel like I'm running behind I'm going to remember this.</t>
  </si>
  <si>
    <t xml:space="preserve">Next time I feel like I'm running behind I'm going to remember this. 
Start the personal brand. 
Hit post for the first time on LinkedIn. 
Build the business in public. 
Do the thing.
Be brave. ♡</t>
  </si>
  <si>
    <t xml:space="preserve">An image graphic asking "Still think you're too late?" with eight portrait cards showing famous people who started later in life (Mel Robbins, Brené Brown, Martha Stewart, etc.). A purple footer invites viewers to follow Molly Stovold for personal branding tips.</t>
  </si>
  <si>
    <t xml:space="preserve">personal branding, audience building, encouragement, late bloomers, mel robbins, brene brown, arianna huffington, female founders</t>
  </si>
  <si>
    <t xml:space="preserve">https://www.linkedin.com/feed/update/urn:li:activity:7499435718050549761</t>
  </si>
  <si>
    <t xml:space="preserve">In business, the difference between potential and opportunity is proximity.</t>
  </si>
  <si>
    <t xml:space="preserve">In business, the difference between potential and opportunity is proximity.
(Thanks to my friend Misha Rubin for the inspiration behind this post.)
A lot of talented senior leaders leave corporate to build their own businesses but stay invisible in the market.
But before you're granted proximity to people who can open doors, you need the right value proposition.
People need to:
1. Understand</t>
  </si>
  <si>
    <t xml:space="preserve">A video explains how proximity in business is tied to having a clear value proposition, using a case study of a C-suite executive who refined their advisory offer to attract PE firm clients. The speaker outlines three key questions to assess one's value proposition and access to opportunities.</t>
  </si>
  <si>
    <t xml:space="preserve">business strategy, value proposition, client acquisition, senior leadership, PE firms, advisory services, market visibility, business networking</t>
  </si>
  <si>
    <t xml:space="preserve">Amelia Christie-Miller</t>
  </si>
  <si>
    <t xml:space="preserve">@ameliachristiemiller</t>
  </si>
  <si>
    <t xml:space="preserve">https://www.linkedin.com/feed/update/urn:li:activity:7432726203574259712</t>
  </si>
  <si>
    <t xml:space="preserve">We tried to rename kidney beans.</t>
  </si>
  <si>
    <t xml:space="preserve">We tried to rename kidney beans.
It completely flopped. 
Kidney beans are the biggest selling bean in the UK - and we thought we'd be clever and launch them as "Queen red beans" 🫘
I thought it was chic. And the direct translation from the variety we used did not include a word of kidney!
I thought the word kidney was everything that was wrong with the beans popularity. Who likes referencing a</t>
  </si>
  <si>
    <t xml:space="preserve">A marketing expert shares a case study on a failed rebranding of kidney beans, with split-screen visuals contrasting the delisted 'Queen Red Beans' product left and the 'Queen Red Kidney Beans' product right.</t>
  </si>
  <si>
    <t xml:space="preserve">branding, rebranding, marketing failure, product naming, seo, brand voice, case study, product positioning</t>
  </si>
  <si>
    <t xml:space="preserve">https://www.linkedin.com/feed/update/urn:li:activity:7452038823129305089</t>
  </si>
  <si>
    <t xml:space="preserve">An infographic titled "Audit Your LinkedIn Profile with Claude" displays a mock-up of a LinkedIn profile page. The infographic details how an AI-powered tool can help users optimize their LinkedIn profiles to generate leads and improve their professional self-image.</t>
  </si>
  <si>
    <t xml:space="preserve">linkedin, profile optimization, ai tool, personal branding, professional development, lead generation, audit tool, self-improvement</t>
  </si>
  <si>
    <t xml:space="preserve">2025-11-10</t>
  </si>
  <si>
    <t xml:space="preserve">https://www.instagram.com/reel/DQ4dMvcDuKF/</t>
  </si>
  <si>
    <t xml:space="preserve">Claire Vo</t>
  </si>
  <si>
    <t xml:space="preserve">@clairevo</t>
  </si>
  <si>
    <t xml:space="preserve">2026-05-05</t>
  </si>
  <si>
    <t xml:space="preserve">https://www.linkedin.com/feed/update/urn:li:activity:7457503997646561282</t>
  </si>
  <si>
    <t xml:space="preserve">Coinbase announced a 14% layoff, citing AI efficiencies and flatter orgs.</t>
  </si>
  <si>
    <t xml:space="preserve">Coinbase announced a 14% layoff, citing AI efficiencies and flatter orgs. 
Tough day for folks (DM me if I can help!) but if I found myself suddenly laid off from a company that cited AI as a cause, this is what I’d do:
- download codex and Claude/code 
- say: “this was my job and how I spent my day, how can you help me automate it w skills”
- push a dozen of those skills to GitHub 
- open up Cl</t>
  </si>
  <si>
    <t xml:space="preserve">Coinbase announced a 14% layoff citing AI efficiencies and flatter organizations. The author offers practical steps for laid-off employees to reskill and stay competitive by adopting AI tools, building portfolios, and networking with founders.</t>
  </si>
  <si>
    <t xml:space="preserve">ai adoption, reskilling, layoff advice, portfolio building, networking, github, ai tools, career transition</t>
  </si>
  <si>
    <t xml:space="preserve">Content Marketing &amp; Systems, Client Acquisition, Outbound / Warm Outbound</t>
  </si>
  <si>
    <t xml:space="preserve">https://www.instagram.com/reel/DcHlScBsKq8/</t>
  </si>
  <si>
    <t xml:space="preserve">Number 8 is changing lives 👇🏻
Here are 11 AI Automations that are exploding right now (and will grow even more in 2027):
1- AI Appointment Setter: automatically qualify inbound leads via IG DM and get them to book an appointment if they are qualified for your service or product.
2- AI UGC Video Ads Generator (SORA 2 + n8n):
✔ Generate unlimited TikTok/Reels ads
✔ Create multiple hooks &amp; angle</t>
  </si>
  <si>
    <t xml:space="preserve">Keep the statement hook mechanic and swap in your own proof. Teach one marketing strategy lesson for (re-aim at business owners, not aspirants). Ship it as a IG reel, then repurpose to LinkedIn.</t>
  </si>
  <si>
    <t xml:space="preserve">Beatrice Vladut</t>
  </si>
  <si>
    <t xml:space="preserve">@beatricevladut</t>
  </si>
  <si>
    <t xml:space="preserve">https://www.linkedin.com/feed/update/urn:li:activity:7414238930080030720</t>
  </si>
  <si>
    <t xml:space="preserve">How to grow your business in 2026</t>
  </si>
  <si>
    <t xml:space="preserve">How to grow your business in 2026 
(without chasing clients)
Start building a personal brand.
That’s what helped me (and my clients) go from constantly chasing leads…
to creating inbound demand and industry visibility.
Here’s the truth...
The competition has never been bigger.
Everyone is launching software.
Everyone is in finance or marketing.
Every industry is crowded.
If you don’t stand</t>
  </si>
  <si>
    <t xml:space="preserve">Marketing Strategy, Outbound / Warm Outbound, Business Growth &amp; Scale Systems</t>
  </si>
  <si>
    <t xml:space="preserve">Elisa</t>
  </si>
  <si>
    <t xml:space="preserve">@eeelistar</t>
  </si>
  <si>
    <t xml:space="preserve">2025-12-10</t>
  </si>
  <si>
    <t xml:space="preserve">https://x.com/eeelistar/status/1998700772968534271</t>
  </si>
  <si>
    <t xml:space="preserve">The genius marketing strategy that made Andrew Tate blow up</t>
  </si>
  <si>
    <t xml:space="preserve">The genius marketing strategy that made Andrew Tate blow up
Many say he “invented clipping”
By mid-2022, Tate was making ~$10M per month
This is how:
- The viral engine was his course Hustler’s University (later rebranded as The Real World), which cost $49–$99 monthly
- Members earned commissions (up to 50% of referrals) by posting Tate’s clips on TikTok, YouTube + Instagram, embedding affiliat</t>
  </si>
  <si>
    <t xml:space="preserve">https://www.instagram.com/p/DYe45o5kVGc/</t>
  </si>
  <si>
    <t xml:space="preserve">Claude Hopkins was born February 11, 1866, in Hillsdale, Michigan, the son of a poor schoolteacher. His father died when he was 10. He worked his way through school sweeping a church for 50 cents a week.</t>
  </si>
  <si>
    <t xml:space="preserve">Claude Hopkins was born February 11, 1866, in Hillsdale, Michigan, the son of a poor schoolteacher. His father died when he was 10. He worked his way through school sweeping a church for 50 cents a week.
He landed his first copywriting job at Bissell Carpet Sweeper at 25. By 1907 he was at Lord &amp; Thomas in Chicago earning $185,000 a year (the equivalent of about $6 million today). He wrote sales</t>
  </si>
  <si>
    <t xml:space="preserve">This carousel post tells the story of early advertising pioneer Claude Hopkins and transitions into promoting a remote sales closing side hustle opportunity. It details Hopkins' rise from humble beginnings, his successful career milestones, and modern-day earning potential of $10K-$25K per month for sales professionals working remotely.</t>
  </si>
  <si>
    <t xml:space="preserve">side hustle, remote work, sales closing, career change, direct response, income potential, zoom calls, coaching</t>
  </si>
  <si>
    <t xml:space="preserve">https://www.linkedin.com/feed/update/urn:li:activity:7468995130784624640</t>
  </si>
  <si>
    <t xml:space="preserve">In business, the difference between potential and opportunity is proximity.
(Thanks to my friend Misha Rubin for the inspiration behind this post.)
A lot of talented senior leaders leave corporate to build their own businesses but stay invisible in the market.
But before you're granted proximity to people who can open doors, you need the right value proposition. 
People need to:
1. Understand</t>
  </si>
  <si>
    <t xml:space="preserve">A text post sharing insights on positioning for effective business opportunty. 
Deena Priest explains three essential questions successful leaders should answer: their value proposition, identifying the right contacts, and sharing their value. She also recounts an anecdote of assisting a C-suite executive in refining these elements resulting in successful client acquisition.</t>
  </si>
  <si>
    <t xml:space="preserve">business strategy, consulting, leadership, opportunity management, client acquisition, value proposition, social proof, position strategy</t>
  </si>
  <si>
    <t xml:space="preserve">Hailey Hernandez l Business Coach for Moms</t>
  </si>
  <si>
    <t xml:space="preserve">@bossladyhailey</t>
  </si>
  <si>
    <t xml:space="preserve">2026-07-19</t>
  </si>
  <si>
    <t xml:space="preserve">https://www.instagram.com/reel/Da_QphVxjth/</t>
  </si>
  <si>
    <t xml:space="preserve">“You have to book a bunch of sales calls if you want to scale your business” 🙃</t>
  </si>
  <si>
    <t xml:space="preserve">“You have to book a bunch of sales calls if you want to scale your business” 🙃
Thanks, but no thanks 😅
As a stay at home mom of two young kids, packing my week full of sales calls every week is a no go for me.
No to mention the wasted time with people who aren’t serious, no shows, reschedules.
And don’t even get me started on the whole “just get them on a call” and “don’t let them off the ca</t>
  </si>
  <si>
    <t xml:space="preserve">Sanvi Khandelwal</t>
  </si>
  <si>
    <t xml:space="preserve">@sanvi-khandelwal-1436041aa</t>
  </si>
  <si>
    <t xml:space="preserve">https://www.linkedin.com/feed/update/urn:li:activity:7503679138965360640</t>
  </si>
  <si>
    <t xml:space="preserve">LinkedIn bought me a car</t>
  </si>
  <si>
    <t xml:space="preserve">LinkedIn bought me a car 
I bought a car last week, with my own money. At 21 and I thought I'd feel something enormous.
The kind of moment people make reels about, uk the key in hand, proud photo, caption about hard work paying off.
I felt…glad it was convenient for the commute. That's it.
Which told me that I've already moved past the version of myself that this milestone was supposed to im</t>
  </si>
  <si>
    <t xml:space="preserve">Keep the statement hook mechanic and swap in your own proof. Teach one high-ticket sales lesson for Indian B2B service founders (10-50 staff). Ship it as a LinkedIn text/carousel.</t>
  </si>
  <si>
    <t xml:space="preserve">A young woman in a floral dress poses with a new black Hyundai CRETA SUV at a dealership, decorated with red ribbons and confetti under a "Celebrating 20 Glorious Years of Hyundai" banner. Her caption reflects on buying the car with her own money at 21 after a year of LinkedIn content work.</t>
  </si>
  <si>
    <t xml:space="preserve">hyundai creta, suv, car delivery, new car, dealership, ribbon cutting, confetti, young woman</t>
  </si>
  <si>
    <t xml:space="preserve">Nathan Hirsch</t>
  </si>
  <si>
    <t xml:space="preserve">@nathanhirsch</t>
  </si>
  <si>
    <t xml:space="preserve">2026-05-02</t>
  </si>
  <si>
    <t xml:space="preserve">https://www.linkedin.com/feed/update/urn:li:activity:7456311365390057472</t>
  </si>
  <si>
    <t xml:space="preserve">10 Sales Claude Prompts I use across our portfolio companies:</t>
  </si>
  <si>
    <t xml:space="preserve">10 Sales Claude Prompts I use across our portfolio companies:
Save this. Sales is the one skill no founder gets to outsource early.
1/ ICP Definition
"You're a B2B sales strategist with 15+ years of experience. Here's a list of our last 20 closed-won and closed-lost deals [paste]. Identify the patterns. Tell me who we should sell to and who we should stop chasing."
2/ Discovery Questions
"Build</t>
  </si>
  <si>
    <t xml:space="preserve">An image displays a notebook with handwritten text detailing 8 out of 10 sales prompts for Claude, an AI assistant. The prompts cover various sales activities like ICP definition, discovery questions, objection responses, and cold email sequences, designed to help founders improve their sales processes.</t>
  </si>
  <si>
    <t xml:space="preserve">sales, prompts, ai, b2b, business, founder, strategy, objection handling</t>
  </si>
  <si>
    <t xml:space="preserve">2025-11-14</t>
  </si>
  <si>
    <t xml:space="preserve">https://www.linkedin.com/feed/update/urn:li:activity:7395155406257332224</t>
  </si>
  <si>
    <t xml:space="preserve">After 5+ years on LinkedIn, I’m happy to announce:</t>
  </si>
  <si>
    <t xml:space="preserve">After 5+ years on LinkedIn, I’m happy to announce:
Cold DMs are finally dying – steal this new strategy ↓
This strategy works exceptionally well if you’re tired of: 
𐄂 Endless LinkedIn pitch DMs
𐄂 Spray and pray cold outreach
𐄂 Cringy “just following up :)” messages
These strategies aren’t just annoying.
It also burns trust with your prospects.
Long before a real conversation even starts.</t>
  </si>
  <si>
    <t xml:space="preserve">https://www.linkedin.com/feed/update/urn:li:activity:7395077394367361024</t>
  </si>
  <si>
    <t xml:space="preserve">2026-02-17</t>
  </si>
  <si>
    <t xml:space="preserve">https://x.com/blvckledge/status/2023652418916135293</t>
  </si>
  <si>
    <t xml:space="preserve">how to make $1m/mo. with ONE hyper-specialized offer</t>
  </si>
  <si>
    <t xml:space="preserve">we hit $1m/mo about 3 months ago and it's been stable since.
but getting there wasn't linear. each phase had completely different problems and required different solutions.
looking back at how we got here, the path breaks into 4 distinct phases.
i mapped out exactly what worked at each stage.
the goal here is to give you a clear picture of what to focus on depending on where you're at right no</t>
  </si>
  <si>
    <t xml:space="preserve">https://t.co/qAydVgNRJe</t>
  </si>
  <si>
    <t xml:space="preserve">https://www.linkedin.com/feed/update/urn:li:activity:7459935411025469441</t>
  </si>
  <si>
    <t xml:space="preserve">10 Marketing Claude Prompts I run across our portfolio companies:</t>
  </si>
  <si>
    <t xml:space="preserve">10 Marketing Claude Prompts I run across our portfolio companies:
Save this. Most marketing doesn't fail because of bad tactics. 
It fails because the message was never clear in the first place.
1/ ICP Messaging
"You're a B2B marketing strategist with 15+ years of experience. Here's a description of my ideal customer [paste]. Write me 5 messaging angles that speak to their actual pain, not the</t>
  </si>
  <si>
    <t xml:space="preserve">The image displays a handwritten "10 Marketing Claude Prompts Cheat Sheet" offering AI prompts for various marketing tasks such as ICP messaging, offer rewriting, and content pillars. A pen rests along the side of the notebook page, enhancing the visual of a practical, ready-to-use resource.</t>
  </si>
  <si>
    <t xml:space="preserve">marketing, prompts, claude ai, content creation, business, entrepreneurship, cheat sheet, b2b marketing</t>
  </si>
  <si>
    <t xml:space="preserve">Saanya Ojha</t>
  </si>
  <si>
    <t xml:space="preserve">@saanyaojha</t>
  </si>
  <si>
    <t xml:space="preserve">https://www.linkedin.com/feed/update/urn:li:activity:7452413251805462528</t>
  </si>
  <si>
    <t xml:space="preserve">Salesforce has spent the last few years unsuccessfully trying to rebrand its way into AI relevance: Einstein → Einstein GPT → Einstein Copilot → Agentforce.</t>
  </si>
  <si>
    <t xml:space="preserve">Salesforce has spent the last few years unsuccessfully trying to rebrand its way into AI relevance: Einstein → Einstein GPT → Einstein Copilot → Agentforce.
This week they finally announced something with an actual POV: Headless 360 - exposing core functionality as APIs, MCP tools, and CLI interfaces so agents can interact directly with Salesforce without ever touching the UI.
One of the definin</t>
  </si>
  <si>
    <t xml:space="preserve">Salesforce announced Headless 360, exposing core functionality via APIs, MCP tools, and CLI to enable agent interaction without UI. The post analyzes implications including SaaS becoming infrastructure, shifts in value from UI to system design, and strategic positioning for Salesforce.</t>
  </si>
  <si>
    <t xml:space="preserve">salesforce, headless 360, api, agents, cli, mcptools, enterprise software, saas</t>
  </si>
  <si>
    <t xml:space="preserve">https://www.linkedin.com/feed/update/urn:li:activity:7396861477669928960</t>
  </si>
  <si>
    <t xml:space="preserve">I turn 31 today. My business made $557,000 last month. But before that, I failed 7 businesses in a row:</t>
  </si>
  <si>
    <t xml:space="preserve">I turn 31 today. My business made $557,000 last month. But before that, I failed 7 businesses in a row:
Here’s what I tried building... 
and why I'm convinced each 'fail' got me closer to a 'win'
1. I started a clothing brand with my friend Thibault Selderslagh.
👎 We barely managed to sell 15 t-shirts. We had to order minimum 400. So we ended up with 385 t-shirts... now collecting dust somewh</t>
  </si>
  <si>
    <t xml:space="preserve">A 31-year-old entrepreneur shares lessons from 7 business failures that ultimately informed their current success. They detail specific skills learned from each venture that contributed to building a profitable company generating $557,000/month, emphasizing resilience and learning through trial-and-error.</t>
  </si>
  <si>
    <t xml:space="preserve">entrepreneurship, business failure, learning from mistakes, resilience, skill development, starting business, business strategy, startup lessons</t>
  </si>
  <si>
    <t xml:space="preserve">Kieran Flanagan</t>
  </si>
  <si>
    <t xml:space="preserve">@kieranjflanagan</t>
  </si>
  <si>
    <t xml:space="preserve">https://www.linkedin.com/feed/update/urn:li:activity:7503076408601100290</t>
  </si>
  <si>
    <t xml:space="preserve">The CMO role is in decline. Some founders I know aren't hiring for it anymore. They're building marketing differently.</t>
  </si>
  <si>
    <t xml:space="preserve">The CMO role is in decline. Some founders I know aren't hiring for it anymore. They're building marketing differently. 
CMO roles in B2B are down 10 percentage points in 12 months.
I’ve talked to some founder friends. They see marketing as growth and brand. They’ve repeatedly hired a leader who fails at one end. Or, more commonly, they can’t find anyone who can spike at both ends. They end up pu</t>
  </si>
  <si>
    <t xml:space="preserve">Kieran Flanagan argues the B2B CMO role is in decline — down 10 percentage points in 12 months — as founders split brand and demand across product and sales. He advises marketers who can do both halves to capitalize, and founders to hold the bar rather than hire the wrong CMO.</t>
  </si>
  <si>
    <t xml:space="preserve">cmo, b2b marketing, marketing leadership, hiring, founders, brand, demand generation, growth</t>
  </si>
  <si>
    <t xml:space="preserve">https://www.linkedin.com/feed/update/urn:li:activity:7419281864298872832</t>
  </si>
  <si>
    <t xml:space="preserve">How most people think client acquisition works:</t>
  </si>
  <si>
    <t xml:space="preserve">How most people think client acquisition works:
• Ask for referrals
• Wait for word of mouth
• Rely on happy clients to send more your way
The logic makes sense, until it doesn’t.
Because here’s the truth:
→ Referrals are inconsistent
→ You can’t control the timing
→ And they rarely come from your dream clients
At best, referrals are a bonus.
At worst, they leave your growth in someone else’s</t>
  </si>
  <si>
    <t xml:space="preserve">referrals plateau service business founder stuck at revenue ceiling; personal brand for founders builds trust shortens sales cycle</t>
  </si>
  <si>
    <t xml:space="preserve">https://www.linkedin.com/feed/update/urn:li:activity:7510246670568181760</t>
  </si>
  <si>
    <t xml:space="preserve">Katz's Deli x Ben Stiller just dropped this banger 🔥</t>
  </si>
  <si>
    <t xml:space="preserve">Katz's Deli x Ben Stiller just dropped this banger 🔥
These guys have been serving pastrami in NY since 1888. 
They’re an iconic institution (I inhale a pastrami on rye every time I visit the city). 
And they just added Stiller’s Soda to their menu.
It’s the first time they’ve added a new drink in decades.
So Katz’s reached out to New York Nico to direct and star in the campaign.
He's the uno</t>
  </si>
  <si>
    <t xml:space="preserve">Keep the news hook mechanic and swap in your own proof. Teach one marketing strategy lesson for founders of 10-50 person boutique firms (US/UK/AU). Ship it as a LinkedIn text/carousel.</t>
  </si>
  <si>
    <t xml:space="preserve">Text post praising Katz's Deli's new campaign with Ben Stiller, directed by New York Nico, as an example of why choosing a locally credible creator makes brand partnerships land harder.</t>
  </si>
  <si>
    <t xml:space="preserve">brand collaboration, creator partnerships, katz's deli, ben stiller, new york nico, campaign breakdown, sponsored content, creator choice</t>
  </si>
  <si>
    <t xml:space="preserve">Higgsfield AI 🧩</t>
  </si>
  <si>
    <t xml:space="preserve">@higgsfield</t>
  </si>
  <si>
    <t xml:space="preserve">https://x.com/higgsfield/status/2061520692756332677</t>
  </si>
  <si>
    <t xml:space="preserve">Claude is now your real estate marketing agency.</t>
  </si>
  <si>
    <t xml:space="preserve">Claude is now your real estate marketing agency.
Analyze listings from Airbnb, Booking, Zillow or Expedia, then build the assets owners never had. 3D tours, a clean site, photos that sell. Pitch the owner and get paid. Higgsfield MCP is the key.
Then scale to the next owner. https://t.co/T8f6acrP7h</t>
  </si>
  <si>
    <t xml:space="preserve">The video demonstrates a digital real estate marketing service interface, showing rental listings, interior previews, and an option to generate full rental marketing kits from property listings.</t>
  </si>
  <si>
    <t xml:space="preserve">real estate marketing, rental listings, digital platform, 3d tours, property photography, business opportunity, airbnb management, zillow integration</t>
  </si>
  <si>
    <t xml:space="preserve">Jason ✨👾SaaStr.Ai✨ Lemkin</t>
  </si>
  <si>
    <t xml:space="preserve">@jasonlk</t>
  </si>
  <si>
    <t xml:space="preserve">2026-08-13</t>
  </si>
  <si>
    <t xml:space="preserve">https://x.com/jasonlk/status/2088013357014241330</t>
  </si>
  <si>
    <t xml:space="preserve">I think every CEO should hire a COO as they begin to scale</t>
  </si>
  <si>
    <t xml:space="preserve">I think every CEO should hire a COO as they begin to scale
The job spec?
To do the things the CEO should be doing, but isn’t getting done.  Or needs to manage / do, but hates to manage / do.</t>
  </si>
  <si>
    <t xml:space="preserve">A CEO shares their opinion that every CEO should hire a COO as they begin to scale, outlining the ideal job spec for a COO to handle tasks the CEO should be doing but isn’t, or needs to manage but dislikes.</t>
  </si>
  <si>
    <t xml:space="preserve">ceo, coo, scaling, hiring, management, business operations, leadership, executive roles</t>
  </si>
  <si>
    <t xml:space="preserve">Hook (first line)</t>
  </si>
  <si>
    <t xml:space="preserve">How To Adapt It (your version)</t>
  </si>
  <si>
    <t xml:space="preserve">Repurpose To</t>
  </si>
  <si>
    <t xml:space="preserve">Offer</t>
  </si>
  <si>
    <t xml:space="preserve">X, LinkedIn</t>
  </si>
  <si>
    <t xml:space="preserve">Both</t>
  </si>
  <si>
    <t xml:space="preserve">Intl DFY</t>
  </si>
  <si>
    <t xml:space="preserve">LinkedIn, X</t>
  </si>
  <si>
    <t xml:space="preserve">India Cohort</t>
  </si>
  <si>
    <t xml:space="preserve">IG reel, LinkedIn</t>
  </si>
  <si>
    <t xml:space="preserve">IG reel, LinkedIn video</t>
  </si>
  <si>
    <t xml:space="preserve">IG reel, LinkedIn carousel</t>
  </si>
  <si>
    <t xml:space="preserve">IG</t>
  </si>
  <si>
    <t xml:space="preserve">X, LinkedIn carousel</t>
  </si>
  <si>
    <t xml:space="preserve">X, IG talking head</t>
  </si>
  <si>
    <t xml:space="preserve">X, LinkedIn text</t>
  </si>
  <si>
    <t xml:space="preserve">X + LinkedIn</t>
  </si>
  <si>
    <t xml:space="preserve">IG talking head, LinkedIn text</t>
  </si>
  <si>
    <t xml:space="preserve">X thread, LinkedIn carousel</t>
  </si>
  <si>
    <t xml:space="preserve">IG reel, X</t>
  </si>
  <si>
    <t xml:space="preserve">IG (Hinglish)</t>
  </si>
  <si>
    <t xml:space="preserve">X, IG screen-record</t>
  </si>
  <si>
    <t xml:space="preserve">Hidden Gems: ≤30k followers, ≥5x their own baseline, ICP fit ≥3, no anomalous baselines, no aspirant audiences</t>
  </si>
  <si>
    <t xml:space="preserve">Lang</t>
  </si>
  <si>
    <t xml:space="preserve">ICP Fit</t>
  </si>
  <si>
    <t xml:space="preserve">Cluster</t>
  </si>
  <si>
    <t xml:space="preserve">CTA</t>
  </si>
  <si>
    <t xml:space="preserve">Instagram Reels outliers (vidIQ): posted Apr-Oct 2026, 5k-100k followers, ≥2x creator median views. Includes off-niche rows tagged by ICP Fit; filter Fit ≥4 for your niche.</t>
  </si>
  <si>
    <t xml:space="preserve">Median Views</t>
  </si>
  <si>
    <t xml:space="preserve">Region / Audience</t>
  </si>
  <si>
    <t xml:space="preserve">Hook: On-Screen Text</t>
  </si>
  <si>
    <t xml:space="preserve">Hook: Visual (0-3s)</t>
  </si>
  <si>
    <t xml:space="preserve">Hook: Audio</t>
  </si>
  <si>
    <t xml:space="preserve">Concept</t>
  </si>
  <si>
    <t xml:space="preserve">Format Style</t>
  </si>
  <si>
    <t xml:space="preserve">Template</t>
  </si>
  <si>
    <t xml:space="preserve">Pacing</t>
  </si>
  <si>
    <t xml:space="preserve">Text Overlays</t>
  </si>
  <si>
    <t xml:space="preserve">Production Effort</t>
  </si>
  <si>
    <t xml:space="preserve">Duration (s)</t>
  </si>
  <si>
    <t xml:space="preserve">Found Via</t>
  </si>
  <si>
    <t xml:space="preserve">English-speaking business community (US/Global).</t>
  </si>
  <si>
    <t xml:space="preserve">Title card '26M Dollar Closer Vs Kid' followed by an immediate cut to a screen-recorded cold call.</t>
  </si>
  <si>
    <t xml:space="preserve">Start of a recorded phone call/conversation.</t>
  </si>
  <si>
    <t xml:space="preserve">Split screen (creator providing commentary over external footage).</t>
  </si>
  <si>
    <t xml:space="preserve">An expert provides real-time analysis of a recorded interaction by pausing the footage at key moments. The commentary highlights the effective strategies used by one participant and explains their psychological impact on the other participant.</t>
  </si>
  <si>
    <t xml:space="preserve">Moderate</t>
  </si>
  <si>
    <t xml:space="preserve">Guiding text</t>
  </si>
  <si>
    <t xml:space="preserve">within an hour</t>
  </si>
  <si>
    <t xml:space="preserve">United States</t>
  </si>
  <si>
    <t xml:space="preserve">A brief clip of Gary Vaynerchuk speaking before cutting to the creator.</t>
  </si>
  <si>
    <t xml:space="preserve">Audio snippet of Gary Vaynerchuk speaking, cut by the creator's voice.</t>
  </si>
  <si>
    <t xml:space="preserve">split screen (creator + screen recording)</t>
  </si>
  <si>
    <t xml:space="preserve">screen-recording software walkthrough</t>
  </si>
  <si>
    <t xml:space="preserve">Fast</t>
  </si>
  <si>
    <t xml:space="preserve">Static text</t>
  </si>
  <si>
    <t xml:space="preserve">within a day</t>
  </si>
  <si>
    <t xml:space="preserve">North America/Global English speaking</t>
  </si>
  <si>
    <t xml:space="preserve">Split-screen setup featuring a high-profile influencer video on top and the creator on the bottom.</t>
  </si>
  <si>
    <t xml:space="preserve">Immediate speaking from the influencer clip being reacted to.</t>
  </si>
  <si>
    <t xml:space="preserve">Split screen reaction transitioning into solo talking head</t>
  </si>
  <si>
    <t xml:space="preserve">expert reaction and commentary</t>
  </si>
  <si>
    <t xml:space="preserve">Western (English-speaking)</t>
  </si>
  <si>
    <t xml:space="preserve">Static camera shot of a busy commercial kitchen with staff working.</t>
  </si>
  <si>
    <t xml:space="preserve">Ambient background music starts immediately.</t>
  </si>
  <si>
    <t xml:space="preserve">Static background b-roll with text overlay</t>
  </si>
  <si>
    <t xml:space="preserve">b-roll with text overlay</t>
  </si>
  <si>
    <t xml:space="preserve">Slow</t>
  </si>
  <si>
    <t xml:space="preserve">North America</t>
  </si>
  <si>
    <t xml:space="preserve">A medium shot of a man in a baseball cap speaking directly to the camera, gesturing with his hands.</t>
  </si>
  <si>
    <t xml:space="preserve">Immediate speaking voice</t>
  </si>
  <si>
    <t xml:space="preserve">Talking head, caption-driven</t>
  </si>
  <si>
    <t xml:space="preserve">spoken advice with text overlay</t>
  </si>
  <si>
    <t xml:space="preserve">Dynamic captions</t>
  </si>
  <si>
    <t xml:space="preserve">North America/Global Business English</t>
  </si>
  <si>
    <t xml:space="preserve">Sudden movement of the speaker talking directly to the camera, quickly followed by a cut to him explaining a process.</t>
  </si>
  <si>
    <t xml:space="preserve">Immediate speaking with a confident, authoritative tone.</t>
  </si>
  <si>
    <t xml:space="preserve">Split screen (creator + screen recording/B-roll)</t>
  </si>
  <si>
    <t xml:space="preserve">split screen software tutorial</t>
  </si>
  <si>
    <t xml:space="preserve">North American / English-speaking business community</t>
  </si>
  <si>
    <t xml:space="preserve">A first-person view (POV) of a professional leaf blower creating a large pile of leaves on a lawn.</t>
  </si>
  <si>
    <t xml:space="preserve">The loud, raw mechanical sound of the leaf blower engine.</t>
  </si>
  <si>
    <t xml:space="preserve">B-roll over voiceover leading into a talking head segment.</t>
  </si>
  <si>
    <t xml:space="preserve">The video uses a 'Comparative Analogy' structure. It begins with high-action, relevant b-roll paired with on-screen text identifying the subject. It then transitions to a talking head expert who interprets the visual analogy into an actionable business lesson, ending with a direct engagement prompt.</t>
  </si>
  <si>
    <t xml:space="preserve">United States/Western business community.</t>
  </si>
  <si>
    <t xml:space="preserve">A split screen showing a heated argument from a movie on top and the creator's face on bottom.</t>
  </si>
  <si>
    <t xml:space="preserve">A loud, aggressive voice saying 'Are you fucking kidding me?'</t>
  </si>
  <si>
    <t xml:space="preserve">screen recording with talking head</t>
  </si>
  <si>
    <t xml:space="preserve">Global English-speaking audience interested in entrepreneurship.</t>
  </si>
  <si>
    <t xml:space="preserve">Fast-paced montage of shipping bags and a long receipt.</t>
  </si>
  <si>
    <t xml:space="preserve">Immediate, direct speaking to the camera.</t>
  </si>
  <si>
    <t xml:space="preserve">Talking head with split screen and overlaid visual aids</t>
  </si>
  <si>
    <t xml:space="preserve">instructional talking head with visual aids</t>
  </si>
  <si>
    <t xml:space="preserve">Global/Western English-speaking professional community</t>
  </si>
  <si>
    <t xml:space="preserve">Alec Baldwin speaking aggressively on camera, cut directly from a famous movie scene.</t>
  </si>
  <si>
    <t xml:space="preserve">Immediate dialogue from the film starting with the phrase 'You can't close'.</t>
  </si>
  <si>
    <t xml:space="preserve">movie clip</t>
  </si>
  <si>
    <t xml:space="preserve">movie scene with text overlay</t>
  </si>
  <si>
    <t xml:space="preserve">Western business/corporate culture, English-speaking audience.</t>
  </si>
  <si>
    <t xml:space="preserve">Static shot of a man at a desk, text appears immediately.</t>
  </si>
  <si>
    <t xml:space="preserve">A popular, high-energy phonk-style track starts playing immediately.</t>
  </si>
  <si>
    <t xml:space="preserve">talking head with dynamic text overlays</t>
  </si>
  <si>
    <t xml:space="preserve">talking head with text overlays</t>
  </si>
  <si>
    <t xml:space="preserve">India, Hindi-speaking community</t>
  </si>
  <si>
    <t xml:space="preserve">A laptop screen displaying an email inbox.</t>
  </si>
  <si>
    <t xml:space="preserve">Immediate Hindi voiceover narration describing sending emails.</t>
  </si>
  <si>
    <t xml:space="preserve">B-roll over voiceover</t>
  </si>
  <si>
    <t xml:space="preserve">voiceover narration over b-roll montage</t>
  </si>
  <si>
    <t xml:space="preserve">North America/Global Business English Speakers</t>
  </si>
  <si>
    <t xml:space="preserve">A medium shot of a woman in a green dress holding a microphone, speaking directly to the camera.</t>
  </si>
  <si>
    <t xml:space="preserve">Immediate, clear, professional voiceover-style speech from the subject.</t>
  </si>
  <si>
    <t xml:space="preserve">On-camera interview</t>
  </si>
  <si>
    <t xml:space="preserve">on-camera expert monologue with captions</t>
  </si>
  <si>
    <t xml:space="preserve">English-speaking business professional community (Global)</t>
  </si>
  <si>
    <t xml:space="preserve">A dark red background with centered text appearing instantly.</t>
  </si>
  <si>
    <t xml:space="preserve">A rhythmic, upbeat electronic background track begins immediately.</t>
  </si>
  <si>
    <t xml:space="preserve">Faceless text-on-screen</t>
  </si>
  <si>
    <t xml:space="preserve">listicle text overlay with background loop</t>
  </si>
  <si>
    <t xml:space="preserve">English-speaking professional/business community</t>
  </si>
  <si>
    <t xml:space="preserve">Creator looking directly at the camera, talking.</t>
  </si>
  <si>
    <t xml:space="preserve">Immediate speaking.</t>
  </si>
  <si>
    <t xml:space="preserve">talking head</t>
  </si>
  <si>
    <t xml:space="preserve">on-camera expert advice</t>
  </si>
  <si>
    <t xml:space="preserve">India</t>
  </si>
  <si>
    <t xml:space="preserve">A person sitting in a car, looking directly into the camera with an engaging facial expression.</t>
  </si>
  <si>
    <t xml:space="preserve">The creator starts speaking immediately about their earnings and struggles.</t>
  </si>
  <si>
    <t xml:space="preserve">single-shot talking head</t>
  </si>
  <si>
    <t xml:space="preserve">talking head with overlay proof</t>
  </si>
  <si>
    <t xml:space="preserve">India (Hindi-speaking)</t>
  </si>
  <si>
    <t xml:space="preserve">A man sits at a desk, looking directly at the camera with a hand gesture, then a paper with '10 lakh se 50 lakh' appears.</t>
  </si>
  <si>
    <t xml:space="preserve">Immediate conversational speaking by the creator.</t>
  </si>
  <si>
    <t xml:space="preserve">Single-shot talking head</t>
  </si>
  <si>
    <t xml:space="preserve">Global/North American professional</t>
  </si>
  <si>
    <t xml:space="preserve">Mixed-media (vlog-style opening + screen recording montage)</t>
  </si>
  <si>
    <t xml:space="preserve">educational screen-capture listicle</t>
  </si>
  <si>
    <t xml:space="preserve">Global English-speaking business community</t>
  </si>
  <si>
    <t xml:space="preserve">A person talking on a webcam, accompanied by a large, static text overlay.</t>
  </si>
  <si>
    <t xml:space="preserve">Immediate conversational speech.</t>
  </si>
  <si>
    <t xml:space="preserve">Screen recording of a video call</t>
  </si>
  <si>
    <t xml:space="preserve">recorded video call excerpt</t>
  </si>
  <si>
    <t xml:space="preserve">A talking head of the creator looking directly at the camera with a text overlay appearing.</t>
  </si>
  <si>
    <t xml:space="preserve">Direct speaking starts immediately.</t>
  </si>
  <si>
    <t xml:space="preserve">talking head with key points text</t>
  </si>
  <si>
    <t xml:space="preserve">North America/English speaking professional business community.</t>
  </si>
  <si>
    <t xml:space="preserve">A split-screen view showing two men in a video call. The top screen features the primary speaker in a living room, while the bottom shows both speakers in a Zoom-style interface.</t>
  </si>
  <si>
    <t xml:space="preserve">Immediate conversational dialogue starting with 'Yeah, I mean...'</t>
  </si>
  <si>
    <t xml:space="preserve">Split-screen video call/Zoom recording.</t>
  </si>
  <si>
    <t xml:space="preserve">recorded video call dialogue</t>
  </si>
  <si>
    <t xml:space="preserve">North American/Global English-speaking business community</t>
  </si>
  <si>
    <t xml:space="preserve">Starts with a split screen: a top image of a handwritten whiteboard framework and a bottom video of another creator (Alex Hormozi) speaking, transitioning to the main creator speaking.</t>
  </si>
  <si>
    <t xml:space="preserve">Immediately begins with audio from a clip of another creator (Alex Hormozi) speaking, followed by the main creator's voiceover.</t>
  </si>
  <si>
    <t xml:space="preserve">split screen (creator + b-roll) and talking head</t>
  </si>
  <si>
    <t xml:space="preserve">curated expert summary with talking head</t>
  </si>
  <si>
    <t xml:space="preserve">English-speaking marketing/business professionals, likely North American.</t>
  </si>
  <si>
    <t xml:space="preserve">A split-screen view: the creator talking on top, screen recording of Facebook Ad Manager below.</t>
  </si>
  <si>
    <t xml:space="preserve">Immediate speaking, direct to camera.</t>
  </si>
  <si>
    <t xml:space="preserve">tutorial screen share with host</t>
  </si>
  <si>
    <t xml:space="preserve">Global/Western business professional community, English-speaking.</t>
  </si>
  <si>
    <t xml:space="preserve">Fast-paced montage of a man (the subject) appearing in different high-end locations.</t>
  </si>
  <si>
    <t xml:space="preserve">Upbeat, rhythmic music track that matches the movement, combined with the creator's voiceover.</t>
  </si>
  <si>
    <t xml:space="preserve">split screen (creator + b-roll)</t>
  </si>
  <si>
    <t xml:space="preserve">case study voiceover with b-roll</t>
  </si>
  <si>
    <t xml:space="preserve">Fast (heavy edits)</t>
  </si>
  <si>
    <t xml:space="preserve">North American professional / English speaking</t>
  </si>
  <si>
    <t xml:space="preserve">Static camera shot of the speaker, with prominent white text overlay appearing immediately.</t>
  </si>
  <si>
    <t xml:space="preserve">Immediate, clear speech from the speaker addressing the viewer.</t>
  </si>
  <si>
    <t xml:space="preserve">on-camera interview with text overlay</t>
  </si>
  <si>
    <t xml:space="preserve">Western/North American, English-speaking professional/entrepreneurial community.</t>
  </si>
  <si>
    <t xml:space="preserve">Talking head shot of creator with text appearing immediately.</t>
  </si>
  <si>
    <t xml:space="preserve">Immediate speaking with calm, instructional tone.</t>
  </si>
  <si>
    <t xml:space="preserve">talking head with intermittent on-screen screen recording overlays</t>
  </si>
  <si>
    <t xml:space="preserve">educational framework breakdown with screen overlays</t>
  </si>
  <si>
    <t xml:space="preserve">North American</t>
  </si>
  <si>
    <t xml:space="preserve">The creator is centered in front of a background collage of plumbing-related stock imagery.</t>
  </si>
  <si>
    <t xml:space="preserve">Immediate speaking: 'If my family owned a plumbing business, this is exactly how I'd run our social media.'</t>
  </si>
  <si>
    <t xml:space="preserve">Talking head with visual overlays</t>
  </si>
  <si>
    <t xml:space="preserve">expert commentary with background visual overlays</t>
  </si>
  <si>
    <t xml:space="preserve">North American / English-speaking professional business demographic</t>
  </si>
  <si>
    <t xml:space="preserve">Static talking head shot with the creator looking directly into the camera.</t>
  </si>
  <si>
    <t xml:space="preserve">Immediate speaking; the creator starts talking right at the beginning.</t>
  </si>
  <si>
    <t xml:space="preserve">talking head with text overlay</t>
  </si>
  <si>
    <t xml:space="preserve">Western/US English speaking</t>
  </si>
  <si>
    <t xml:space="preserve">Split screen layout with creator on top and teaching video on bottom with a clear headline.</t>
  </si>
  <si>
    <t xml:space="preserve">Immediate conversational tone explaining the sales concept.</t>
  </si>
  <si>
    <t xml:space="preserve">Split screen reaction</t>
  </si>
  <si>
    <t xml:space="preserve">split screen educational reaction</t>
  </si>
  <si>
    <t xml:space="preserve">North America/English-speaking business community.</t>
  </si>
  <si>
    <t xml:space="preserve">A man in a shirt and tie sitting at a desk with a 'Sell Hungry' neon sign in the background, looking directly at the camera.</t>
  </si>
  <si>
    <t xml:space="preserve">Immediate speaking in a professional, assertive tone.</t>
  </si>
  <si>
    <t xml:space="preserve">scripted roleplay with text overlay</t>
  </si>
  <si>
    <t xml:space="preserve">India (English-speaking, young professional demographic)</t>
  </si>
  <si>
    <t xml:space="preserve">Creator looking directly at the camera with text overlay.</t>
  </si>
  <si>
    <t xml:space="preserve">Rap music starts playing immediately (Gangsta's Paradise cover).</t>
  </si>
  <si>
    <t xml:space="preserve">Split screen (talking head intro + screen recording proof)</t>
  </si>
  <si>
    <t xml:space="preserve">talking head into screen recorded proof</t>
  </si>
  <si>
    <t xml:space="preserve">English-speaking entrepreneur community (Global)</t>
  </si>
  <si>
    <t xml:space="preserve">A person typing on a mechanical keyboard at a computer desk in a dark room.</t>
  </si>
  <si>
    <t xml:space="preserve">A rhythmic, upbeat pop music track starts immediately.</t>
  </si>
  <si>
    <t xml:space="preserve">Screen recording with text overlays</t>
  </si>
  <si>
    <t xml:space="preserve">screen capture with text walkthrough</t>
  </si>
  <si>
    <t xml:space="preserve">Global/English-speaking business community</t>
  </si>
  <si>
    <t xml:space="preserve">A screenshot of an Instagram DM conversation overlayed on top of the creator speaking to the camera.</t>
  </si>
  <si>
    <t xml:space="preserve">Immediate speaking/delivery of the hook.</t>
  </si>
  <si>
    <t xml:space="preserve">talking head with overlay graphics</t>
  </si>
  <si>
    <t xml:space="preserve">talking head with screen overlay</t>
  </si>
  <si>
    <t xml:space="preserve">India (Hindi-speaking community)</t>
  </si>
  <si>
    <t xml:space="preserve">Static shot of the creator sitting at a desk.</t>
  </si>
  <si>
    <t xml:space="preserve">Immediate speaking in a direct tone.</t>
  </si>
  <si>
    <t xml:space="preserve">talking head with key takeaway captions</t>
  </si>
  <si>
    <t xml:space="preserve">English-speaking business community (Global/North American)</t>
  </si>
  <si>
    <t xml:space="preserve">Static screen recording of a CRM automation workflow builder.</t>
  </si>
  <si>
    <t xml:space="preserve">Upbeat, repetitive background music track starting immediately.</t>
  </si>
  <si>
    <t xml:space="preserve">Screen recording</t>
  </si>
  <si>
    <t xml:space="preserve">software workflow showcase with text overlay</t>
  </si>
  <si>
    <t xml:space="preserve">North America / Global Business English community</t>
  </si>
  <si>
    <t xml:space="preserve">Static shot of the creator sitting in a living room, talking directly to the camera.</t>
  </si>
  <si>
    <t xml:space="preserve">Immediate speaking, starting with 'I am about to share with you...'</t>
  </si>
  <si>
    <t xml:space="preserve">Single-shot talking head interspersed with full-screen text-message mockups.</t>
  </si>
  <si>
    <t xml:space="preserve">tutorial with screen-overlay examples</t>
  </si>
  <si>
    <t xml:space="preserve">North America/Global English speaking marketing community.</t>
  </si>
  <si>
    <t xml:space="preserve">A split screen showing a mood board grid on top and the founder talking directly to camera on bottom.</t>
  </si>
  <si>
    <t xml:space="preserve">Immediate speaking by the founder.</t>
  </si>
  <si>
    <t xml:space="preserve">Split screen (talking head + screen recording)</t>
  </si>
  <si>
    <t xml:space="preserve">founder commentary over screen recorded grid</t>
  </si>
  <si>
    <t xml:space="preserve">South Asia (specifically Urdu/Hindi speaking regions, likely Pakistan or India)</t>
  </si>
  <si>
    <t xml:space="preserve">A young man looking directly at the camera, holding a small lapel microphone.</t>
  </si>
  <si>
    <t xml:space="preserve">Immediate spoken dialogue starting mid-sentence.</t>
  </si>
  <si>
    <t xml:space="preserve">Western/Global English-speaking business community</t>
  </si>
  <si>
    <t xml:space="preserve">A sudden cut from a blank screen to a hand holding a vintage phone behind red curtains.</t>
  </si>
  <si>
    <t xml:space="preserve">Dramatic, cinematic ambient sound swell.</t>
  </si>
  <si>
    <t xml:space="preserve">B-roll over text-on-screen</t>
  </si>
  <si>
    <t xml:space="preserve">text-overlay cinematic montage</t>
  </si>
  <si>
    <t xml:space="preserve">Close-up of a man speaking directly into a microphone with dynamic facial expressions.</t>
  </si>
  <si>
    <t xml:space="preserve">Direct, engaging speech starting immediately in Hindi.</t>
  </si>
  <si>
    <t xml:space="preserve">Talking head intro followed by screen recording tutorial.</t>
  </si>
  <si>
    <t xml:space="preserve">A creator pitches a tool to solve a specific pain point in an intro, then executes a screen-recorded tutorial demonstrating the workflow. The video concludes by asking for comments to receive a link, reinforcing the original hook.</t>
  </si>
  <si>
    <t xml:space="preserve">@dhruvpraveenn</t>
  </si>
  <si>
    <t xml:space="preserve">A creator explains a business model involving importing cheap products from Chinese websites to sell in India, using meme cutaways to maintain engagement.</t>
  </si>
  <si>
    <t xml:space="preserve">Talking head with meme cutaways</t>
  </si>
  <si>
    <t xml:space="preserve">talking head with meme cutaways</t>
  </si>
  <si>
    <t xml:space="preserve">https://www.instagram.com/reel/Dcsr0stohJb/</t>
  </si>
  <si>
    <t xml:space="preserve">@shubhmm_9</t>
  </si>
  <si>
    <t xml:space="preserve">India (due to references like 'Rs.500 legal notice' and 'MSME Samadhan portal')</t>
  </si>
  <si>
    <t xml:space="preserve">If client is not paying, don't call - send a final email with invoice and 3-day deadline...</t>
  </si>
  <si>
    <t xml:space="preserve">A static text-heavy graphic appears immediately.</t>
  </si>
  <si>
    <t xml:space="preserve">A rhythmic, high-energy background music track starts immediately.</t>
  </si>
  <si>
    <t xml:space="preserve">The creator provides actionable legal and procedural advice on how to handle non-paying clients specifically within the Indian legal context.</t>
  </si>
  <si>
    <t xml:space="preserve">A static, text-heavy instructional slide displays a problem-solution sequence. The viewer reads a step-by-step procedure presented as a single paragraph, designed for rapid information consumption and repeated reading.</t>
  </si>
  <si>
    <t xml:space="preserve">Raw/Unedited</t>
  </si>
  <si>
    <t xml:space="preserve">https://www.instagram.com/reel/Dd-nhdoMBoB/</t>
  </si>
  <si>
    <t xml:space="preserve">@josh_jerge</t>
  </si>
  <si>
    <t xml:space="preserve">North American/Western Business culture</t>
  </si>
  <si>
    <t xml:space="preserve">Cold calling</t>
  </si>
  <si>
    <t xml:space="preserve">A man is sitting in a chair, looking directly at the camera with on-screen text popping up.</t>
  </si>
  <si>
    <t xml:space="preserve">Immediate speaking with background music.</t>
  </si>
  <si>
    <t xml:space="preserve">An entrepreneur sits in a chair and rates common business strategies as 'underrated' or 'overrated' while providing a specific anecdote about the origin of Salesforce to illustrate a point.</t>
  </si>
  <si>
    <t xml:space="preserve">single-shot talking head with text overlays</t>
  </si>
  <si>
    <t xml:space="preserve">live-action talking head with listicles</t>
  </si>
  <si>
    <t xml:space="preserve">https://www.instagram.com/reel/DbTB3wQgppY/</t>
  </si>
  <si>
    <t xml:space="preserve">North American/English-speaking business audiences.</t>
  </si>
  <si>
    <t xml:space="preserve">A split screen showing two boxer shorts, one with an American Eagle flag print and one plain gray, as the speaker points to them.</t>
  </si>
  <si>
    <t xml:space="preserve">Immediate speaking with an enthusiastic tone, asking the audience to vote.</t>
  </si>
  <si>
    <t xml:space="preserve">Speaker on stage presenting to an audience</t>
  </si>
  <si>
    <t xml:space="preserve">A speaker presents a binary 'guess the result' choice based on visual examples to an audience. He then reveals the surprising answer, followed by a brief explanation of the underlying psychological principle or strategic reasoning to drive home a broader lesson.</t>
  </si>
  <si>
    <t xml:space="preserve">English-speaking, tech-savvy business professionals.</t>
  </si>
  <si>
    <t xml:space="preserve">A person looking at the camera with an annoyed expression, then quick transition to a laptop screen.</t>
  </si>
  <si>
    <t xml:space="preserve">A rhythmic upbeat electronic track begins playing immediately.</t>
  </si>
  <si>
    <t xml:space="preserve">POV / Screen Recording</t>
  </si>
  <si>
    <t xml:space="preserve">step-by-step screen tutorial with pointer</t>
  </si>
  <si>
    <t xml:space="preserve">North America/Global English-speaking Business community</t>
  </si>
  <si>
    <t xml:space="preserve">A split-screen view shows two different video calls.</t>
  </si>
  <si>
    <t xml:space="preserve">Immediate dialogue begins with a salesperson asking about pricing.</t>
  </si>
  <si>
    <t xml:space="preserve">recorded roleplay with voiceover commentary</t>
  </si>
  <si>
    <t xml:space="preserve">@raju_desk</t>
  </si>
  <si>
    <t xml:space="preserve">India (Hindi speaking region)</t>
  </si>
  <si>
    <t xml:space="preserve">₹10 लाख का लोन लो और वापस करो सिर्फ ₹6.5 लाख</t>
  </si>
  <si>
    <t xml:space="preserve">A split-screen featuring a news-style video of the Prime Minister at the top, and a person holding a gold-colored prop at the bottom.</t>
  </si>
  <si>
    <t xml:space="preserve">A fast-paced, high-energy voiceover stating 'The government is shouting...' in Hindi.</t>
  </si>
  <si>
    <t xml:space="preserve">The video explains how to apply for the Indian government's PMEGP loan scheme, emphasizing the subsidy benefits.</t>
  </si>
  <si>
    <t xml:space="preserve">Talking head with green screen/overlay</t>
  </si>
  <si>
    <t xml:space="preserve">talking head with screen recording overlay</t>
  </si>
  <si>
    <t xml:space="preserve">https://www.instagram.com/reel/DbvYo5hP02-/</t>
  </si>
  <si>
    <t xml:space="preserve">Western English-speaking (likely US/Canada/UK)</t>
  </si>
  <si>
    <t xml:space="preserve">The creator is seen working at a desk in a dark room, establishing a focused, productive atmosphere.</t>
  </si>
  <si>
    <t xml:space="preserve">A rhythmic, ambient lofi hip-hop beat begins immediately.</t>
  </si>
  <si>
    <t xml:space="preserve">Static shot with text overlays</t>
  </si>
  <si>
    <t xml:space="preserve">listicle with on-screen text overlays</t>
  </si>
  <si>
    <t xml:space="preserve">@aryanguptaa22</t>
  </si>
  <si>
    <t xml:space="preserve">MARKETING CONCEPTS</t>
  </si>
  <si>
    <t xml:space="preserve">A quick cut from an overloaded truck driving across a landscape to an animated cow with sunglasses, followed by the creator pointing at the screen.</t>
  </si>
  <si>
    <t xml:space="preserve">Upbeat, energetic electronic background music with the creator speaking immediately.</t>
  </si>
  <si>
    <t xml:space="preserve">A creator rapidly introduces various marketing theories and concepts by showing static images on the top half of the screen while explaining them in Hindi.</t>
  </si>
  <si>
    <t xml:space="preserve">Split screen (creator + image/graphic slides)</t>
  </si>
  <si>
    <t xml:space="preserve">split-screen educational rapid-fire slide deck</t>
  </si>
  <si>
    <t xml:space="preserve">https://www.instagram.com/reel/Db2z_8uBAfN/</t>
  </si>
  <si>
    <t xml:space="preserve">@jacobnreese</t>
  </si>
  <si>
    <t xml:space="preserve">This One Text Kept His Best Employees For Years</t>
  </si>
  <si>
    <t xml:space="preserve">A man in a black baseball cap gesturing with his hands while speaking.</t>
  </si>
  <si>
    <t xml:space="preserve">Immediate speaking; the man says 'I had GPS on my trucks.'</t>
  </si>
  <si>
    <t xml:space="preserve">A business owner explains how a simple text message acknowledging his employees' sacrifices helped him build deep loyalty and retention.</t>
  </si>
  <si>
    <t xml:space="preserve">Podcast clip / Talking head</t>
  </si>
  <si>
    <t xml:space="preserve">This is a podcast highlight featuring a personal leadership story. A primary speaker narrates a specific management action, followed by a secondary speaker abstracting the moral principle of the story.</t>
  </si>
  <si>
    <t xml:space="preserve">https://www.instagram.com/reel/DdM6Cb5Izm_/</t>
  </si>
  <si>
    <t xml:space="preserve">@couchwoman</t>
  </si>
  <si>
    <t xml:space="preserve">Western business culture, primarily US.</t>
  </si>
  <si>
    <t xml:space="preserve">nobody buys a food they've never tasted</t>
  </si>
  <si>
    <t xml:space="preserve">A close-up shot of the creator looking directly at the camera while holding wired earbuds.</t>
  </si>
  <si>
    <t xml:space="preserve">Immediate, clear voiceover delivering a strong, relatable hook.</t>
  </si>
  <si>
    <t xml:space="preserve">A founder explains how she leveraged an AI tool to scale her B2B marketing strategy through automated cold outreach.</t>
  </si>
  <si>
    <t xml:space="preserve">Talking head combined with screen recordings.</t>
  </si>
  <si>
    <t xml:space="preserve">breakdown of work process</t>
  </si>
  <si>
    <t xml:space="preserve">https://www.instagram.com/reel/Dba9mtoNCkx/</t>
  </si>
  <si>
    <t xml:space="preserve">@punamashishchopraa</t>
  </si>
  <si>
    <t xml:space="preserve">सुनने में कड़वा है par यही सच्चाई है कि तुम</t>
  </si>
  <si>
    <t xml:space="preserve">A close-up of a woman speaking directly to the camera while holding a pen.</t>
  </si>
  <si>
    <t xml:space="preserve">Immediate, clear voiceover speaking directly to the viewer.</t>
  </si>
  <si>
    <t xml:space="preserve">A business owner explains why 'doing everything yourself' is limiting growth and advises transitioning from being a worker to a system builder.</t>
  </si>
  <si>
    <t xml:space="preserve">on-camera expert advice talk</t>
  </si>
  <si>
    <t xml:space="preserve">https://www.instagram.com/reel/DaFADRqhg61/</t>
  </si>
  <si>
    <t xml:space="preserve">@coachebun_</t>
  </si>
  <si>
    <t xml:space="preserve">English-speaking global business community</t>
  </si>
  <si>
    <t xml:space="preserve">Step 5—Facebook Ads. Part 2 How to get consistent daily sales</t>
  </si>
  <si>
    <t xml:space="preserve">Creator is talking directly to the camera with text overlays appearing on screen.</t>
  </si>
  <si>
    <t xml:space="preserve">Immediate speaking</t>
  </si>
  <si>
    <t xml:space="preserve">A tutorial explaining how to use Facebook Ads to achieve consistent daily sales for an online business.</t>
  </si>
  <si>
    <t xml:space="preserve">talking head with screen recording</t>
  </si>
  <si>
    <t xml:space="preserve">narrated screen recording walkthrough</t>
  </si>
  <si>
    <t xml:space="preserve">https://www.instagram.com/reel/DbZ6M1POQd8/</t>
  </si>
  <si>
    <t xml:space="preserve">@collegebhaiya</t>
  </si>
  <si>
    <t xml:space="preserve">Samay Raina's Business Strategy🔥</t>
  </si>
  <si>
    <t xml:space="preserve">A split screen showing a show segment on top and a talking head on the bottom.</t>
  </si>
  <si>
    <t xml:space="preserve">Immediate energetic voiceover speaking.</t>
  </si>
  <si>
    <t xml:space="preserve">A creator explains the business model behind the show 'India's Got Latent' and how its creator leverages talent to build a profitable agency.</t>
  </si>
  <si>
    <t xml:space="preserve">Split screen (creator + b-roll) with talking head</t>
  </si>
  <si>
    <t xml:space="preserve">commentary with split screen b-roll</t>
  </si>
  <si>
    <t xml:space="preserve">https://www.instagram.com/reel/Db0wqFCR5CY/</t>
  </si>
  <si>
    <t xml:space="preserve">@noahh.white</t>
  </si>
  <si>
    <t xml:space="preserve">North America/Global English-speaking business community.</t>
  </si>
  <si>
    <t xml:space="preserve">Every founder should post these 10 things: (Save for later)</t>
  </si>
  <si>
    <t xml:space="preserve">A young man looking directly into the camera speaking, accompanied by an on-screen title text.</t>
  </si>
  <si>
    <t xml:space="preserve">Immediate spoken voice.</t>
  </si>
  <si>
    <t xml:space="preserve">A creator lists ten specific content ideas that founders should post to build their personal brand.</t>
  </si>
  <si>
    <t xml:space="preserve">rapid-fire listicle talking head</t>
  </si>
  <si>
    <t xml:space="preserve">https://www.instagram.com/reel/DbGwmecqr-l/</t>
  </si>
  <si>
    <t xml:space="preserve">@cagaganscbareja</t>
  </si>
  <si>
    <t xml:space="preserve">MSME HAI? YE 7 REGISTRATIONS JAANIYE!</t>
  </si>
  <si>
    <t xml:space="preserve">Creator is sitting in a car talking directly to the camera.</t>
  </si>
  <si>
    <t xml:space="preserve">Immediate speaking; the creator asks a question about having MSME registration.</t>
  </si>
  <si>
    <t xml:space="preserve">The video explains seven essential government registrations for MSME business owners to maximize benefits.</t>
  </si>
  <si>
    <t xml:space="preserve">Talking head</t>
  </si>
  <si>
    <t xml:space="preserve">talking head with dynamic captions</t>
  </si>
  <si>
    <t xml:space="preserve">https://www.instagram.com/reel/Db5pAbKzcjZ/</t>
  </si>
  <si>
    <t xml:space="preserve">@coupleofcrackups</t>
  </si>
  <si>
    <t xml:space="preserve">India (specifically corporate/freelance workers)</t>
  </si>
  <si>
    <t xml:space="preserve">Freedom fighters watching me working on Aug 15th for U.S 🇺🇸 &amp; U.K 🇬🇧 clients for double pay</t>
  </si>
  <si>
    <t xml:space="preserve">A static shot of the creator working on a laptop, with a green-screened background of historical Indian freedom fighters looking down at him.</t>
  </si>
  <si>
    <t xml:space="preserve">A patriotic Hindi song plays immediately.</t>
  </si>
  <si>
    <t xml:space="preserve">A creator jokes about working for international clients on India's Independence Day while being watched by historical figures.</t>
  </si>
  <si>
    <t xml:space="preserve">Green screen overlay</t>
  </si>
  <si>
    <t xml:space="preserve">green screen text-based irony</t>
  </si>
  <si>
    <t xml:space="preserve">https://www.instagram.com/reel/Db7r2S2hEaF/</t>
  </si>
  <si>
    <t xml:space="preserve">@realcreditmichael</t>
  </si>
  <si>
    <t xml:space="preserve">If I wanted to go somewhere like Japan</t>
  </si>
  <si>
    <t xml:space="preserve">Fast transition from creator's face to a map graphic of Tokyo.</t>
  </si>
  <si>
    <t xml:space="preserve">Immediate conversational speaking start.</t>
  </si>
  <si>
    <t xml:space="preserve">The creator demonstrates a 'travel hack' using a specific rewards platform to book hotels in order to earn enough points for free flights.</t>
  </si>
  <si>
    <t xml:space="preserve">Talking head with screen recording overlays</t>
  </si>
  <si>
    <t xml:space="preserve">talking head with screen-recorded walkthrough</t>
  </si>
  <si>
    <t xml:space="preserve">https://www.instagram.com/reel/Dbvp84OT0fl/</t>
  </si>
  <si>
    <t xml:space="preserve">@robert_s_collins</t>
  </si>
  <si>
    <t xml:space="preserve">North America/Western</t>
  </si>
  <si>
    <t xml:space="preserve">Want to be more Attractive?</t>
  </si>
  <si>
    <t xml:space="preserve">Static close-up shot of the creator speaking directly into the camera.</t>
  </si>
  <si>
    <t xml:space="preserve">Immediate speaking voice.</t>
  </si>
  <si>
    <t xml:space="preserve">A man discusses five psychological research-backed traits that make people more attractive, illustrated with academic citations.</t>
  </si>
  <si>
    <t xml:space="preserve">talking head with intermittent static images</t>
  </si>
  <si>
    <t xml:space="preserve">expert talking head with visual aids</t>
  </si>
  <si>
    <t xml:space="preserve">https://www.instagram.com/reel/DcrH-24xJqR/</t>
  </si>
  <si>
    <t xml:space="preserve">@sethmatlins</t>
  </si>
  <si>
    <t xml:space="preserve">United States/Western</t>
  </si>
  <si>
    <t xml:space="preserve">CONSIDER THIS</t>
  </si>
  <si>
    <t xml:space="preserve">A man is shown in a close-up shot, looking directly into the camera.</t>
  </si>
  <si>
    <t xml:space="preserve">The host immediately begins speaking about his topic.</t>
  </si>
  <si>
    <t xml:space="preserve">A podcast host explains how building a community and a strong brand identity creates enduring economic value, using examples from the music and restaurant industries.</t>
  </si>
  <si>
    <t xml:space="preserve">podcast clip with b-roll overlay</t>
  </si>
  <si>
    <t xml:space="preserve">podcast interview with b-roll overlay</t>
  </si>
  <si>
    <t xml:space="preserve">https://www.instagram.com/reel/Dbaw8kltc2v/</t>
  </si>
  <si>
    <t xml:space="preserve">@raj_elevates</t>
  </si>
  <si>
    <t xml:space="preserve">English-speaking, Westernized cultures</t>
  </si>
  <si>
    <t xml:space="preserve">Humans are designed to experience stress</t>
  </si>
  <si>
    <t xml:space="preserve">Close-up of a woman speaking directly into a microphone.</t>
  </si>
  <si>
    <t xml:space="preserve">A woman explains why stress is actually a beneficial biological function rather than something to be avoided.</t>
  </si>
  <si>
    <t xml:space="preserve">talking head with b-roll</t>
  </si>
  <si>
    <t xml:space="preserve">A subject-matter expert provides a counter-intuitive explanation of a common issue while speaking to the camera. Short, illustrative clips visually depict the scenarios or emotions described, periodically interrupting the speaker to maintain viewer engagement and retention.</t>
  </si>
  <si>
    <t xml:space="preserve">https://www.instagram.com/reel/DdCUrHBsS69/</t>
  </si>
  <si>
    <t xml:space="preserve">@aiwithakshit</t>
  </si>
  <si>
    <t xml:space="preserve">Sit In India, Earn In US Dollars, 4 Platforms, Less Competition, $200/Hour Is Possible</t>
  </si>
  <si>
    <t xml:space="preserve">Static shot of the creator gesturing toward the camera while talking.</t>
  </si>
  <si>
    <t xml:space="preserve">Creator begins speaking directly to the camera immediately.</t>
  </si>
  <si>
    <t xml:space="preserve">A content creator explains how to earn money online in US dollars while living in India using specific platforms.</t>
  </si>
  <si>
    <t xml:space="preserve">Talking head with static background and graphic overlays</t>
  </si>
  <si>
    <t xml:space="preserve">talking head listicle with graphic inserts</t>
  </si>
  <si>
    <t xml:space="preserve">https://www.instagram.com/reel/Db_O1_Ypj_1/</t>
  </si>
  <si>
    <t xml:space="preserve">@getblueforwater</t>
  </si>
  <si>
    <t xml:space="preserve">Global/English-speaking Western</t>
  </si>
  <si>
    <t xml:space="preserve">There's over 2 billion</t>
  </si>
  <si>
    <t xml:space="preserve">Static shot of a famous actor standing in a recording booth addressing the camera.</t>
  </si>
  <si>
    <t xml:space="preserve">Immediate speaking in a high-quality studio environment.</t>
  </si>
  <si>
    <t xml:space="preserve">Matt Damon explains the Water.org 'Get Blue' campaign, which partners with brands to help fund clean water access worldwide.</t>
  </si>
  <si>
    <t xml:space="preserve">talking head explainer</t>
  </si>
  <si>
    <t xml:space="preserve">https://www.instagram.com/reel/DbDsu4BAPys/</t>
  </si>
  <si>
    <t xml:space="preserve">@emanueldunlop</t>
  </si>
  <si>
    <t xml:space="preserve">English-speaking Western audience</t>
  </si>
  <si>
    <t xml:space="preserve">how to shift your identity so fast it feels like cheating</t>
  </si>
  <si>
    <t xml:space="preserve">Creator gesturing to the camera while holding a handwritten worksheet with a title visible.</t>
  </si>
  <si>
    <t xml:space="preserve">Immediate speaking with a confident tone.</t>
  </si>
  <si>
    <t xml:space="preserve">A creator explains a psychological method called 'The Theatre of the Mind' for identity shifting using a handwritten worksheet.</t>
  </si>
  <si>
    <t xml:space="preserve">Talking head with green-screen-style static image/text overlays.</t>
  </si>
  <si>
    <t xml:space="preserve">talking head with visual explainer</t>
  </si>
  <si>
    <t xml:space="preserve">https://www.instagram.com/reel/DceS_3uCg_K/</t>
  </si>
  <si>
    <t xml:space="preserve">North American/Western business professional, native English speakers.</t>
  </si>
  <si>
    <t xml:space="preserve">Static close-up shot of a woman looking directly at the camera with text overlays appearing on screen.</t>
  </si>
  <si>
    <t xml:space="preserve">Immediate spoken dialogue by the creator asking the question: 'What's the difference between brand strategy and creative strategy?'</t>
  </si>
  <si>
    <t xml:space="preserve">on-camera expert explanation</t>
  </si>
  <si>
    <t xml:space="preserve">@forge_leadership</t>
  </si>
  <si>
    <t xml:space="preserve">United States/Western Business Culture</t>
  </si>
  <si>
    <t xml:space="preserve">How to NOT be an asshole</t>
  </si>
  <si>
    <t xml:space="preserve">A person writing 'How to NOT be an asshole' on a whiteboard while standing in front of a graph.</t>
  </si>
  <si>
    <t xml:space="preserve">A conversational tone starts immediately with the creator explaining the graph axes.</t>
  </si>
  <si>
    <t xml:space="preserve">A creator uses a whiteboard to illustrate a leadership management concept called the 'Asshole Zone' based on balancing demand and support.</t>
  </si>
  <si>
    <t xml:space="preserve">Single-shot talking head with whiteboard drawing</t>
  </si>
  <si>
    <t xml:space="preserve">The creator draws a diagram on a whiteboard to explain a conceptual model related to their professional niche. They walk the viewer through the different sections of the model, defining the terms and providing a visual summary of the core lesson.</t>
  </si>
  <si>
    <t xml:space="preserve">https://www.instagram.com/reel/Dc9E6jqpda-/</t>
  </si>
  <si>
    <t xml:space="preserve">@createbynishaa</t>
  </si>
  <si>
    <t xml:space="preserve">Socha tha Copywriting se monthly 10k-15k kr hi lungi...🙄🧿</t>
  </si>
  <si>
    <t xml:space="preserve">A young woman looking thoughtful while riding on a public metro train.</t>
  </si>
  <si>
    <t xml:space="preserve">A popular Hindi pop/Punjabi-style song starts playing immediately.</t>
  </si>
  <si>
    <t xml:space="preserve">A young woman shares her success story of transitioning from expecting small monthly earnings to earning significant daily income through copywriting.</t>
  </si>
  <si>
    <t xml:space="preserve">Split screen (personal reaction footage + screen recording of earnings)</t>
  </si>
  <si>
    <t xml:space="preserve">The creator presents a relatable struggle or low expectation through a personal video, followed by a pivot to a screen-recorded success reveal. The transition highlights a dramatic shift in outcomes to inspire the viewer, ending with an explicit CTA in the caption.</t>
  </si>
  <si>
    <t xml:space="preserve">https://www.instagram.com/reel/Dd5kTbzTdrf/</t>
  </si>
  <si>
    <t xml:space="preserve">@mikecesaroni</t>
  </si>
  <si>
    <t xml:space="preserve">The job only took 4 hours, why are you still charging me $4,500!!</t>
  </si>
  <si>
    <t xml:space="preserve">A man is shown immediately speaking into a phone with an intense, professional expression.</t>
  </si>
  <si>
    <t xml:space="preserve">A business owner reenacts a phone call with a disgruntled client to explain why high pricing is justified by experience and value rather than just the time spent on a job.</t>
  </si>
  <si>
    <t xml:space="preserve">customer objection handling roleplay</t>
  </si>
  <si>
    <t xml:space="preserve">https://www.instagram.com/reel/DcgdeTdN89i/</t>
  </si>
  <si>
    <t xml:space="preserve">Client acquisition (EN); High ticket sales; Agency growth</t>
  </si>
  <si>
    <t xml:space="preserve">A hand scrolling rapidly through a list of job postings on a computer monitor.</t>
  </si>
  <si>
    <t xml:space="preserve">Immediate speaking in Hindi, presenting the opportunity.</t>
  </si>
  <si>
    <t xml:space="preserve">scrolling screen recording with narration</t>
  </si>
  <si>
    <t xml:space="preserve">@talkingtotulum1</t>
  </si>
  <si>
    <t xml:space="preserve">Employees Get Free Vacations? Yes!</t>
  </si>
  <si>
    <t xml:space="preserve">Two people are seen sitting in a studio setup; the speaker is animated and talking directly to his interlocutor.</t>
  </si>
  <si>
    <t xml:space="preserve">The speaker immediately begins talking about benefits for his employees.</t>
  </si>
  <si>
    <t xml:space="preserve">A podcast guest shares how he provides paid international vacations to his employees to prevent burnout.</t>
  </si>
  <si>
    <t xml:space="preserve">on-camera interview</t>
  </si>
  <si>
    <t xml:space="preserve">https://www.instagram.com/reel/DbtNXYjx4U0/</t>
  </si>
  <si>
    <t xml:space="preserve">@trylaxman</t>
  </si>
  <si>
    <t xml:space="preserve">₹2.5 crore in 3-6 months</t>
  </si>
  <si>
    <t xml:space="preserve">Close-up shot of the creator speaking directly into the camera.</t>
  </si>
  <si>
    <t xml:space="preserve">Speaker begins talking immediately in Hindi.</t>
  </si>
  <si>
    <t xml:space="preserve">An entrepreneur shares his personal journey from failing in an IT startup to achieving high revenue in freelancing and then building a D2C brand, motivating viewers to start their own businesses.</t>
  </si>
  <si>
    <t xml:space="preserve">A speaker shares personal anecdotes of past struggles and eventual financial successes to build authority. The narrative arc moves from failure to high-earning milestones, ending with a direct, motivational appeal to the audience to stop making excuses and start their own venture.</t>
  </si>
  <si>
    <t xml:space="preserve">https://www.instagram.com/reel/DeUUhkvS8SC/</t>
  </si>
  <si>
    <t xml:space="preserve">@storiedcareers</t>
  </si>
  <si>
    <t xml:space="preserve">Western/English-speaking audience interested in personal development.</t>
  </si>
  <si>
    <t xml:space="preserve">The Great Millennial Career Crisis boss level playbook</t>
  </si>
  <si>
    <t xml:space="preserve">A person sitting on a sofa looking directly into the camera, gesturing slightly while holding a notebook.</t>
  </si>
  <si>
    <t xml:space="preserve">A conversational tone immediately starts speaking, with background music at a low level.</t>
  </si>
  <si>
    <t xml:space="preserve">A creator explains how mythology and career psychology can help people navigate a career crisis, using book references and visual analogies.</t>
  </si>
  <si>
    <t xml:space="preserve">talking head with illustrative b-roll</t>
  </si>
  <si>
    <t xml:space="preserve">https://www.instagram.com/reel/Db5tqZmgFZi/</t>
  </si>
  <si>
    <t xml:space="preserve">North American Business Community</t>
  </si>
  <si>
    <t xml:space="preserve">A woman speaks directly to the camera with an inquisitive expression while looking at the speaker.</t>
  </si>
  <si>
    <t xml:space="preserve">A woman's voice immediately poses the question, followed by a clean transition to the speaker.</t>
  </si>
  <si>
    <t xml:space="preserve">Podcast-style interview</t>
  </si>
  <si>
    <t xml:space="preserve">expert advice q&amp;a</t>
  </si>
  <si>
    <t xml:space="preserve">@scalingyourmind</t>
  </si>
  <si>
    <t xml:space="preserve">United States / English speaking</t>
  </si>
  <si>
    <t xml:space="preserve">He Made A Sale On His First Day:</t>
  </si>
  <si>
    <t xml:space="preserve">Close-up shot of the main character in a suit smiling during a phone conversation.</t>
  </si>
  <si>
    <t xml:space="preserve">Immediate on-camera dialogue.</t>
  </si>
  <si>
    <t xml:space="preserve">A dramatic scene from the TV show White Collar demonstrating a high-stakes, successful cold-calling sales technique.</t>
  </si>
  <si>
    <t xml:space="preserve">Movie scene clip</t>
  </si>
  <si>
    <t xml:space="preserve">repurposed movie scene with text</t>
  </si>
  <si>
    <t xml:space="preserve">https://www.instagram.com/reel/DbqdYRZNeHC/</t>
  </si>
  <si>
    <t xml:space="preserve">English-speaking global audience (North America, UK, Australia, etc.)</t>
  </si>
  <si>
    <t xml:space="preserve">Split screen: top video showing a subway advertisement, bottom video showing the creator looking directly at the camera.</t>
  </si>
  <si>
    <t xml:space="preserve">Immediate speaking with upbeat, informative tone.</t>
  </si>
  <si>
    <t xml:space="preserve">commentary over video case study</t>
  </si>
  <si>
    <t xml:space="preserve">United States/English-speaking professional and startup community</t>
  </si>
  <si>
    <t xml:space="preserve">A young man speaking directly to the camera while holding a microphone, with a large text overlay.</t>
  </si>
  <si>
    <t xml:space="preserve">Immediate conversational speaking starting with 'Business Insider called me...'</t>
  </si>
  <si>
    <t xml:space="preserve">Talking head with B-roll screenshots and screen recordings</t>
  </si>
  <si>
    <t xml:space="preserve">The video uses an authority-based hook to establish credibility, followed by a personal 'hustle vs. leverage' narrative that introduces a tool as the solution. It utilizes cutaway evidence to validate claims, ending with a soft CTA to follow for subsequent parts.</t>
  </si>
  <si>
    <t xml:space="preserve">@richi.unfiltered</t>
  </si>
  <si>
    <t xml:space="preserve">1000 Ka Product Bolke</t>
  </si>
  <si>
    <t xml:space="preserve">Split screen: top half shows a dramatic, colorful movie clip of people arguing in a store; bottom half shows the speaker sitting, speaking directly to the camera.</t>
  </si>
  <si>
    <t xml:space="preserve">Immediate, clear voiceover explaining a specific business scenario.</t>
  </si>
  <si>
    <t xml:space="preserve">The video features a business expert explaining why relying on customer bargaining hurts business growth, advocating for standardized discounting instead.</t>
  </si>
  <si>
    <t xml:space="preserve">Split screen (creator talking head + b-roll/dramatized footage)</t>
  </si>
  <si>
    <t xml:space="preserve">split-screen commentary with illustrative b-roll</t>
  </si>
  <si>
    <t xml:space="preserve">https://www.instagram.com/reel/DbpS24qhgIU/</t>
  </si>
  <si>
    <t xml:space="preserve">India / Hindi-speaking audience</t>
  </si>
  <si>
    <t xml:space="preserve">A creator looking directly at the camera with an Australian flag graphic floating above her head.</t>
  </si>
  <si>
    <t xml:space="preserve">A chirpy, attention-grabbing sound effect accompanies the visual intro, followed immediately by the creator's voice.</t>
  </si>
  <si>
    <t xml:space="preserve">Talking head mixed with B-roll/stock footage overlay</t>
  </si>
  <si>
    <t xml:space="preserve">The creator introduces a monetization opportunity by asking a rhetorical question, then explains the steps and potential earnings. Stock imagery and graphics visualize the process, concluding with a call to action for the viewer.</t>
  </si>
  <si>
    <t xml:space="preserve">@august_carlsson</t>
  </si>
  <si>
    <t xml:space="preserve">Western/Global English-speaking business community.</t>
  </si>
  <si>
    <t xml:space="preserve">Grant Cardone Needs a New Creative Director</t>
  </si>
  <si>
    <t xml:space="preserve">Split-screen view: Top panel shows a clip of the subject (Grant Cardone); bottom panel shows the creator facing the camera directly, holding a microphone.</t>
  </si>
  <si>
    <t xml:space="preserve">A creator audits the content strategy of a public figure and proposes a new, structured framework to improve their social media performance.</t>
  </si>
  <si>
    <t xml:space="preserve">screen recording with voiceover analysis</t>
  </si>
  <si>
    <t xml:space="preserve">https://www.instagram.com/reel/DcCH5OTxT_L/</t>
  </si>
  <si>
    <t xml:space="preserve">@thesocialdogcompany</t>
  </si>
  <si>
    <t xml:space="preserve">The psychology trick that makes people buy</t>
  </si>
  <si>
    <t xml:space="preserve">A split-screen view: a black-and-white vintage educational film of a man explaining options, overlaid with a modern blonde woman in the foreground pointing upward.</t>
  </si>
  <si>
    <t xml:space="preserve">Immediate narration starts with 'The fastest way to lose a buyer is...'</t>
  </si>
  <si>
    <t xml:space="preserve">The video explains a sales psychology principle known as the 'paradox of choice' by overlaying a talking-head creator over a vintage educational film clip.</t>
  </si>
  <si>
    <t xml:space="preserve">Split screen (creator + archival footage)</t>
  </si>
  <si>
    <t xml:space="preserve">archival footage with narrator overlay</t>
  </si>
  <si>
    <t xml:space="preserve">https://www.instagram.com/reel/DcdRb3Hp6fj/</t>
  </si>
  <si>
    <t xml:space="preserve">@kaamaajse</t>
  </si>
  <si>
    <t xml:space="preserve">India, Hindi-speaking</t>
  </si>
  <si>
    <t xml:space="preserve">व्यापार के 10 नियम</t>
  </si>
  <si>
    <t xml:space="preserve">Static graphic containing a title and bulleted list.</t>
  </si>
  <si>
    <t xml:space="preserve">Upbeat, light instrumental background music.</t>
  </si>
  <si>
    <t xml:space="preserve">A static educational graphic presenting a list of 10 fundamental business rules in Hindi.</t>
  </si>
  <si>
    <t xml:space="preserve">Static text-on-screen</t>
  </si>
  <si>
    <t xml:space="preserve">A static, text-based listicle offering professional advice. The content presents a set of numbered actionable tips within a specific field, encouraging viewers to read and save the information for future reference.</t>
  </si>
  <si>
    <t xml:space="preserve">https://www.instagram.com/reel/DdWUcbhtFO2/</t>
  </si>
  <si>
    <t xml:space="preserve">@yurii_levitas</t>
  </si>
  <si>
    <t xml:space="preserve">Global English-speaking business audience</t>
  </si>
  <si>
    <t xml:space="preserve">I Paid an Employee for a YEAR for Work He Wasn't Doing. I Knew and Stayed Quiet.</t>
  </si>
  <si>
    <t xml:space="preserve">A man walks directly toward the camera in a sports facility.</t>
  </si>
  <si>
    <t xml:space="preserve">Upbeat, rhythmic electronic music starts immediately.</t>
  </si>
  <si>
    <t xml:space="preserve">A business owner reveals a shocking anecdote about an employee's impact on their revenue via on-screen text.</t>
  </si>
  <si>
    <t xml:space="preserve">Faceless text-on-screen story</t>
  </si>
  <si>
    <t xml:space="preserve">A static or repetitive video background plays while a dramatic, open-ended hook appears on-screen. The viewer is forced to read the extended caption to understand the outcome of the narrative conflict presented in the text overlay.</t>
  </si>
  <si>
    <t xml:space="preserve">https://www.instagram.com/reel/DdmHOUduQ5g/</t>
  </si>
  <si>
    <t xml:space="preserve">India (Hindi language community)</t>
  </si>
  <si>
    <t xml:space="preserve">A man walking past large industrial rolls in a warehouse setting.</t>
  </si>
  <si>
    <t xml:space="preserve">Upbeat, rhythmic lo-fi instrumental track begins.</t>
  </si>
  <si>
    <t xml:space="preserve">Founder vlog / B-roll montage</t>
  </si>
  <si>
    <t xml:space="preserve">narrative voiceover with b-roll montage</t>
  </si>
  <si>
    <t xml:space="preserve">@rajeshsinghrana65</t>
  </si>
  <si>
    <t xml:space="preserve">A creator shares an anecdotal story about meeting an auto-rickshaw driver in Gujarat who teaches him a lesson about hard work, multiple income streams, and financial discipline.</t>
  </si>
  <si>
    <t xml:space="preserve">Single-shot talking head (vlog-style)</t>
  </si>
  <si>
    <t xml:space="preserve">first-person observational anecdote</t>
  </si>
  <si>
    <t xml:space="preserve">https://www.instagram.com/reel/DbYTssJsLln/</t>
  </si>
  <si>
    <t xml:space="preserve">@chasingdain</t>
  </si>
  <si>
    <t xml:space="preserve">Global English-speaking, likely North American or European.</t>
  </si>
  <si>
    <t xml:space="preserve">How to travel the world without a 9-5</t>
  </si>
  <si>
    <t xml:space="preserve">The creator is sitting on the floor looking at the camera, holding a passport.</t>
  </si>
  <si>
    <t xml:space="preserve">You don't need to be rich to travel the world, you just need to know these four things.</t>
  </si>
  <si>
    <t xml:space="preserve">A travel creator shares four specific tips on how to sustain a nomadic lifestyle without a traditional full-time job.</t>
  </si>
  <si>
    <t xml:space="preserve">talking head with b-roll overlay</t>
  </si>
  <si>
    <t xml:space="preserve">talking head explainer with b-roll</t>
  </si>
  <si>
    <t xml:space="preserve">https://www.instagram.com/reel/DbAdtUITIZV/</t>
  </si>
  <si>
    <t xml:space="preserve">@jesspinili</t>
  </si>
  <si>
    <t xml:space="preserve">I wish more business owners knew that if they'd just started posting 'decision-making' content they'd double their sales in 6 weeks...</t>
  </si>
  <si>
    <t xml:space="preserve">The creator is sitting on the floor in a dim room working on a laptop, appearing thoughtful.</t>
  </si>
  <si>
    <t xml:space="preserve">A calm, lo-fi instrumental beat begins immediately.</t>
  </si>
  <si>
    <t xml:space="preserve">A business owner provides a quick, actionable tip regarding content strategy while sitting on the floor with a laptop.</t>
  </si>
  <si>
    <t xml:space="preserve">Static single-shot</t>
  </si>
  <si>
    <t xml:space="preserve">calm b-roll with text overlay</t>
  </si>
  <si>
    <t xml:space="preserve">https://www.instagram.com/reel/DbGAS1iTlvK/</t>
  </si>
  <si>
    <t xml:space="preserve">@vgbro.thers</t>
  </si>
  <si>
    <t xml:space="preserve">India (Hindi-speaking community).</t>
  </si>
  <si>
    <t xml:space="preserve">Two entrepreneurs document their journey to Delhi to source inventory for their clothing business as part of a 90-day growth challenge.</t>
  </si>
  <si>
    <t xml:space="preserve">Vlog / B-roll over voiceover</t>
  </si>
  <si>
    <t xml:space="preserve">A challenge-based vlog follows the narrator as they pursue a specific business milestone. The video showcases the active, often chaotic process of sourcing goods, intercutting between travel shots, work sessions, and direct address, concluding with an invitation for viewers to follow the journey.</t>
  </si>
  <si>
    <t xml:space="preserve">https://www.instagram.com/reel/DcumVGviFgS/</t>
  </si>
  <si>
    <t xml:space="preserve">@reechal.creates</t>
  </si>
  <si>
    <t xml:space="preserve">Global/Western business professional community, English speaking.</t>
  </si>
  <si>
    <t xml:space="preserve">16 Prompts Every Digital Marketer Should Know In 2026</t>
  </si>
  <si>
    <t xml:space="preserve">A person standing with a gimbal-mounted phone in a restaurant setting, then immediate cut to a static graphic.</t>
  </si>
  <si>
    <t xml:space="preserve">Upbeat, rhythmic beat-heavy track starts immediately.</t>
  </si>
  <si>
    <t xml:space="preserve">A content creator shows off a list of '16 AI Prompts for Digital Marketers' and asks viewers to comment for access.</t>
  </si>
  <si>
    <t xml:space="preserve">split screen (creator + overlay graphic)</t>
  </si>
  <si>
    <t xml:space="preserve">educational graphic with video intro</t>
  </si>
  <si>
    <t xml:space="preserve">https://www.instagram.com/reel/DcOoPPFTnjj/</t>
  </si>
  <si>
    <t xml:space="preserve">@desy_dolla</t>
  </si>
  <si>
    <t xml:space="preserve">Global/General English-speaking business community</t>
  </si>
  <si>
    <t xml:space="preserve">Premium client | Cheap client</t>
  </si>
  <si>
    <t xml:space="preserve">A creator points to two different sides of the frame where 'Premium client' and 'Cheap client' text appear.</t>
  </si>
  <si>
    <t xml:space="preserve">A conversational music track begins playing immediately.</t>
  </si>
  <si>
    <t xml:space="preserve">A creator compares the contrasting mindsets and behaviors of 'premium' clients versus 'cheap' clients across various business scenarios.</t>
  </si>
  <si>
    <t xml:space="preserve">side-by-side comparison text list</t>
  </si>
  <si>
    <t xml:space="preserve">https://www.instagram.com/reel/DclQsMeK7Ed/</t>
  </si>
  <si>
    <t xml:space="preserve">@shriverse__</t>
  </si>
  <si>
    <t xml:space="preserve">Hindi speakers (primarily India)</t>
  </si>
  <si>
    <t xml:space="preserve">Earn in Dollars Hindi Speaking</t>
  </si>
  <si>
    <t xml:space="preserve">The creator is sitting, addressing the camera directly, and gesturing with her hands while the screen shows an overlay of the website.</t>
  </si>
  <si>
    <t xml:space="preserve">The creator starts speaking immediately in a conversational tone.</t>
  </si>
  <si>
    <t xml:space="preserve">A creator explains how Hindi speakers can earn money in US dollars by completing simple remote tasks like transcription and data annotation.</t>
  </si>
  <si>
    <t xml:space="preserve">The creator introduces a financial opportunity or side hustle and explains how it functions using screen recordings as evidence. The video concludes with a step-by-step summary and a call to action to save the post for later reference.</t>
  </si>
  <si>
    <t xml:space="preserve">https://www.instagram.com/reel/Dcv4iVHNANs/</t>
  </si>
  <si>
    <t xml:space="preserve">North American/English speaking, general business/entrepreneurial audience.</t>
  </si>
  <si>
    <t xml:space="preserve">A medium shot of the creator standing in a bright room holding a metal tumbler, looking directly at the camera.</t>
  </si>
  <si>
    <t xml:space="preserve">Immediate speaking with calm background music.</t>
  </si>
  <si>
    <t xml:space="preserve">Split screen (creator + b-roll) with talking head.</t>
  </si>
  <si>
    <t xml:space="preserve">United States/North American small business owners and marketing professionals.</t>
  </si>
  <si>
    <t xml:space="preserve">Creator points directly at the camera while speaking.</t>
  </si>
  <si>
    <t xml:space="preserve">Immediate speaking with an upbeat, instructional tone.</t>
  </si>
  <si>
    <t xml:space="preserve">POV, screen recording</t>
  </si>
  <si>
    <t xml:space="preserve">Creator introduces a specific digital task by pointing at the camera, then switches to a screen recording of the process. The remainder of the video features voiceover narration guiding the viewer through each precise click until the task is complete.</t>
  </si>
  <si>
    <t xml:space="preserve">@hemant_chutani</t>
  </si>
  <si>
    <t xml:space="preserve">Bihar ke MSMEs ke liye new BILL</t>
  </si>
  <si>
    <t xml:space="preserve">A screen recording of a tablet playing a video of a woman speaking in an assembly.</t>
  </si>
  <si>
    <t xml:space="preserve">Audio from a news or assembly footage snippet.</t>
  </si>
  <si>
    <t xml:space="preserve">A content creator explains the implications of the new Ease of Doing Business Bill in Bihar for local MSMEs.</t>
  </si>
  <si>
    <t xml:space="preserve">Screen recording combined with talking head</t>
  </si>
  <si>
    <t xml:space="preserve">commentary video with screen recording</t>
  </si>
  <si>
    <t xml:space="preserve">https://www.instagram.com/reel/Dbl44DJyZCB/</t>
  </si>
  <si>
    <t xml:space="preserve">United States / Western English-speaking</t>
  </si>
  <si>
    <t xml:space="preserve">Static medium shot of a salesperson behind a counter, text overlay appears immediately.</t>
  </si>
  <si>
    <t xml:space="preserve">Immediate dialogue: 'How much?'</t>
  </si>
  <si>
    <t xml:space="preserve">Skit / Roleplay</t>
  </si>
  <si>
    <t xml:space="preserve">staged dialogue skit</t>
  </si>
  <si>
    <t xml:space="preserve">@noob.to.ai</t>
  </si>
  <si>
    <t xml:space="preserve">India / Hindi-speaking community</t>
  </si>
  <si>
    <t xml:space="preserve">How to earn in DOLLARS? / 2 WAYS</t>
  </si>
  <si>
    <t xml:space="preserve">A person holding a microphone and talking directly to the camera.</t>
  </si>
  <si>
    <t xml:space="preserve">Immediate speaking with an energetic, authoritative tone.</t>
  </si>
  <si>
    <t xml:space="preserve">A creator explains two methods for earning money in dollars online as a beginner.</t>
  </si>
  <si>
    <t xml:space="preserve">screen recording over on-camera expert</t>
  </si>
  <si>
    <t xml:space="preserve">https://www.instagram.com/reel/DbdpWQkKQTH/</t>
  </si>
  <si>
    <t xml:space="preserve">@wnmv1</t>
  </si>
  <si>
    <t xml:space="preserve">Global business community</t>
  </si>
  <si>
    <t xml:space="preserve">If you are a founder or entrepreneur building something right now introduce yourself in the comments and let's connect.</t>
  </si>
  <si>
    <t xml:space="preserve">Camera gently pans across a high-end lounge setting featuring a meal on a table.</t>
  </si>
  <si>
    <t xml:space="preserve">Sophisticated, melodic background music starts immediately.</t>
  </si>
  <si>
    <t xml:space="preserve">A creator sits in an upscale restaurant lounge while overlaying text that prompts fellow entrepreneurs to introduce their businesses in the comments.</t>
  </si>
  <si>
    <t xml:space="preserve">Lifestyle b-roll with text overlay</t>
  </si>
  <si>
    <t xml:space="preserve">aesthetic background with text overlay</t>
  </si>
  <si>
    <t xml:space="preserve">https://www.instagram.com/reel/DbxNbRAtwMP/</t>
  </si>
  <si>
    <t xml:space="preserve">English-speaking professional demographic, likely North American or Western European.</t>
  </si>
  <si>
    <t xml:space="preserve">Static collage of historical figures with a text overlay centered on screen.</t>
  </si>
  <si>
    <t xml:space="preserve">Immediate speaking with calm, background lo-fi hip-hop music.</t>
  </si>
  <si>
    <t xml:space="preserve">split screen (creator + b-roll),</t>
  </si>
  <si>
    <t xml:space="preserve">talking head with relevant stock visuals</t>
  </si>
  <si>
    <t xml:space="preserve">Western/English-speaking professional market, likely North America.</t>
  </si>
  <si>
    <t xml:space="preserve">A person looking at the camera with a graphic on screen, and text appears word-for-word with their speech.</t>
  </si>
  <si>
    <t xml:space="preserve">Immediate, clear speaking voice without music.</t>
  </si>
  <si>
    <t xml:space="preserve">Talking head with static instructional graphic overlay.</t>
  </si>
  <si>
    <t xml:space="preserve">English-speaking Western business professionals</t>
  </si>
  <si>
    <t xml:space="preserve">A person sitting at a desk with two computer monitors, looking at a screen in a dimly lit room.</t>
  </si>
  <si>
    <t xml:space="preserve">Upbeat, low-fi loopy electronic music starts immediately.</t>
  </si>
  <si>
    <t xml:space="preserve">Screen recording compilation overlaying the creator's desk setup</t>
  </si>
  <si>
    <t xml:space="preserve">screen recording with voiceover listicle</t>
  </si>
  <si>
    <t xml:space="preserve">@brandbysid</t>
  </si>
  <si>
    <t xml:space="preserve">English-speaking global audience, likely young professionals or freelancers.</t>
  </si>
  <si>
    <t xml:space="preserve">NEVER EDUCATE YOUR CLIENTS TOO MUCH</t>
  </si>
  <si>
    <t xml:space="preserve">A person standing in a dimly lit, cozy indoor space, facing away from the camera.</t>
  </si>
  <si>
    <t xml:space="preserve">A lo-fi, chill hip-hop beat starts immediately.</t>
  </si>
  <si>
    <t xml:space="preserve">A creator shares a controversial business insight about limiting how much knowledge you share with clients.</t>
  </si>
  <si>
    <t xml:space="preserve">lo-fi beat with static text</t>
  </si>
  <si>
    <t xml:space="preserve">https://www.instagram.com/reel/DciQo00otoc/</t>
  </si>
  <si>
    <t xml:space="preserve">@nicknsales</t>
  </si>
  <si>
    <t xml:space="preserve">United States/North American professional/corporate culture.</t>
  </si>
  <si>
    <t xml:space="preserve">There's something called BPE in sales,</t>
  </si>
  <si>
    <t xml:space="preserve">A person sitting in a chair holding a microphone, looking directly into the camera.</t>
  </si>
  <si>
    <t xml:space="preserve">Immediate spoken audio start with soft background lo-fi music.</t>
  </si>
  <si>
    <t xml:space="preserve">A sales coach explains the concept of 'Big Pipeline Energy' as a mental shift for sales professionals.</t>
  </si>
  <si>
    <t xml:space="preserve">https://www.instagram.com/reel/DcCYxwdRpAa/</t>
  </si>
  <si>
    <t xml:space="preserve">@ecom.akash</t>
  </si>
  <si>
    <t xml:space="preserve">India (Hindi speakers interested in online business and entrepreneurship)</t>
  </si>
  <si>
    <t xml:space="preserve">Make 3-4Lakhs Investment- 2k</t>
  </si>
  <si>
    <t xml:space="preserve">A static talking head shot of a man wearing a baseball cap.</t>
  </si>
  <si>
    <t xml:space="preserve">Immediate speaking in Hindi, directly addressing the viewer with a money-making claim.</t>
  </si>
  <si>
    <t xml:space="preserve">A creator explains the potential profitability of international dropshipping with low initial investment.</t>
  </si>
  <si>
    <t xml:space="preserve">Single-shot talking head with dynamic text captions.</t>
  </si>
  <si>
    <t xml:space="preserve">https://www.instagram.com/reel/DcCXsWCyYnH/</t>
  </si>
  <si>
    <t xml:space="preserve">@its21master</t>
  </si>
  <si>
    <t xml:space="preserve">Global/Western Digital Marketing space</t>
  </si>
  <si>
    <t xml:space="preserve">Unethical secret to trigger the algorithm...</t>
  </si>
  <si>
    <t xml:space="preserve">Glitchy, high-contrast screen recording of a music analytics dashboard.</t>
  </si>
  <si>
    <t xml:space="preserve">Distorted, rhythmic bass-heavy music beat starts immediately.</t>
  </si>
  <si>
    <t xml:space="preserve">The video analyzes a specific 'SEO playlisting' strategy used to gain massive streaming numbers on Spotify.</t>
  </si>
  <si>
    <t xml:space="preserve">Screen recording with talking head overlay</t>
  </si>
  <si>
    <t xml:space="preserve">screencast breakdown with talking head</t>
  </si>
  <si>
    <t xml:space="preserve">https://www.instagram.com/reel/Da7-NClxOE0/</t>
  </si>
  <si>
    <t xml:space="preserve">Global/English-speaking professional market, likely Western or Western-adjacent business audiences interested in marketing strategy.</t>
  </si>
  <si>
    <t xml:space="preserve">A creator speaking directly to the camera while holding an ornate gold mirror.</t>
  </si>
  <si>
    <t xml:space="preserve">Immediate speaking/dialogue.</t>
  </si>
  <si>
    <t xml:space="preserve">Split screen (creator + b-roll), talking head</t>
  </si>
  <si>
    <t xml:space="preserve">@tech.trendingindia</t>
  </si>
  <si>
    <t xml:space="preserve">India (the speaker speaks Hindi/English mix with an Indian accent)</t>
  </si>
  <si>
    <t xml:space="preserve">2 simple platforms to earn in dollars from home</t>
  </si>
  <si>
    <t xml:space="preserve">A person holding a microphone is speaking directly to the camera with a bold, contrasting headline overlay.</t>
  </si>
  <si>
    <t xml:space="preserve">Immediate, clear speaking in a friendly, informative tone.</t>
  </si>
  <si>
    <t xml:space="preserve">A creator explains two online platforms that allow users to earn income in dollars from home.</t>
  </si>
  <si>
    <t xml:space="preserve">split screen educational breakdown</t>
  </si>
  <si>
    <t xml:space="preserve">https://www.instagram.com/reel/Dck9JK2EwiA/</t>
  </si>
  <si>
    <t xml:space="preserve">@leopareja</t>
  </si>
  <si>
    <t xml:space="preserve">North American English speaking</t>
  </si>
  <si>
    <t xml:space="preserve">I just met an agent</t>
  </si>
  <si>
    <t xml:space="preserve">A medium shot of the creator speaking directly to the camera.</t>
  </si>
  <si>
    <t xml:space="preserve">Immediate conversational speaking.</t>
  </si>
  <si>
    <t xml:space="preserve">A creator explains why social media doesn't need to be complex and emphasizes the importance of consistency and audience-focused content.</t>
  </si>
  <si>
    <t xml:space="preserve">https://www.instagram.com/reel/Db9jrnvgMf_/</t>
  </si>
  <si>
    <t xml:space="preserve">@samksells</t>
  </si>
  <si>
    <t xml:space="preserve">United States/Western English-speaking audience</t>
  </si>
  <si>
    <t xml:space="preserve">$121M MCA Sales Trainer</t>
  </si>
  <si>
    <t xml:space="preserve">Split-screen layout appears immediately with the coach on top and a cartoon on bottom.</t>
  </si>
  <si>
    <t xml:space="preserve">Immediate speaking by the coach, followed by dialogue from the cartoon.</t>
  </si>
  <si>
    <t xml:space="preserve">A sales coach breaks down sales psychology lessons by analyzing a clip from an animated show.</t>
  </si>
  <si>
    <t xml:space="preserve">split screen</t>
  </si>
  <si>
    <t xml:space="preserve">split-screen commentary with video clip</t>
  </si>
  <si>
    <t xml:space="preserve">https://www.instagram.com/reel/DbBz9sSgkpb/</t>
  </si>
  <si>
    <t xml:space="preserve">@speakup.diksha</t>
  </si>
  <si>
    <t xml:space="preserve">India (Hindi speaking demographic)</t>
  </si>
  <si>
    <t xml:space="preserve">मैं आपको एक सच बताती हूं जो मैंने आज तक इंटरनेट पे नहीं बताया</t>
  </si>
  <si>
    <t xml:space="preserve">Close-up of the creator speaking directly to the camera, using a finger to indicate a point.</t>
  </si>
  <si>
    <t xml:space="preserve">Immediate speaking in a conversational tone.</t>
  </si>
  <si>
    <t xml:space="preserve">A creator shares a 'secret' 2-step process for making money online by using freelancing apps and practicing English speaking skills.</t>
  </si>
  <si>
    <t xml:space="preserve">Single-shot talking head with occasional text-on-screen pop-ups.</t>
  </si>
  <si>
    <t xml:space="preserve">https://www.instagram.com/reel/DbTGpCLP7Ov/</t>
  </si>
  <si>
    <t xml:space="preserve">@b2b_jessica</t>
  </si>
  <si>
    <t xml:space="preserve">Global, English-speaking professional community.</t>
  </si>
  <si>
    <t xml:space="preserve">✨ + in = 💰💰💰</t>
  </si>
  <si>
    <t xml:space="preserve">Creator on camera with an expressive facial reaction while pointing at floating emojis representing LinkedIn and AI.</t>
  </si>
  <si>
    <t xml:space="preserve">Upbeat instrumental music track begins immediately.</t>
  </si>
  <si>
    <t xml:space="preserve">The creator demonstrates a step-by-step process of integrating an AI chatbot with a sales software tool to automate LinkedIn marketing posts.</t>
  </si>
  <si>
    <t xml:space="preserve">Screen recording with a short talking-head intro.</t>
  </si>
  <si>
    <t xml:space="preserve">software tutorial screen recording walkthrough</t>
  </si>
  <si>
    <t xml:space="preserve">https://www.instagram.com/reel/Db7S0U5qRD8/</t>
  </si>
  <si>
    <t xml:space="preserve">@jasonfladlien</t>
  </si>
  <si>
    <t xml:space="preserve">Western (North America/Global English speaking)</t>
  </si>
  <si>
    <t xml:space="preserve">The best book you could ever read to make more money</t>
  </si>
  <si>
    <t xml:space="preserve">Creator talking directly to camera.</t>
  </si>
  <si>
    <t xml:space="preserve">Immediate, clear speech from the creator.</t>
  </si>
  <si>
    <t xml:space="preserve">The creator explains a core psychology concept from a popular book by alternating between their own commentary and illustrative movie clips.</t>
  </si>
  <si>
    <t xml:space="preserve">Talking head mixed with cinematic b-roll</t>
  </si>
  <si>
    <t xml:space="preserve">talking head with illustrative clips</t>
  </si>
  <si>
    <t xml:space="preserve">https://www.instagram.com/reel/DclV1inhp1U/</t>
  </si>
  <si>
    <t xml:space="preserve">Western/Global business-tech audience</t>
  </si>
  <si>
    <t xml:space="preserve">6 Agents every Automation agency Needs</t>
  </si>
  <si>
    <t xml:space="preserve">Static shot of a computer screen displaying an automation workflow, with bold white text overlay.</t>
  </si>
  <si>
    <t xml:space="preserve">Upbeat, rhythmic electronic lo-fi music starts immediately.</t>
  </si>
  <si>
    <t xml:space="preserve">The creator showcases six specific AI automation agents that agencies should be using, visualized through workflow diagrams.</t>
  </si>
  <si>
    <t xml:space="preserve">Screen recording with text-on-screen</t>
  </si>
  <si>
    <t xml:space="preserve">screen recorded slideshow with text overlays</t>
  </si>
  <si>
    <t xml:space="preserve">https://www.instagram.com/reel/DbbEX_9ugvY/</t>
  </si>
  <si>
    <t xml:space="preserve">@ezjcreative</t>
  </si>
  <si>
    <t xml:space="preserve">Taking him from confused to “take my money” in 30 secs</t>
  </si>
  <si>
    <t xml:space="preserve">Split screen layout showing two men on a video call, with dynamic text overlay appearing immediately.</t>
  </si>
  <si>
    <t xml:space="preserve">Immediate conversational dialogue ('I mean, like this is fucking sick.')</t>
  </si>
  <si>
    <t xml:space="preserve">A sales pitch delivered as a casual, authentic conversation over a video call, showcasing a business automation tool to a potential client.</t>
  </si>
  <si>
    <t xml:space="preserve">split screen (video call recording)</t>
  </si>
  <si>
    <t xml:space="preserve">https://www.instagram.com/reel/Db9u_76yTWJ/</t>
  </si>
  <si>
    <t xml:space="preserve">@realstevenalessandro</t>
  </si>
  <si>
    <t xml:space="preserve">North American professional / English-speaking corporate environment.</t>
  </si>
  <si>
    <t xml:space="preserve">IF YOUR COMPANY ONLY WORKS WHEN YOU'VE GOT GREAT EMPLOYEES, YOU'VE BUILT IT WRONG</t>
  </si>
  <si>
    <t xml:space="preserve">Static medium shot of the speaker.</t>
  </si>
  <si>
    <t xml:space="preserve">A business coach explains why relying on high-performing employees is a flaw, arguing that systems are the true foundation of a company.</t>
  </si>
  <si>
    <t xml:space="preserve">https://www.instagram.com/reel/DbdHIuwkYYP/</t>
  </si>
  <si>
    <t xml:space="preserve">@startupwalebhaia</t>
  </si>
  <si>
    <t xml:space="preserve">India (Hindi speaking demographic).</t>
  </si>
  <si>
    <t xml:space="preserve">Konsa business start kiya jae?</t>
  </si>
  <si>
    <t xml:space="preserve">A medium close-up shot of the creator speaking directly into the camera.</t>
  </si>
  <si>
    <t xml:space="preserve">A creator explains how to find profitable local business opportunities in India using a specific web tool.</t>
  </si>
  <si>
    <t xml:space="preserve">Talking head with overlaid screen recording</t>
  </si>
  <si>
    <t xml:space="preserve">talking head with screen recording demo</t>
  </si>
  <si>
    <t xml:space="preserve">https://www.instagram.com/reel/DbPT69cBZqK/</t>
  </si>
  <si>
    <t xml:space="preserve">Client acquisition (Hindi/India); International clients (India); Business growth (India/Hindi)</t>
  </si>
  <si>
    <t xml:space="preserve">North America/English-speaking business community</t>
  </si>
  <si>
    <t xml:space="preserve">A medium shot of a man wearing a baseball cap sitting on a bench in front of a stadium, he looks down then directly into the camera.</t>
  </si>
  <si>
    <t xml:space="preserve">A rhythmic, cinematic-style lo-fi hip-hop track begins.</t>
  </si>
  <si>
    <t xml:space="preserve">@build.nick</t>
  </si>
  <si>
    <t xml:space="preserve">Cold Calling a plumber to sell him some sh*t he didn't ask for...</t>
  </si>
  <si>
    <t xml:space="preserve">A person holding a burning sage stick over an ashtray, appearing serious.</t>
  </si>
  <si>
    <t xml:space="preserve">Start of a phone conversation with ringtones and ambient noise.</t>
  </si>
  <si>
    <t xml:space="preserve">A creator cold-calls a local business owner to demonstrate a pain point, then immediately shows an AI-powered software solution to automate their lead generation.</t>
  </si>
  <si>
    <t xml:space="preserve">split-screen showing live-action talk-to-camera and screen recording</t>
  </si>
  <si>
    <t xml:space="preserve">live-action problem-solution software demo</t>
  </si>
  <si>
    <t xml:space="preserve">https://www.instagram.com/reel/DbQ0GzriSSw/</t>
  </si>
  <si>
    <t xml:space="preserve">@wahinyaf8</t>
  </si>
  <si>
    <t xml:space="preserve">Global/English-speaking audience</t>
  </si>
  <si>
    <t xml:space="preserve">Imagine you have been arrested</t>
  </si>
  <si>
    <t xml:space="preserve">A close-up shot of the creator talking directly to the camera.</t>
  </si>
  <si>
    <t xml:space="preserve">Immediate speaking voice about a high-stakes scenario involving the police.</t>
  </si>
  <si>
    <t xml:space="preserve">The creator explains the mechanics of brute-force password attacks on smartphones and advocates for stronger password security.</t>
  </si>
  <si>
    <t xml:space="preserve">Talking head intercut with b-roll and screen captures</t>
  </si>
  <si>
    <t xml:space="preserve">talking head with supporting visuals</t>
  </si>
  <si>
    <t xml:space="preserve">https://www.instagram.com/reel/Db452tJNgAM/</t>
  </si>
  <si>
    <t xml:space="preserve">North American business tech community</t>
  </si>
  <si>
    <t xml:space="preserve">The creator is centered in the frame, talking directly to the camera.</t>
  </si>
  <si>
    <t xml:space="preserve">Immediate speaking with start of chill background music</t>
  </si>
  <si>
    <t xml:space="preserve">numbered rapid-fire advice list</t>
  </si>
  <si>
    <t xml:space="preserve">@unfilteredvinayshah</t>
  </si>
  <si>
    <t xml:space="preserve">India / Hindi-speaking business community</t>
  </si>
  <si>
    <t xml:space="preserve">A business mentor provides advice to his interviewer about sales techniques and client management.</t>
  </si>
  <si>
    <t xml:space="preserve">on-camera expert interview</t>
  </si>
  <si>
    <t xml:space="preserve">https://www.instagram.com/reel/DbAloO8uOhI/</t>
  </si>
  <si>
    <t xml:space="preserve">@suraj_life.and.career</t>
  </si>
  <si>
    <t xml:space="preserve">7 months ago... I walked out of EY.</t>
  </si>
  <si>
    <t xml:space="preserve">Creator standing in front of an EY office logo/reception area, looking directly at the camera.</t>
  </si>
  <si>
    <t xml:space="preserve">Upbeat, motivational Bollywood-style song begins playing immediately.</t>
  </si>
  <si>
    <t xml:space="preserve">A creator showcases their professional journey from a traditional corporate job to a successful location-independent career as a freelancer.</t>
  </si>
  <si>
    <t xml:space="preserve">Footage compilation with text-on-screen narrative</t>
  </si>
  <si>
    <t xml:space="preserve">before and after personal journey narrative</t>
  </si>
  <si>
    <t xml:space="preserve">https://www.instagram.com/reel/DbWFuaZA7z7/</t>
  </si>
  <si>
    <t xml:space="preserve">@jlaviiphotography</t>
  </si>
  <si>
    <t xml:space="preserve">North American / Western professional</t>
  </si>
  <si>
    <t xml:space="preserve">photos vs videos</t>
  </si>
  <si>
    <t xml:space="preserve">A person sitting in a director's chair gesturing with her hands while talking directly to the camera.</t>
  </si>
  <si>
    <t xml:space="preserve">Immediate spoken dialogue starting at 0:00.</t>
  </si>
  <si>
    <t xml:space="preserve">The creator explains why businesses need 9 specific visual assets for growth and invites viewers to take a foundational asset assessment.</t>
  </si>
  <si>
    <t xml:space="preserve">Talking head mixed with b-roll</t>
  </si>
  <si>
    <t xml:space="preserve">https://www.instagram.com/reel/Db_oIUFphMZ/</t>
  </si>
  <si>
    <t xml:space="preserve">@yvonnekjay</t>
  </si>
  <si>
    <t xml:space="preserve">North American / English-speaking professional business environment</t>
  </si>
  <si>
    <t xml:space="preserve">STOP being a passive sales rep</t>
  </si>
  <si>
    <t xml:space="preserve">A person gesturing with a 'call me' sign against their face in a car, followed by a slight shift in head position.</t>
  </si>
  <si>
    <t xml:space="preserve">Immediately speaking with a clear, direct voice.</t>
  </si>
  <si>
    <t xml:space="preserve">The video discusses the difference between a passive and a leading sales representative, advising viewers to be leaders by taking control of conversations.</t>
  </si>
  <si>
    <t xml:space="preserve">https://www.instagram.com/reel/DbhX36_phx6/</t>
  </si>
  <si>
    <t xml:space="preserve">North American business community</t>
  </si>
  <si>
    <t xml:space="preserve">Static close-up of the creator's face looking intense and focused.</t>
  </si>
  <si>
    <t xml:space="preserve">Immediate, direct on-camera speech addressing the client.</t>
  </si>
  <si>
    <t xml:space="preserve">live-action confrontation dialogue</t>
  </si>
  <si>
    <t xml:space="preserve">@luckihume</t>
  </si>
  <si>
    <t xml:space="preserve">Selling to Rich 💸 Vs Selling to poor 💔</t>
  </si>
  <si>
    <t xml:space="preserve">A man sits in front of a camera, pointing at a title card that separates the screen into 'Selling to Rich' and 'Selling to poor'.</t>
  </si>
  <si>
    <t xml:space="preserve">Immediate speaking in Hindi, introducing the topic.</t>
  </si>
  <si>
    <t xml:space="preserve">A creator explains the tactical differences in sales strategies when targeting wealthy versus budget-conscious clients.</t>
  </si>
  <si>
    <t xml:space="preserve">split screen educational talking head</t>
  </si>
  <si>
    <t xml:space="preserve">https://www.instagram.com/reel/DbQbyPCJQvD/</t>
  </si>
  <si>
    <t xml:space="preserve">United States, affluent business-oriented community.</t>
  </si>
  <si>
    <t xml:space="preserve">A wide, cinematic shot of a luxury driveway with a male and female standing by a Rolls Royce.</t>
  </si>
  <si>
    <t xml:space="preserve">Male voice begins speaking immediately, setting a demanding, professional tone.</t>
  </si>
  <si>
    <t xml:space="preserve">Cinematic two-shot dialogue</t>
  </si>
  <si>
    <t xml:space="preserve">staged business mentorship dialogue</t>
  </si>
  <si>
    <t xml:space="preserve">@ruchi_in_usa_official</t>
  </si>
  <si>
    <t xml:space="preserve">India (Hindi speaking community)</t>
  </si>
  <si>
    <t xml:space="preserve">छोड़ दो भारत 🇮🇳 अगर तुम गरीब हो तो</t>
  </si>
  <si>
    <t xml:space="preserve">A car driving on a US highway, camera facing forward.</t>
  </si>
  <si>
    <t xml:space="preserve">A conversational Hindi voiceover starts immediately with a strong, provocative claim.</t>
  </si>
  <si>
    <t xml:space="preserve">A motivational video urging viewers to migrate from India to a foreign country to escape poverty and increase their earning potential.</t>
  </si>
  <si>
    <t xml:space="preserve">b-roll with voiceover and text</t>
  </si>
  <si>
    <t xml:space="preserve">https://www.instagram.com/reel/DbR_qwxOrf1/</t>
  </si>
  <si>
    <t xml:space="preserve">North American professional sales community.</t>
  </si>
  <si>
    <t xml:space="preserve">Static shot of a man talking directly to the camera in a car.</t>
  </si>
  <si>
    <t xml:space="preserve">@new.mrexploriments</t>
  </si>
  <si>
    <t xml:space="preserve">India (Hindi speaking market)</t>
  </si>
  <si>
    <t xml:space="preserve">BRANDED CLOTH LOT ₹15000/- से 100% Original With Brand Bill Gst Bill</t>
  </si>
  <si>
    <t xml:space="preserve">A man walking toward the camera in an outdoor parking lot with a metro line in the background.</t>
  </si>
  <si>
    <t xml:space="preserve">Immediate, energetic on-camera speaking in Hindi.</t>
  </si>
  <si>
    <t xml:space="preserve">A business owner gives a guided walkthrough of a Delhi wholesale clothing warehouse, explaining how viewers can start a retail business with a small investment.</t>
  </si>
  <si>
    <t xml:space="preserve">On-camera host walking and talking combined with warehouse b-roll.</t>
  </si>
  <si>
    <t xml:space="preserve">live-action sourcing location tour</t>
  </si>
  <si>
    <t xml:space="preserve">https://www.instagram.com/reel/DbatW3Uh2Ve/</t>
  </si>
  <si>
    <t xml:space="preserve">North American (English speaking, US-based business context)</t>
  </si>
  <si>
    <t xml:space="preserve">The creator is holding three boxes of bandages directly in front of the camera.</t>
  </si>
  <si>
    <t xml:space="preserve">Immediate spoken hook: 'I just spent $70 on three boxes of bandages. Let's analyze their brand.'</t>
  </si>
  <si>
    <t xml:space="preserve">split screen (creator + b-roll) and single-shot talking head</t>
  </si>
  <si>
    <t xml:space="preserve">branded product teardown review</t>
  </si>
  <si>
    <t xml:space="preserve">@ruiologyyy</t>
  </si>
  <si>
    <t xml:space="preserve">GST Penalty Tax Evasion from SaaS</t>
  </si>
  <si>
    <t xml:space="preserve">Close-up of a person with a concerned and urgent facial expression, speaking directly to the camera.</t>
  </si>
  <si>
    <t xml:space="preserve">Immediate, urgent speaking in Hindi, setting a warning tone.</t>
  </si>
  <si>
    <t xml:space="preserve">A creator explains how Indian SaaS freelancers can avoid tax penalties and tax their foreign client income correctly by filing an LUT form.</t>
  </si>
  <si>
    <t xml:space="preserve">https://www.instagram.com/reel/Dbv6XhYOAcM/</t>
  </si>
  <si>
    <t xml:space="preserve">@bob.raybould</t>
  </si>
  <si>
    <t xml:space="preserve">English-speaking / Western (United States focus)</t>
  </si>
  <si>
    <t xml:space="preserve">This is a Porsche. I've been driving a Porsche since 1970,</t>
  </si>
  <si>
    <t xml:space="preserve">A close-up of an elderly man holding a small Porsche toy car, followed by a cut to a montage of real Porsches.</t>
  </si>
  <si>
    <t xml:space="preserve">Immediate speaking with an upbeat, instructional tone, accompanied by gentle background music.</t>
  </si>
  <si>
    <t xml:space="preserve">An older gentleman uses a Porsche toy as a visual metaphor to explain that 'buying' material things won't change your life, but 'doing' (following a specific success plan) will.</t>
  </si>
  <si>
    <t xml:space="preserve">On-camera monologue with mixed b-roll (car footage, screenshots of forms, and website)</t>
  </si>
  <si>
    <t xml:space="preserve">https://www.instagram.com/reel/DcR_9jdNoxe/</t>
  </si>
  <si>
    <t xml:space="preserve">@carmeliaray</t>
  </si>
  <si>
    <t xml:space="preserve">I had to shut my business down at Christmas</t>
  </si>
  <si>
    <t xml:space="preserve">Subject is looking engaged and speaking directly to the interviewer.</t>
  </si>
  <si>
    <t xml:space="preserve">A business owner shares her personal experience with scaling her business and the difficult realization that she needed to hire employees to stop working 'in' her business.</t>
  </si>
  <si>
    <t xml:space="preserve">on-camera expert interview clip</t>
  </si>
  <si>
    <t xml:space="preserve">https://www.instagram.com/reel/DbeYFh4TbkN/</t>
  </si>
  <si>
    <t xml:space="preserve">@creatorankit.io</t>
  </si>
  <si>
    <t xml:space="preserve">₹65k 💸 in 1 Month ❌ ₹65k 💸 in 1 DAY ✅</t>
  </si>
  <si>
    <t xml:space="preserve">Creator pointing up to text overlays indicating a transition from '1 month' to '1 day' income potential.</t>
  </si>
  <si>
    <t xml:space="preserve">Immediate speaking by the creator in Hindi.</t>
  </si>
  <si>
    <t xml:space="preserve">A creator promotes an app claiming it helps users earn daily money through freelance job opportunities.</t>
  </si>
  <si>
    <t xml:space="preserve">Split screen (creator + b-roll), talking head.</t>
  </si>
  <si>
    <t xml:space="preserve">talking head with proof b-roll</t>
  </si>
  <si>
    <t xml:space="preserve">https://www.instagram.com/reel/Dbh8j_dScO5/</t>
  </si>
  <si>
    <t xml:space="preserve">@cat_wadsworth</t>
  </si>
  <si>
    <t xml:space="preserve">North America (USA)</t>
  </si>
  <si>
    <t xml:space="preserve">Cookie Cart Day 25 Results</t>
  </si>
  <si>
    <t xml:space="preserve">The creator is speaking directly to the camera while holding her finger up, indicating a statement.</t>
  </si>
  <si>
    <t xml:space="preserve">A creator breaks down the daily and weekly earnings of her side hustle selling cookies from a cart.</t>
  </si>
  <si>
    <t xml:space="preserve">talking head with screen overlay breakdown</t>
  </si>
  <si>
    <t xml:space="preserve">https://www.instagram.com/reel/DcUsEL2um_S/</t>
  </si>
  <si>
    <t xml:space="preserve">@theecommguy</t>
  </si>
  <si>
    <t xml:space="preserve">North American tech and marketing professional community.</t>
  </si>
  <si>
    <t xml:space="preserve">10 things to tell Claude to add to your site after launch</t>
  </si>
  <si>
    <t xml:space="preserve">Creator is centered in frame, talking directly to camera, with text overlay appearing.</t>
  </si>
  <si>
    <t xml:space="preserve">Direct, clear speech begins immediately.</t>
  </si>
  <si>
    <t xml:space="preserve">A creator lists 10 actionable items for optimizing a website using AI.</t>
  </si>
  <si>
    <t xml:space="preserve">on-camera listicle with text overlay</t>
  </si>
  <si>
    <t xml:space="preserve">https://www.instagram.com/reel/DcEXXKGiIQ2/</t>
  </si>
  <si>
    <t xml:space="preserve">@anisharawat13</t>
  </si>
  <si>
    <t xml:space="preserve">अगर तुम 17 से 24 साल की age में हो तो ये 3 skills जरूर सीख लेना वरना बाद में बहुत पछताओगे</t>
  </si>
  <si>
    <t xml:space="preserve">A young woman walking towards a brightly lit, historic Indian building at night, turning around to smile at the camera.</t>
  </si>
  <si>
    <t xml:space="preserve">A conversational tone in Hindi, immediate speaking.</t>
  </si>
  <si>
    <t xml:space="preserve">A creator shares three recommended freelance skills for young people to learn along with free YouTube resources for each.</t>
  </si>
  <si>
    <t xml:space="preserve">B-roll over voiceover with occasional talking-head shots</t>
  </si>
  <si>
    <t xml:space="preserve">b-roll montage with listicle voiceover</t>
  </si>
  <si>
    <t xml:space="preserve">https://www.instagram.com/reel/DbdkB9ByqRX/</t>
  </si>
  <si>
    <t xml:space="preserve">@growthforbreakfast</t>
  </si>
  <si>
    <t xml:space="preserve">Global English-speaking professional/tech community</t>
  </si>
  <si>
    <t xml:space="preserve">Give your customers something to brag about</t>
  </si>
  <si>
    <t xml:space="preserve">The creator appears on screen with a stylized animated mouth overlay, followed by a rapid transition to a collage of brand badges.</t>
  </si>
  <si>
    <t xml:space="preserve">Immediate speaking with calm, rhythmic background music starting instantly.</t>
  </si>
  <si>
    <t xml:space="preserve">The creator explains a psychological growth strategy, arguing that businesses should provide customers with 'status symbols' like badges or titles to increase engagement and loyalty.</t>
  </si>
  <si>
    <t xml:space="preserve">Split screen (creator bottom + image/video overlays top)</t>
  </si>
  <si>
    <t xml:space="preserve">expert talking head with visual support</t>
  </si>
  <si>
    <t xml:space="preserve">https://www.instagram.com/reel/Db6MEBPM33k/</t>
  </si>
  <si>
    <t xml:space="preserve">@mofe_ade</t>
  </si>
  <si>
    <t xml:space="preserve">North American/Global English-speaking audience.</t>
  </si>
  <si>
    <t xml:space="preserve">Do you know if you grab a bottle of water and place it beside a book</t>
  </si>
  <si>
    <t xml:space="preserve">The creator is looking down at a notebook, holding a pen, and then looks up directly into the camera.</t>
  </si>
  <si>
    <t xml:space="preserve">The creator explains a content repurposing strategy for business owners to generate multiple pieces of content from a single question.</t>
  </si>
  <si>
    <t xml:space="preserve">Single-shot talking head with live captions.</t>
  </si>
  <si>
    <t xml:space="preserve">talking head instructional advice</t>
  </si>
  <si>
    <t xml:space="preserve">https://www.instagram.com/reel/Da-xRInqAbg/</t>
  </si>
  <si>
    <t xml:space="preserve">@buildwithhemant</t>
  </si>
  <si>
    <t xml:space="preserve">Marwadi ki dukaan mein aisi nahi hoga</t>
  </si>
  <si>
    <t xml:space="preserve">A split-screen featuring the creator talking in the top half and an AI-generated scene of an old shopkeeper checking books in the bottom half.</t>
  </si>
  <si>
    <t xml:space="preserve">Immediate energetic speech by the creator</t>
  </si>
  <si>
    <t xml:space="preserve">An educational video explaining the specific 'lean' business model used by Marwari traders to maximize profitability despite small margins.</t>
  </si>
  <si>
    <t xml:space="preserve">split screen (creator + ai imagery)</t>
  </si>
  <si>
    <t xml:space="preserve">talking head with ai visual illustration</t>
  </si>
  <si>
    <t xml:space="preserve">https://www.instagram.com/reel/Dbk4MG8ypXT/</t>
  </si>
  <si>
    <t xml:space="preserve">English-speaking, Western entrepreneurial community</t>
  </si>
  <si>
    <t xml:space="preserve">A tight close-up shot of the creator speaking directly into the camera.</t>
  </si>
  <si>
    <t xml:space="preserve">The creator immediately begins speaking with a serious, direct tone.</t>
  </si>
  <si>
    <t xml:space="preserve">India (Hindi-speaking business owners)</t>
  </si>
  <si>
    <t xml:space="preserve">A close-up talking head of the creator, gesturing with his hand.</t>
  </si>
  <si>
    <t xml:space="preserve">on-camera informational pitch</t>
  </si>
  <si>
    <t xml:space="preserve">@vicaradhvanih</t>
  </si>
  <si>
    <t xml:space="preserve">Western/International, English speaking.</t>
  </si>
  <si>
    <t xml:space="preserve">IS RUSSIA'S NEXT TARGET... NATO?</t>
  </si>
  <si>
    <t xml:space="preserve">A man in a black t-shirt is looking up and slightly to the right while holding a stylus as if gesturing.</t>
  </si>
  <si>
    <t xml:space="preserve">Two men discuss geopolitical strategy and the potential motives behind global conflicts.</t>
  </si>
  <si>
    <t xml:space="preserve">Split screen (creator + expert interview)</t>
  </si>
  <si>
    <t xml:space="preserve">An expert in a suit explains a complex concept using a digital whiteboard, while a second person reacts and asks follow-up questions from a casual setting. The video alternates between the two speakers' perspectives to guide the viewer through a logical argument.</t>
  </si>
  <si>
    <t xml:space="preserve">https://www.instagram.com/reel/DdTG21BN4ve/</t>
  </si>
  <si>
    <t xml:space="preserve">@broadcast_mgmt</t>
  </si>
  <si>
    <t xml:space="preserve">United States/North America</t>
  </si>
  <si>
    <t xml:space="preserve">DID YOU KNOW EVERY CAMERA IN A LIVE BROADCAST HAS ITS OWN INTERNAL CLOCK?</t>
  </si>
  <si>
    <t xml:space="preserve">A shot of a cameraman in a stadium setting with text overlaying the screen.</t>
  </si>
  <si>
    <t xml:space="preserve">Immediate, clear voiceover starting the question.</t>
  </si>
  <si>
    <t xml:space="preserve">A technical breakdown explaining the concept of 'genlock' and how it synchronizes multiple cameras in live television production.</t>
  </si>
  <si>
    <t xml:space="preserve">Mixed media using talking head footage, animated technical diagrams, and b-roll.</t>
  </si>
  <si>
    <t xml:space="preserve">animated diagram and talking head explainer</t>
  </si>
  <si>
    <t xml:space="preserve">https://www.instagram.com/reel/Dbq5lx_NeIV/</t>
  </si>
  <si>
    <t xml:space="preserve">@iamchingregory</t>
  </si>
  <si>
    <t xml:space="preserve">North American professional/entrepreneurial demographic; English language.</t>
  </si>
  <si>
    <t xml:space="preserve">Claude + Instagram is getting scary</t>
  </si>
  <si>
    <t xml:space="preserve">A close-up of the creator looking slightly off-camera, then gesturing with his hand.</t>
  </si>
  <si>
    <t xml:space="preserve">Immediate conversational voiceover starting right as the video begins.</t>
  </si>
  <si>
    <t xml:space="preserve">A creator explains how he uses AI tools to automate creating digital products and marketing content that generates high sales.</t>
  </si>
  <si>
    <t xml:space="preserve">Split screen (creator + screen recording)</t>
  </si>
  <si>
    <t xml:space="preserve">screen recording with talking head commentary</t>
  </si>
  <si>
    <t xml:space="preserve">https://www.instagram.com/reel/DbOc3u_JpJb/</t>
  </si>
  <si>
    <t xml:space="preserve">Client acquisition (EN); Content systems; B2B marketing</t>
  </si>
  <si>
    <t xml:space="preserve">@susanvibecodes</t>
  </si>
  <si>
    <t xml:space="preserve">North American English-speaking</t>
  </si>
  <si>
    <t xml:space="preserve">AI AGENTS CAN MAKE YOU $2K WHILE YOU SLEEP. CTO.NEW 😭</t>
  </si>
  <si>
    <t xml:space="preserve">Close-up of the creator speaking directly into the camera.</t>
  </si>
  <si>
    <t xml:space="preserve">Immediate, energetic speech.</t>
  </si>
  <si>
    <t xml:space="preserve">A tutorial explaining how to use AI agent software to build and sell business assets for passive income.</t>
  </si>
  <si>
    <t xml:space="preserve">Talking head mixed with screen recording.</t>
  </si>
  <si>
    <t xml:space="preserve">talking head with screen demonstration</t>
  </si>
  <si>
    <t xml:space="preserve">https://www.instagram.com/reel/DcZGpAbxHNU/</t>
  </si>
  <si>
    <t xml:space="preserve">Global/Western business community (English language, international marketing terminology)</t>
  </si>
  <si>
    <t xml:space="preserve">Creator pointing upward toward three colored, funnel-shaped icons labeled ToFu, MoFu, and BoFu.</t>
  </si>
  <si>
    <t xml:space="preserve">Immediate, clear voiceover explaining the concepts.</t>
  </si>
  <si>
    <t xml:space="preserve">talking head with diagram overlay</t>
  </si>
  <si>
    <t xml:space="preserve">@only_jordanthompson</t>
  </si>
  <si>
    <t xml:space="preserve">North American / Western</t>
  </si>
  <si>
    <t xml:space="preserve">These are the only 3 books you need for business ops</t>
  </si>
  <si>
    <t xml:space="preserve">A person looking directly into the camera talking while a title overlay appears on screen.</t>
  </si>
  <si>
    <t xml:space="preserve">Immediate speaking with an authoritative tone.</t>
  </si>
  <si>
    <t xml:space="preserve">A business owner recommends three specific books to improve business operations.</t>
  </si>
  <si>
    <t xml:space="preserve">single-shot talking head with overlays</t>
  </si>
  <si>
    <t xml:space="preserve">talking head with graphic overlays</t>
  </si>
  <si>
    <t xml:space="preserve">https://www.instagram.com/reel/DckjTBvP84i/</t>
  </si>
  <si>
    <t xml:space="preserve">@sanatan_products</t>
  </si>
  <si>
    <t xml:space="preserve">पूजा सामग्री सिर्फ त्योहारों तक सीमित नहीं ये रोज़ की ज़रूरत है।</t>
  </si>
  <si>
    <t xml:space="preserve">A man in a warehouse setting holding a product, talking directly into the camera.</t>
  </si>
  <si>
    <t xml:space="preserve">Immediate, energetic Hindi speaking voice.</t>
  </si>
  <si>
    <t xml:space="preserve">A business owner explains why selling 'Puja Samagri' (worship supplies) is a year-round business opportunity rather than a seasonal one.</t>
  </si>
  <si>
    <t xml:space="preserve">Talking head with dynamic picture-in-picture collage overlays.</t>
  </si>
  <si>
    <t xml:space="preserve">talking head with dynamic collage overlay</t>
  </si>
  <si>
    <t xml:space="preserve">https://www.instagram.com/reel/DbdCGYATNfU/</t>
  </si>
  <si>
    <t xml:space="preserve">@parasrai_realtor</t>
  </si>
  <si>
    <t xml:space="preserve">India (Hindi speaking market).</t>
  </si>
  <si>
    <t xml:space="preserve">Billionaire’s secret to Sales</t>
  </si>
  <si>
    <t xml:space="preserve">A sudden montage cut from the creator speaking to a rapid sequence of food items (sweets, chili, sugar) illustrating his metaphor.</t>
  </si>
  <si>
    <t xml:space="preserve">The creator immediately begins speaking with an authoritative, energetic tone.</t>
  </si>
  <si>
    <t xml:space="preserve">The creator explains five sales psychology rules by intercutting his own advice with illustrative clips from Indian films.</t>
  </si>
  <si>
    <t xml:space="preserve">B-roll over voiceover with talking head inserts</t>
  </si>
  <si>
    <t xml:space="preserve">The creator explains a concept using voiceover while cutting to illustrative movie clips that emphasize specific keywords shown as on-screen text. The video concludes with a personal CTA to comment a keyword for further information.</t>
  </si>
  <si>
    <t xml:space="preserve">https://www.instagram.com/reel/DdCBvNZMrOY/</t>
  </si>
  <si>
    <t xml:space="preserve">@vaibhavdecoded</t>
  </si>
  <si>
    <t xml:space="preserve">5 websites = 70-80LPA Remote Jobs!!</t>
  </si>
  <si>
    <t xml:space="preserve">Creator pointing up to text overlay.</t>
  </si>
  <si>
    <t xml:space="preserve">Immediate speaking with an upbeat tone.</t>
  </si>
  <si>
    <t xml:space="preserve">A creator provides a list of remote job websites to help people earn money in dollars while living in India.</t>
  </si>
  <si>
    <t xml:space="preserve">split screen (creator + screen recording overlay)</t>
  </si>
  <si>
    <t xml:space="preserve">educational listicle with screen recording</t>
  </si>
  <si>
    <t xml:space="preserve">https://www.instagram.com/reel/DbbOmwGxNis/</t>
  </si>
  <si>
    <t xml:space="preserve">India and the broader Indian diaspora (Hindi-speaking community)</t>
  </si>
  <si>
    <t xml:space="preserve">Close-up of the creator pointing at their laptop screen, showing a previous video's stats (552 likes, 2028 comments) to prove past success.</t>
  </si>
  <si>
    <t xml:space="preserve">Immediate energetic speaking, providing context on a previous post's results.</t>
  </si>
  <si>
    <t xml:space="preserve">Screen recording with creator's hand in frame</t>
  </si>
  <si>
    <t xml:space="preserve">screen recording with voiceover guide</t>
  </si>
  <si>
    <t xml:space="preserve">United States/English-speaking Western</t>
  </si>
  <si>
    <t xml:space="preserve">Static shot of a person holding a phone to their ear</t>
  </si>
  <si>
    <t xml:space="preserve">Immediate dialogue spoken into a phone</t>
  </si>
  <si>
    <t xml:space="preserve">staged dialogue performance</t>
  </si>
  <si>
    <t xml:space="preserve">@techwithamy</t>
  </si>
  <si>
    <t xml:space="preserve">English-speaking, global/US-centric</t>
  </si>
  <si>
    <t xml:space="preserve">5 secret codes for Gemini</t>
  </si>
  <si>
    <t xml:space="preserve">The creator sitting in a brightly lit gaming/desk setup, directly addressing the camera.</t>
  </si>
  <si>
    <t xml:space="preserve">Here are 5 secret codes for Gemini.</t>
  </si>
  <si>
    <t xml:space="preserve">A creator shares five specific prompt engineering 'codes' to improve user interactions with Google's Gemini AI.</t>
  </si>
  <si>
    <t xml:space="preserve">talking head with screen recordings</t>
  </si>
  <si>
    <t xml:space="preserve">talking head with screencast inserts</t>
  </si>
  <si>
    <t xml:space="preserve">https://www.instagram.com/reel/DcM8TV2sRIT/</t>
  </si>
  <si>
    <t xml:space="preserve">@the_creative_space_01</t>
  </si>
  <si>
    <t xml:space="preserve">India (Hindi-speaking demographic).</t>
  </si>
  <si>
    <t xml:space="preserve">धंधा वही चमकता है, जहाँ मालिक दिमाग से खेलता है (Business shines only where the owner plays with intelligence)</t>
  </si>
  <si>
    <t xml:space="preserve">A person standing and looking at a wall mural with text, with the camera slightly zooming in slowly.</t>
  </si>
  <si>
    <t xml:space="preserve">A dramatic, inspirational instrumental music track begins playing immediately.</t>
  </si>
  <si>
    <t xml:space="preserve">The video presents a business case study on how a momo shop successfully grew by using a free-sample strategy to attract customers.</t>
  </si>
  <si>
    <t xml:space="preserve">Static shot with text-on-screen overlay.</t>
  </si>
  <si>
    <t xml:space="preserve">text-on-screen business case study</t>
  </si>
  <si>
    <t xml:space="preserve">https://www.instagram.com/reel/DcocuiVSB8i/</t>
  </si>
  <si>
    <t xml:space="preserve">@growithquentin</t>
  </si>
  <si>
    <t xml:space="preserve">English-speaking professional demographic, likely global tech/business focus.</t>
  </si>
  <si>
    <t xml:space="preserve">I gave Claude my salary and career history - and it showed me income options I didn't know I had. These were the 5 prompts I used 👇</t>
  </si>
  <si>
    <t xml:space="preserve">Static shot of the creator standing in a modern architectural space, facing the camera.</t>
  </si>
  <si>
    <t xml:space="preserve">Ambient electronic background music starts immediately with no speech.</t>
  </si>
  <si>
    <t xml:space="preserve">A creator shares five AI prompts used to discover new income opportunities based on their professional background.</t>
  </si>
  <si>
    <t xml:space="preserve">Single-shot talking head (effectively static with text overlay).</t>
  </si>
  <si>
    <t xml:space="preserve">https://www.instagram.com/reel/DcpNAu6BJk9/</t>
  </si>
  <si>
    <t xml:space="preserve">Global/English-speaking professional demographic, likely with an interest in tech or digital marketing.</t>
  </si>
  <si>
    <t xml:space="preserve">Creator is centered, looking directly into the camera while holding a stylus and speaking, text overlay appears at the top.</t>
  </si>
  <si>
    <t xml:space="preserve">Immediate, clear speaking voice: 'Let's see if you actually understand marketing...'</t>
  </si>
  <si>
    <t xml:space="preserve">split screen (creator + overlay)</t>
  </si>
  <si>
    <t xml:space="preserve">talking head with overlay slides</t>
  </si>
  <si>
    <t xml:space="preserve">@shreesitaramclothstore.cg17</t>
  </si>
  <si>
    <t xml:space="preserve">India / Hindi-speaking regions</t>
  </si>
  <si>
    <t xml:space="preserve">दुकान समय मांगती है, बहाने नहीं!</t>
  </si>
  <si>
    <t xml:space="preserve">A blurry shot of a wrist wearing a watch comes into sharp focus.</t>
  </si>
  <si>
    <t xml:space="preserve">Start of an inspirational Hindi song.</t>
  </si>
  <si>
    <t xml:space="preserve">A static shot of a person's wrist wearing a watch overlaid with Hindi text about the dedication required for business success.</t>
  </si>
  <si>
    <t xml:space="preserve">Text-on-screen over static B-roll</t>
  </si>
  <si>
    <t xml:space="preserve">text overlay on static b-roll</t>
  </si>
  <si>
    <t xml:space="preserve">https://www.instagram.com/reel/Da6x47korYv/</t>
  </si>
  <si>
    <t xml:space="preserve">@jasleenwadhwa_</t>
  </si>
  <si>
    <t xml:space="preserve">India, Hindi-speaking community.</t>
  </si>
  <si>
    <t xml:space="preserve">Make 70k-150k/Month</t>
  </si>
  <si>
    <t xml:space="preserve">Static talking head shot of a young woman speaking directly into the camera.</t>
  </si>
  <si>
    <t xml:space="preserve">A creator explains the potential earnings of freelancing, highlighting the ability to make significant income from single clients.</t>
  </si>
  <si>
    <t xml:space="preserve">Single-shot talking head with intercut b-roll.</t>
  </si>
  <si>
    <t xml:space="preserve">talking head with interspersed b-roll</t>
  </si>
  <si>
    <t xml:space="preserve">https://www.instagram.com/reel/DbdUe5MT99a/</t>
  </si>
  <si>
    <t xml:space="preserve">@ecom.yashh</t>
  </si>
  <si>
    <t xml:space="preserve">India (Hindi speaking audience)</t>
  </si>
  <si>
    <t xml:space="preserve">1200 Orders📦 per day</t>
  </si>
  <si>
    <t xml:space="preserve">A split screen showing a Shark Tank India segment on top and a transition to the creator in his warehouse below.</t>
  </si>
  <si>
    <t xml:space="preserve">A conversational clip from a TV show (Shark Tank India) that immediately transitions to the creator's voiceover.</t>
  </si>
  <si>
    <t xml:space="preserve">An e-commerce entrepreneur explains his business operations and software stack, ending with a promotion for the Vyapar accounting app.</t>
  </si>
  <si>
    <t xml:space="preserve">voiceover with b-roll and screen recording</t>
  </si>
  <si>
    <t xml:space="preserve">demonstrative voiceover with screen recording</t>
  </si>
  <si>
    <t xml:space="preserve">https://www.instagram.com/reel/DbLKg4pBYmD/</t>
  </si>
  <si>
    <t xml:space="preserve">@spincity_hq_</t>
  </si>
  <si>
    <t xml:space="preserve">USE THIS AI STRATEGY TO BUY BACK 48+ HOURS</t>
  </si>
  <si>
    <t xml:space="preserve">The creator is walking and talking towards the camera.</t>
  </si>
  <si>
    <t xml:space="preserve">Immediate speaking with no background music.</t>
  </si>
  <si>
    <t xml:space="preserve">A creator explains how to use AI tools connected to a project management calendar to automate business workflows and save time.</t>
  </si>
  <si>
    <t xml:space="preserve">screen-recorded software demonstration with narration</t>
  </si>
  <si>
    <t xml:space="preserve">https://www.instagram.com/reel/DbZD762NrkX/</t>
  </si>
  <si>
    <t xml:space="preserve">Content systems; Agency growth</t>
  </si>
  <si>
    <t xml:space="preserve">@ejbowenofficial</t>
  </si>
  <si>
    <t xml:space="preserve">North American/Western business professional culture.</t>
  </si>
  <si>
    <t xml:space="preserve">We fired our best employee...</t>
  </si>
  <si>
    <t xml:space="preserve">A close-up shot of a man talking directly to the camera.</t>
  </si>
  <si>
    <t xml:space="preserve">The creator immediately begins speaking directly to the camera.</t>
  </si>
  <si>
    <t xml:space="preserve">A business owner shares a counter-intuitive story about firing a highly effective employee because she didn't conform to traditional 'visibility' expectations.</t>
  </si>
  <si>
    <t xml:space="preserve">talking head with overlay story</t>
  </si>
  <si>
    <t xml:space="preserve">https://www.instagram.com/reel/Db1W8_XyieC/</t>
  </si>
  <si>
    <t xml:space="preserve">@growingwithjonah</t>
  </si>
  <si>
    <t xml:space="preserve">North American / English-speaking</t>
  </si>
  <si>
    <t xml:space="preserve">In 2020 the u of vt students estimated 1 acre of saffron could gross $100,000</t>
  </si>
  <si>
    <t xml:space="preserve">A split-screen view: a female creator talking on top, and the male narrator on the bottom with a tray of microgreens.</t>
  </si>
  <si>
    <t xml:space="preserve">A creator leverages a viral video about saffron profitability to pivot into a pitch for their own microgreens business and free training.</t>
  </si>
  <si>
    <t xml:space="preserve">split screen (reaction + talking head)</t>
  </si>
  <si>
    <t xml:space="preserve">video reaction with pivot pitch</t>
  </si>
  <si>
    <t xml:space="preserve">https://www.instagram.com/reel/DcHB39NTuoM/</t>
  </si>
  <si>
    <t xml:space="preserve">@vyapaarvision</t>
  </si>
  <si>
    <t xml:space="preserve">BVM 2026 DELHI 12-15 AUG 2026 | Free Entry</t>
  </si>
  <si>
    <t xml:space="preserve">Creator walking towards the camera inside a large exhibition hall with colorful booths.</t>
  </si>
  <si>
    <t xml:space="preserve">Creator speaking immediately, introducing the problem (searching for business ideas).</t>
  </si>
  <si>
    <t xml:space="preserve">A creator provides a guided walkthrough and informational tour of the Bharatiya Vyapar Mahotsav trade exhibition, encouraging viewers to register.</t>
  </si>
  <si>
    <t xml:space="preserve">On-camera host with b-roll and walk-and-talk style footage</t>
  </si>
  <si>
    <t xml:space="preserve">guided event walkthrough with narration</t>
  </si>
  <si>
    <t xml:space="preserve">https://www.instagram.com/reel/Db7bfJ9TYda/</t>
  </si>
  <si>
    <t xml:space="preserve">@nickayalamindset</t>
  </si>
  <si>
    <t xml:space="preserve">Never say yes and never say no when someone asks for a discount.</t>
  </si>
  <si>
    <t xml:space="preserve">A static shot of a man wearing a baseball cap and a black t-shirt, speaking directly into a microphone.</t>
  </si>
  <si>
    <t xml:space="preserve">Immediate speaking in a conversational, confident tone.</t>
  </si>
  <si>
    <t xml:space="preserve">A business mentor gives advice on how to handle price negotiations and customer discount requests without devaluing one's service.</t>
  </si>
  <si>
    <t xml:space="preserve">https://www.instagram.com/reel/Db0mxi2qxEW/</t>
  </si>
  <si>
    <t xml:space="preserve">Western/English-speaking business community (likely US)</t>
  </si>
  <si>
    <t xml:space="preserve">I FIRED A $57,000 A MONTH CLIENT.</t>
  </si>
  <si>
    <t xml:space="preserve">Static shot of the creator talking directly into the camera inside a car.</t>
  </si>
  <si>
    <t xml:space="preserve">Immediate, direct speaking.</t>
  </si>
  <si>
    <t xml:space="preserve">A business owner explains why he decided to fire a high-paying client who wanted to negotiate his rates after achieving success.</t>
  </si>
  <si>
    <t xml:space="preserve">https://www.instagram.com/reel/Db4Q1xtReFF/</t>
  </si>
  <si>
    <t xml:space="preserve">@annubhartibdps</t>
  </si>
  <si>
    <t xml:space="preserve">India 🇮🇳 से घर बैठे अमेरिका 🇺🇸 के लिए काम करो और dollar 💵 में कमाओ! 🇮🇳 ➡️ 🇺🇸</t>
  </si>
  <si>
    <t xml:space="preserve">A person standing centered, looking directly at the camera, then beginning to gesture while speaking.</t>
  </si>
  <si>
    <t xml:space="preserve">Immediate, clear speaking in Hindi.</t>
  </si>
  <si>
    <t xml:space="preserve">A creator explains how to find remote freelance work on a specific job platform.</t>
  </si>
  <si>
    <t xml:space="preserve">tutorial walk-through with talking head</t>
  </si>
  <si>
    <t xml:space="preserve">https://www.instagram.com/reel/DbAGJJmOeEO/</t>
  </si>
  <si>
    <t xml:space="preserve">@youth_wisdom_bytes</t>
  </si>
  <si>
    <t xml:space="preserve">India (Hindi-speaking entrepreneurs and business owners)</t>
  </si>
  <si>
    <t xml:space="preserve">STAFFS SE KAAM KARWANE KA SAHI TARIKA</t>
  </si>
  <si>
    <t xml:space="preserve">A man speaking directly to the camera with a microphone in front of him.</t>
  </si>
  <si>
    <t xml:space="preserve">Immediate speaking with background music already playing.</t>
  </si>
  <si>
    <t xml:space="preserve">A business owner explains why fixed salaries demotivate staff and suggests a commission-based incentive model to improve performance.</t>
  </si>
  <si>
    <t xml:space="preserve">split screen (creator + overlay graphics)</t>
  </si>
  <si>
    <t xml:space="preserve">talking head with graphic explanation</t>
  </si>
  <si>
    <t xml:space="preserve">https://www.instagram.com/reel/DaKT9OByawu/</t>
  </si>
  <si>
    <t xml:space="preserve">@anu.sarma.581187</t>
  </si>
  <si>
    <t xml:space="preserve">India / Hindi-speaking demographic.</t>
  </si>
  <si>
    <t xml:space="preserve">धंधे में किसी को पार्टनर मत बनाना (Do not make anyone a partner in business)</t>
  </si>
  <si>
    <t xml:space="preserve">A static shot of a woman standing in front of a framed whiteboard with written text, with her hands gesturing occasionally.</t>
  </si>
  <si>
    <t xml:space="preserve">Soft, melodic background music playing immediately.</t>
  </si>
  <si>
    <t xml:space="preserve">The video features a woman standing in front of a whiteboard with Hindi text, explaining why one should avoid business partnerships.</t>
  </si>
  <si>
    <t xml:space="preserve">Single-shot talking head with text-on-screen.</t>
  </si>
  <si>
    <t xml:space="preserve">static educational text overlay loop</t>
  </si>
  <si>
    <t xml:space="preserve">https://www.instagram.com/reel/Db979kMJpCS/</t>
  </si>
  <si>
    <t xml:space="preserve">@wealth.cap</t>
  </si>
  <si>
    <t xml:space="preserve">United States/English-speaking</t>
  </si>
  <si>
    <t xml:space="preserve">Costco's $1.50 hot dog combo stayed $1.50 since 1985.</t>
  </si>
  <si>
    <t xml:space="preserve">A man in a suit is shown in front of a Costco store (green screen), immediately transitioning to an image of the Costco hot dog.</t>
  </si>
  <si>
    <t xml:space="preserve">The narrator begins speaking about the hot dog's price history immediately.</t>
  </si>
  <si>
    <t xml:space="preserve">The video explains the business strategy behind Costco's decision to maintain its $1.50 hot dog price point for decades.</t>
  </si>
  <si>
    <t xml:space="preserve">Green screen (talking head + b-roll)</t>
  </si>
  <si>
    <t xml:space="preserve">The creator presents a business case study using a green-screen talking head to introduce a topic while interspersing relevant stock footage. Captions provide continuous context as the narrative explains the mechanics behind a specific brand strategy.</t>
  </si>
  <si>
    <t xml:space="preserve">https://www.instagram.com/reel/DbHQpliFGFk/</t>
  </si>
  <si>
    <t xml:space="preserve">@hyperscale_leaders_tribe</t>
  </si>
  <si>
    <t xml:space="preserve">India (English/Hindi)</t>
  </si>
  <si>
    <t xml:space="preserve">This is the exact mistake 95% of the D2C founders make</t>
  </si>
  <si>
    <t xml:space="preserve">A quick montage of a person on stage mixed with a graphical overlay showing a falling chart/money.</t>
  </si>
  <si>
    <t xml:space="preserve">Host speaking immediately with an energetic tone.</t>
  </si>
  <si>
    <t xml:space="preserve">A business mentor critiques common D2C startup mistakes and pitches his paid workshop as the solution.</t>
  </si>
  <si>
    <t xml:space="preserve">Talking head with Dynamic B-roll overlay</t>
  </si>
  <si>
    <t xml:space="preserve">The creator identifies a common, high-pain problem for the audience using a hook and specific statistics. They then transition to explaining why existing methods fail, before presenting their own proprietary solution as the authoritative way to achieve success.</t>
  </si>
  <si>
    <t xml:space="preserve">https://www.instagram.com/reel/DcbgeWkASYX/</t>
  </si>
  <si>
    <t xml:space="preserve">@movies.h1story</t>
  </si>
  <si>
    <t xml:space="preserve">Western (US/UK)</t>
  </si>
  <si>
    <t xml:space="preserve">Salespeople getting ready for the next lead after being told to f*ck off for the 100th time</t>
  </si>
  <si>
    <t xml:space="preserve">A close-up shot of a man's face looking intense/distressed.</t>
  </si>
  <si>
    <t xml:space="preserve">A high-energy, fast-paced electronic/pop song begins immediately.</t>
  </si>
  <si>
    <t xml:space="preserve">A clip from a movie (The Rhythm Section) is used as a meme to represent the feeling of salespeople bracing themselves after constant rejection.</t>
  </si>
  <si>
    <t xml:space="preserve">Footage compilation with text overlay</t>
  </si>
  <si>
    <t xml:space="preserve">A short, intense movie clip is paired with a specific occupational scenario overlay. The text contextualizes the emotional tone of the footage, creating a relatable meme about a common professional frustration.</t>
  </si>
  <si>
    <t xml:space="preserve">https://www.instagram.com/reel/DbUP8kqhxnk/</t>
  </si>
  <si>
    <t xml:space="preserve">@sublimesoulbyjuhi</t>
  </si>
  <si>
    <t xml:space="preserve">Top 3 ways to earn in DOLLARS ($$) even after moving back to India</t>
  </si>
  <si>
    <t xml:space="preserve">A static shot of a woman standing in front of a green-paned office building, looking slightly to the side.</t>
  </si>
  <si>
    <t xml:space="preserve">Upbeat Bollywood-style music track.</t>
  </si>
  <si>
    <t xml:space="preserve">A creator stands in front of a modern building with an on-screen text overlay promising a guide to earning US dollars while living in India.</t>
  </si>
  <si>
    <t xml:space="preserve">Creator displays a specific pain-point solution promise in static text overlay while posing against a generic background. The reel serves solely to drive the viewer to read the detailed content in the caption.</t>
  </si>
  <si>
    <t xml:space="preserve">https://www.instagram.com/reel/DbdG3_HzAY8/</t>
  </si>
  <si>
    <t xml:space="preserve">A static graphic with a title in Hindi, illustration of a tea cup and biscuit, and an Indian flag icon.</t>
  </si>
  <si>
    <t xml:space="preserve">A low-fi hip hop beat starts immediately.</t>
  </si>
  <si>
    <t xml:space="preserve">Static graphic carousel-style presentation</t>
  </si>
  <si>
    <t xml:space="preserve">Present a business lesson by showing a relatable anecdote or observation on-screen. Conclude with a summary of the 'takeaway' and a clear prompt for the audience to follow for more content.</t>
  </si>
  <si>
    <t xml:space="preserve">Static</t>
  </si>
  <si>
    <t xml:space="preserve">Hook Library: live stats from Master Database (ICP Fit ≥4, capped outlier), plus fill-in templates for your niche</t>
  </si>
  <si>
    <t xml:space="preserve"># Posts (fit≥4)</t>
  </si>
  <si>
    <t xml:space="preserve">Avg Outlier: All</t>
  </si>
  <si>
    <t xml:space="preserve">Avg: LinkedIn</t>
  </si>
  <si>
    <t xml:space="preserve">Avg: X</t>
  </si>
  <si>
    <t xml:space="preserve">Avg: Instagram</t>
  </si>
  <si>
    <t xml:space="preserve">Best Example (your niche)</t>
  </si>
  <si>
    <t xml:space="preserve">Best Example URL</t>
  </si>
  <si>
    <t xml:space="preserve">Template 1 (Intl DFY)</t>
  </si>
  <si>
    <t xml:space="preserve">Template 2 (India Cohort / X)</t>
  </si>
  <si>
    <t xml:space="preserve">When To Use</t>
  </si>
  <si>
    <t xml:space="preserve">@meghanclor (Instagram, 922.1x): Attract clients who don’t flinch at your price 👀</t>
  </si>
  <si>
    <t xml:space="preserve">Content earns attention. Outbound earns conversations. Systems earn predictability.</t>
  </si>
  <si>
    <t xml:space="preserve">Skill se client nahi aata. Positioning se aata hai.</t>
  </si>
  <si>
    <t xml:space="preserve">Aphorisms on X (36x). Quote-card on IG/LinkedIn.</t>
  </si>
  <si>
    <t xml:space="preserve">@fromzerotomill (X, 243.7x): i know a guy making $400k/yr selling "digital disappearance" guides to burned-out tech bros who want to delete their online presence</t>
  </si>
  <si>
    <t xml:space="preserve">A founder told me on a call last week: "{Everything still comes through me}." Here's what we found when we mapped his last 20 deals:</t>
  </si>
  <si>
    <t xml:space="preserve">Ek Indian IT firm ka founder: "{US clients ghost karte hain}". Maine ek sawaal poocha:</t>
  </si>
  <si>
    <t xml:space="preserve">X &gt; LinkedIn for stories in this data. Keep under 1,000 chars on LinkedIn.</t>
  </si>
  <si>
    <t xml:space="preserve">@fromzerotomill (X, 520.9x): had coffee with a guy last thursday who sold his marketing agency for $6.3m and i'm still processing what he told me</t>
  </si>
  <si>
    <t xml:space="preserve">{22}-person consultancy. {71}% of revenue from referrals. 90 days later: {14} qualified calls/month. The 3 changes:</t>
  </si>
  <si>
    <t xml:space="preserve">₹{40}L/month agency, 0 international clients. 6 weeks later: {3} US retainers. What changed:</t>
  </si>
  <si>
    <t xml:space="preserve">Proof posts. Needs real numbers; never fabricate.</t>
  </si>
  <si>
    <t xml:space="preserve">@scott_bair (X, 162.2x): How to Brand Your Company: The Complete Playbook</t>
  </si>
  <si>
    <t xml:space="preserve">The {4}-step warm outbound loop {15-50} person firms use to book {8-15} calls/month (step 1 costs nothing):</t>
  </si>
  <si>
    <t xml:space="preserve">International clients ke liye {5} steps: positioning to first USD invoice</t>
  </si>
  <si>
    <t xml:space="preserve">MOFU. Save-driven. Carousels on LinkedIn, threads on X.</t>
  </si>
  <si>
    <t xml:space="preserve">@nicksayala (Instagram, 199.3x): when somebody low balls you never defend your price here's what to say instead</t>
  </si>
  <si>
    <t xml:space="preserve">Most {consultancies} don't have a lead problem. They have a {founder-dependency} problem. Here's how to tell which one you have:</t>
  </si>
  <si>
    <t xml:space="preserve">"Referrals are the best leads" is the most expensive belief in Indian services. Here's what it's costing you:</t>
  </si>
  <si>
    <t xml:space="preserve">TOFU on LinkedIn/X. Best LinkedIn archetype in data.</t>
  </si>
  <si>
    <t xml:space="preserve">@justdavidboland (Instagram, 410.1x): Coaches and consultants: comment “chocolate” for the pricing masterclass for coaches &amp; consultants where you’ll learn exactly how to pick a price for your offer</t>
  </si>
  <si>
    <t xml:space="preserve">I built a {10}-question Pipeline Dependency Scorecard for {B2B firm} founders. Comment "{SCORE}" and I'll send it.</t>
  </si>
  <si>
    <t xml:space="preserve">Comment "{GLOBAL}" for my International Client Hunting checklist (Indian service firms)</t>
  </si>
  <si>
    <t xml:space="preserve">1 in 4 posts max. IG + LinkedIn. Deliver within 1 hour.</t>
  </si>
  <si>
    <t xml:space="preserve">@om_patel5 (X, 164.5x): SOMEONE VIBE CODED A TOOL THAT FINDS BUSINESSES, READS THEIR REVIEWS, AND WRITES COLD EMAILS BASED ON THEIR OWN CUSTOMERS' COMPLAINTS</t>
  </si>
  <si>
    <t xml:space="preserve">Here's the exact signal-to-DM workflow we run for clients (screen recording):</t>
  </si>
  <si>
    <t xml:space="preserve">Mera pura outbound stack, ₹0 se shuru (screen share)</t>
  </si>
  <si>
    <t xml:space="preserve">Screen-record. Avoid pure AI-tool hype; show the business outcome.</t>
  </si>
  <si>
    <t xml:space="preserve">@gmalho.mkt (Instagram, 120.9x): POV: the client says 'the leads are weak'</t>
  </si>
  <si>
    <t xml:space="preserve">"{Can we do a 2-week trial first?}" A $5M consultancy asked me this yesterday. Here's why I said no and what I offered instead:</t>
  </si>
  <si>
    <t xml:space="preserve">"{Aap mehenge ho}" Indian clients ko kya bolna chahiye (and why US clients never say this)</t>
  </si>
  <si>
    <t xml:space="preserve">Top IG archetype (108x, n=4). Use real objections from your calls.</t>
  </si>
  <si>
    <t xml:space="preserve">@jonathan-peslar (LinkedIn, 61.9x): R.I.P. cold outbound.</t>
  </si>
  <si>
    <t xml:space="preserve">In 2027, the founders who win new logos won't have the best content. They'll have the best {signal capture}.</t>
  </si>
  <si>
    <t xml:space="preserve">2027 mein Indian agencies ka sabse bada risk:</t>
  </si>
  <si>
    <t xml:space="preserve">Under-performs on LinkedIn (6x). Use sparingly, mostly on X.</t>
  </si>
  <si>
    <t xml:space="preserve">@john_s_hawes (Instagram, 276.1x): As a 7-figure bakery owner, I probably shouldn't share this pricing formula...</t>
  </si>
  <si>
    <t xml:space="preserve">What {lead-gen agencies} won't tell you about why their meetings don't close:</t>
  </si>
  <si>
    <t xml:space="preserve">Upwork ke bahar international clients kahan milte hain (nobody shares this):</t>
  </si>
  <si>
    <t xml:space="preserve">IG and X. Pay off the curiosity in the first 5 seconds or lines.</t>
  </si>
  <si>
    <t xml:space="preserve">@calebchae (Instagram, 335.5x): SERVICE BASED BUSINESS OWNERS RUNNING META ADS</t>
  </si>
  <si>
    <t xml:space="preserve">Founders of {15-50} person consultancies: if {&gt;50}% of your revenue comes from referrals, read this.</t>
  </si>
  <si>
    <t xml:space="preserve">Indian agency owners with {10+} employees: this is for you.</t>
  </si>
  <si>
    <t xml:space="preserve">Line 1 qualifier. Filters aspirants out, lowers reach, raises fit.</t>
  </si>
  <si>
    <t xml:space="preserve">@_owensantos_ (Instagram, 765.0x): 26M Dollar Closer Vs Kid</t>
  </si>
  <si>
    <t xml:space="preserve">$5k/mo consultant vs $50k/mo consultant: how they answer "what do you do?"</t>
  </si>
  <si>
    <t xml:space="preserve">₹50k client vs $5k client: same work, different positioning</t>
  </si>
  <si>
    <t xml:space="preserve">IG reels: split-screen or role-play. Highest median (86x, n=4).</t>
  </si>
  <si>
    <t xml:space="preserve">@theamandagoetz (Instagram, 7.3x): Do cold outreaches work on LinkedIn? Generic ones don’t, but THIS method just might… 👀</t>
  </si>
  <si>
    <t xml:space="preserve">If your top client left tomorrow, how many weeks of pipeline do you have?</t>
  </si>
  <si>
    <t xml:space="preserve">Agar kal aapka sabse bada client chala jaaye toh?</t>
  </si>
  <si>
    <t xml:space="preserve">Diagnostic openers; pair with scorecard CTA.</t>
  </si>
  <si>
    <t xml:space="preserve">@finnmallery (LinkedIn, 11.9x): Today, we’re proud to launch Origami, the first AI that finds you new customers automatically.</t>
  </si>
  <si>
    <t xml:space="preserve">{LinkedIn changed X this week}. Here's what it means for founder-led B2B pipeline:</t>
  </si>
  <si>
    <t xml:space="preserve">Naya {LinkedIn update}: Indian B2B firms ke liye matlab</t>
  </si>
  <si>
    <t xml:space="preserve">Only when the news affects your ICP's pipeline.</t>
  </si>
  <si>
    <t xml:space="preserve">Note: averages use outlier capped at 100x to stop single anomalies dominating. Small n (&lt;5) archetypes are directional only. {Curly braces} = fill with your own real data.</t>
  </si>
  <si>
    <t xml:space="preserve">Creator Watchlist: who to study, and whose comment sections to work (comment-to-pipeline)</t>
  </si>
  <si>
    <t xml:space="preserve">Posts in DB</t>
  </si>
  <si>
    <t xml:space="preserve">Max Outlier</t>
  </si>
  <si>
    <t xml:space="preserve">Median Outlier</t>
  </si>
  <si>
    <t xml:space="preserve">Avg ICP Fit</t>
  </si>
  <si>
    <t xml:space="preserve">Main Cluster</t>
  </si>
  <si>
    <t xml:space="preserve">Best Post (hook)</t>
  </si>
  <si>
    <t xml:space="preserve">Best Post URL</t>
  </si>
  <si>
    <t xml:space="preserve">Why Watch / Notes</t>
  </si>
  <si>
    <t xml:space="preserve">Action</t>
  </si>
  <si>
    <t xml:space="preserve">Engaged? (Y/N)</t>
  </si>
  <si>
    <t xml:space="preserve">2 outlier posts in your clusters</t>
  </si>
  <si>
    <t xml:space="preserve">Post data</t>
  </si>
  <si>
    <t xml:space="preserve">Study + comment daily (audience = your ICP)</t>
  </si>
  <si>
    <t xml:space="preserve">3 outlier posts in your clusters</t>
  </si>
  <si>
    <t xml:space="preserve">4 outlier posts in your clusters</t>
  </si>
  <si>
    <t xml:space="preserve">Study hooks/formats</t>
  </si>
  <si>
    <t xml:space="preserve">6 outlier posts in your clusters</t>
  </si>
  <si>
    <t xml:space="preserve">17 outlier posts in your clusters</t>
  </si>
  <si>
    <t xml:space="preserve">5 outlier posts in your clusters</t>
  </si>
  <si>
    <t xml:space="preserve">7 outlier posts in your clusters</t>
  </si>
  <si>
    <t xml:space="preserve">Single outlier: check consistency</t>
  </si>
  <si>
    <t xml:space="preserve">Scaling education businesses; agency-owner sales teardown stories</t>
  </si>
  <si>
    <t xml:space="preserve">Start, scale &amp; systemise client-based businesses; funnel tier lists for agencies</t>
  </si>
  <si>
    <t xml:space="preserve">LinkedIn outbound at scale for founders; story-led hooks</t>
  </si>
  <si>
    <t xml:space="preserve">Deal flow for firms selling expensive services; outbound concept lists</t>
  </si>
  <si>
    <t xml:space="preserve">Eddie Maalouf</t>
  </si>
  <si>
    <t xml:space="preserve">@imakebadads</t>
  </si>
  <si>
    <t xml:space="preserve">Agency Growth / Outbound</t>
  </si>
  <si>
    <t xml:space="preserve">Co-founder BAD Marketers, 180+ employee agency; 600 consulting calls with agency owners</t>
  </si>
  <si>
    <t xml:space="preserve">Eden creator discovery</t>
  </si>
  <si>
    <t xml:space="preserve">Follow, analyse with eden_analyze_creator, engage weekly</t>
  </si>
  <si>
    <t xml:space="preserve">Matthew C Brown</t>
  </si>
  <si>
    <t xml:space="preserve">@mcovbrown</t>
  </si>
  <si>
    <t xml:space="preserve">LinkedIn content + email for $1M+/yr expert-led businesses (direct competitor-adjacent)</t>
  </si>
  <si>
    <t xml:space="preserve">GTM playbooks using AI for YC/B2B; services-as-software</t>
  </si>
  <si>
    <t xml:space="preserve">Jordan Ross</t>
  </si>
  <si>
    <t xml:space="preserve">@jordan_ross_8f</t>
  </si>
  <si>
    <t xml:space="preserve">Agency owners build business that works without them; 1000+ agencies</t>
  </si>
  <si>
    <t xml:space="preserve">Termsheetinator</t>
  </si>
  <si>
    <t xml:space="preserve">@termsheetinator</t>
  </si>
  <si>
    <t xml:space="preserve">B2B sales/outreach tactics, offer vs meeting A/B</t>
  </si>
  <si>
    <t xml:space="preserve">Christian</t>
  </si>
  <si>
    <t xml:space="preserve">@coldemailchris</t>
  </si>
  <si>
    <t xml:space="preserve">AI-native outbound systems for B2B; full-funnel outbound stacks</t>
  </si>
  <si>
    <t xml:space="preserve">Sean Longden</t>
  </si>
  <si>
    <t xml:space="preserve">@seanlongden</t>
  </si>
  <si>
    <t xml:space="preserve">AI client acquisition systems for agencies; leadgen offer evolution</t>
  </si>
  <si>
    <t xml:space="preserve">Brian Moncada</t>
  </si>
  <si>
    <t xml:space="preserve">@thebrianmoncada</t>
  </si>
  <si>
    <t xml:space="preserve">Agency scaling to $100k/mo; hybrid offer model</t>
  </si>
  <si>
    <t xml:space="preserve">Alex Penunuri</t>
  </si>
  <si>
    <t xml:space="preserve">@penunurialex</t>
  </si>
  <si>
    <t xml:space="preserve">Cash-collected case studies, DM prospecting</t>
  </si>
  <si>
    <t xml:space="preserve">Oscar Hoole</t>
  </si>
  <si>
    <t xml:space="preserve">@theoscarhoole</t>
  </si>
  <si>
    <t xml:space="preserve">4,500 inbound leads in 12 months; outbound-to-inbound systems</t>
  </si>
  <si>
    <t xml:space="preserve">Jeremy Haynes</t>
  </si>
  <si>
    <t xml:space="preserve">@thejeremyhaynes</t>
  </si>
  <si>
    <t xml:space="preserve">High-ticket scaling; 'sat down with $XK/mo agency owner' format</t>
  </si>
  <si>
    <t xml:space="preserve">Cluster x Platform: live pivot on Master Database (all rows, ICP fit ≥3)</t>
  </si>
  <si>
    <t xml:space="preserve">Min ICP Fit filter:</t>
  </si>
  <si>
    <t xml:space="preserve"># LinkedIn</t>
  </si>
  <si>
    <t xml:space="preserve"># X</t>
  </si>
  <si>
    <t xml:space="preserve"># Instagram</t>
  </si>
  <si>
    <t xml:space="preserve"># Total</t>
  </si>
  <si>
    <t xml:space="preserve">Avg Outlier LinkedIn</t>
  </si>
  <si>
    <t xml:space="preserve">Avg Outlier X</t>
  </si>
  <si>
    <t xml:space="preserve">Avg Outlier Instagram</t>
  </si>
  <si>
    <t xml:space="preserve"># Hidden Gems</t>
  </si>
  <si>
    <t xml:space="preserve"># Breakouts</t>
  </si>
  <si>
    <t xml:space="preserve">Share of Posts</t>
  </si>
  <si>
    <t xml:space="preserve">Total</t>
  </si>
  <si>
    <t xml:space="preserve">Hook Archetype x Platform (avg capped outlier, fit ≥ filter)</t>
  </si>
  <si>
    <t xml:space="preserve"># Posts</t>
  </si>
  <si>
    <t xml:space="preserve">Caveat: outlier scores are relative to each creator's baseline and are NOT comparable across platforms (X and IG baselines differ from LinkedIn's). Compare within a column, not across.</t>
  </si>
  <si>
    <t xml:space="preserve">30-Day Content Calendar: LinkedIn is the primary channel, X takes the same idea compressed, IG gets 3 reels/week</t>
  </si>
  <si>
    <t xml:space="preserve">Start date (Monday):</t>
  </si>
  <si>
    <t xml:space="preserve">Day</t>
  </si>
  <si>
    <t xml:space="preserve">Date</t>
  </si>
  <si>
    <t xml:space="preserve">Pillar</t>
  </si>
  <si>
    <t xml:space="preserve">Working Title / Hook</t>
  </si>
  <si>
    <t xml:space="preserve">Reference Creator</t>
  </si>
  <si>
    <t xml:space="preserve">Reference URL (from DB)</t>
  </si>
  <si>
    <t xml:space="preserve">Published URL</t>
  </si>
  <si>
    <t xml:space="preserve">ICP Engagers (count)</t>
  </si>
  <si>
    <t xml:space="preserve">P1 Pipeline Diagnosis</t>
  </si>
  <si>
    <t xml:space="preserve">Most 15-50 person firms don't have a lead problem. They have a founder-dependency problem.</t>
  </si>
  <si>
    <t xml:space="preserve">Text post</t>
  </si>
  <si>
    <t xml:space="preserve">TOFU</t>
  </si>
  <si>
    <t xml:space="preserve">Planned</t>
  </si>
  <si>
    <t xml:space="preserve">One-liner: "You don't have a lead problem. You have a you problem."</t>
  </si>
  <si>
    <t xml:space="preserve">Tweet / thread</t>
  </si>
  <si>
    <t xml:space="preserve">Positioning</t>
  </si>
  <si>
    <t xml:space="preserve">If you've never met me: what I do, who for, the one belief I reject</t>
  </si>
  <si>
    <t xml:space="preserve">Text + photo</t>
  </si>
  <si>
    <t xml:space="preserve">Pinned intro thread</t>
  </si>
  <si>
    <t xml:space="preserve">Talking head: 3 signs your firm is founder-dependent</t>
  </si>
  <si>
    <t xml:space="preserve">Reel</t>
  </si>
  <si>
    <t xml:space="preserve">P2 Warm Outbound</t>
  </si>
  <si>
    <t xml:space="preserve">The 2-sentence DM that gets replies from busy founders (with 3 real examples)</t>
  </si>
  <si>
    <t xml:space="preserve">Carousel</t>
  </si>
  <si>
    <t xml:space="preserve">MOFU</t>
  </si>
  <si>
    <t xml:space="preserve">Thread: 3 DM before/afters</t>
  </si>
  <si>
    <t xml:space="preserve">"If we've never met" intro reel (pin it)</t>
  </si>
  <si>
    <t xml:space="preserve">P3 Sales &amp; Pricing</t>
  </si>
  <si>
    <t xml:space="preserve">"Can we do a 2-week trial?" Why I say no to $5M consultancies and what I offer instead</t>
  </si>
  <si>
    <t xml:space="preserve">Quote + 3-line answer</t>
  </si>
  <si>
    <t xml:space="preserve">Lead Magnet</t>
  </si>
  <si>
    <t xml:space="preserve">Pipeline Dependency Scorecard: 10 questions. Comment SCORE.</t>
  </si>
  <si>
    <t xml:space="preserve">Doc/PDF post</t>
  </si>
  <si>
    <t xml:space="preserve">Lead Capture</t>
  </si>
  <si>
    <t xml:space="preserve">Objection reel: the quote on screen, my answer</t>
  </si>
  <si>
    <t xml:space="preserve">"Built a scorecard, reply SCORE"</t>
  </si>
  <si>
    <t xml:space="preserve">P5 Authority System</t>
  </si>
  <si>
    <t xml:space="preserve">Your best buyers read your posts and never like them. That's why content alone fails.</t>
  </si>
  <si>
    <t xml:space="preserve">Aphorism version</t>
  </si>
  <si>
    <t xml:space="preserve">Series: Intl Client Hunting</t>
  </si>
  <si>
    <t xml:space="preserve">Why Indian service firms lose money on Indian clients, and how to price for US/UK</t>
  </si>
  <si>
    <t xml:space="preserve">Thread: the ₹ vs $ pricing math</t>
  </si>
  <si>
    <t xml:space="preserve">The 4-step warm outbound loop (step 1 costs nothing)</t>
  </si>
  <si>
    <t xml:space="preserve">Thread: 4 steps</t>
  </si>
  <si>
    <t xml:space="preserve">Hinglish reel: ₹50k client vs $5k client</t>
  </si>
  <si>
    <t xml:space="preserve">One discovery question that tells me if a firm will grow: "If pipeline doesn't change for 6 months, what breaks first?"</t>
  </si>
  <si>
    <t xml:space="preserve">The question alone</t>
  </si>
  <si>
    <t xml:space="preserve">Thesis</t>
  </si>
  <si>
    <t xml:space="preserve">Quote card</t>
  </si>
  <si>
    <t xml:space="preserve">Talking head: one question, why it works</t>
  </si>
  <si>
    <t xml:space="preserve">Post as-is</t>
  </si>
  <si>
    <t xml:space="preserve">Quote card carousel (3 slides)</t>
  </si>
  <si>
    <t xml:space="preserve">Skip the $40k conference booth: the 8-person founder dinner play</t>
  </si>
  <si>
    <t xml:space="preserve">Story thread</t>
  </si>
  <si>
    <t xml:space="preserve">P6 Scale Systems</t>
  </si>
  <si>
    <t xml:space="preserve">You don't need a COO. You need the founder out of 3 loops.</t>
  </si>
  <si>
    <t xml:space="preserve">3 loops list</t>
  </si>
  <si>
    <t xml:space="preserve">What a $10k/mo client gets in week 1 (our onboarding, screen-recorded)</t>
  </si>
  <si>
    <t xml:space="preserve">Video / doc</t>
  </si>
  <si>
    <t xml:space="preserve">BOFU</t>
  </si>
  <si>
    <t xml:space="preserve">Screenshots thread</t>
  </si>
  <si>
    <t xml:space="preserve">Whiteboard reel: 3 loops</t>
  </si>
  <si>
    <t xml:space="preserve">Our client's reels got 40x the views. LinkedIn produced 11 of 12 deals. Why.</t>
  </si>
  <si>
    <t xml:space="preserve">Numbers-first tweet</t>
  </si>
  <si>
    <t xml:space="preserve">Screen-record reel</t>
  </si>
  <si>
    <t xml:space="preserve">Comment-to-pipeline: the 20-comments-a-day routine that fills my DMs</t>
  </si>
  <si>
    <t xml:space="preserve">Routine as list</t>
  </si>
  <si>
    <t xml:space="preserve">Screen-record: me commenting + the DM that follows</t>
  </si>
  <si>
    <t xml:space="preserve">"US clients ghost us." What I told a ₹40L/month Indian IT firm</t>
  </si>
  <si>
    <t xml:space="preserve">P4 Proof</t>
  </si>
  <si>
    <t xml:space="preserve">Month 1 build-in-public: calls booked, source split, close rate</t>
  </si>
  <si>
    <t xml:space="preserve">Text + screenshot</t>
  </si>
  <si>
    <t xml:space="preserve">Screenshot tweet</t>
  </si>
  <si>
    <t xml:space="preserve">Hinglish reel: the one question</t>
  </si>
  <si>
    <t xml:space="preserve">A 30-person firm has 30 LinkedIn accounts and uses one</t>
  </si>
  <si>
    <t xml:space="preserve">One-liner</t>
  </si>
  <si>
    <t xml:space="preserve">Side-by-side tweet</t>
  </si>
  <si>
    <t xml:space="preserve">The follow-up I send 9 days after a proposal goes quiet (exact text)</t>
  </si>
  <si>
    <t xml:space="preserve">Split-screen role-play reel</t>
  </si>
  <si>
    <t xml:space="preserve">Exact text tweet</t>
  </si>
  <si>
    <t xml:space="preserve">Script reel: text on screen</t>
  </si>
  <si>
    <t xml:space="preserve">Summary</t>
  </si>
  <si>
    <t xml:space="preserve">ICP engagers total</t>
  </si>
  <si>
    <t xml:space="preserve">India &amp; Hindi/Hinglish: findings</t>
  </si>
  <si>
    <t xml:space="preserve">Coverage</t>
  </si>
  <si>
    <t xml:space="preserve">107 India-related or Hindi/Hinglish posts collected across 5 dedicated Hindi queries + 3 vidIQ India pulls + English India queries.</t>
  </si>
  <si>
    <t xml:space="preserve">Mix</t>
  </si>
  <si>
    <t xml:space="preserve">Other business: 40 | Freelancing / Earn-in-dollars (aspirant): 29 | Agency / Sales / Clients (closest to ICP): 16 | MSME / Retail / Trade: 15 | Mindset / Money / Celebrity clips: 7</t>
  </si>
  <si>
    <t xml:space="preserve">Finding 1</t>
  </si>
  <si>
    <t xml:space="preserve">The Hindi creator economy at 5k-100k followers targets aspirants (students, freelancers, side-hustlers) and retail/MSME owners. Almost no creator speaks to 10-50 person B2B service founders in Hindi.</t>
  </si>
  <si>
    <t xml:space="preserve">Finding 2</t>
  </si>
  <si>
    <t xml:space="preserve">The India posts closest to your ICP are in ENGLISH on X/LinkedIn (e.g. @theroborourke on an India-based design agency, 41x; @hartdrawss on the toxic Indian freelance market, 221x). Your Indian buyer consumes English business content.</t>
  </si>
  <si>
    <t xml:space="preserve">Finding 3</t>
  </si>
  <si>
    <t xml:space="preserve">Hinglish reels that work for owner-level topics: rupee-specific transformations (₹5k to ₹1L via pricing changes, @ananyabagri), sales-psychology explainers with movie clips (@parasrai_realtor 28x on 50k), and comment-for-PDF lead magnets (@niko_.thinks).</t>
  </si>
  <si>
    <t xml:space="preserve">Recommendation</t>
  </si>
  <si>
    <t xml:space="preserve">English-first on LinkedIn for the India cohort, with "International Client Hunting" as the series. Hinglish IG reels (1/week) for warmth and reach. Expect IG Hindi engagers to skew to aspirants: qualify hard (team size, revenue) before cohort calls. Consider a Hinglish YouTube/podcast later only if cohort demand is proven.</t>
  </si>
  <si>
    <t xml:space="preserve">Whitespace to test</t>
  </si>
  <si>
    <t xml:space="preserve">"Indian B2B founder" Hinglish content about exporting services (USD pricing, US outbound, time-zone sales) is nearly empty at this follower range. Test 8 reels over 4 weeks: if ≥3 hit ≥5x your baseline AND bring ≥5 owner-level DMs, double down.</t>
  </si>
  <si>
    <t xml:space="preserve">India / Hindi post list</t>
  </si>
  <si>
    <t xml:space="preserve">Category</t>
  </si>
  <si>
    <t xml:space="preserve">Hook</t>
  </si>
  <si>
    <t xml:space="preserve">Freelancing / Earn-in-dollars (aspirant)</t>
  </si>
  <si>
    <t xml:space="preserve">Agency / Sales / Clients (closest to ICP)</t>
  </si>
  <si>
    <t xml:space="preserve">Other business</t>
  </si>
  <si>
    <t xml:space="preserve">MSME / Retail / Trade</t>
  </si>
  <si>
    <t xml:space="preserve">@swapniljambhulkar</t>
  </si>
  <si>
    <t xml:space="preserve">I looked at a ₹65 Cr manufacturing business in Gujarat this week.</t>
  </si>
  <si>
    <t xml:space="preserve">https://www.linkedin.com/feed/update/urn:li:activity:7443528086735716352</t>
  </si>
  <si>
    <t xml:space="preserve">https://www.linkedin.com/feed/update/urn:li:activity:7443190681994526720</t>
  </si>
  <si>
    <t xml:space="preserve">@digginginthedi1</t>
  </si>
  <si>
    <t xml:space="preserve">Think of just how improbable it is for this many global companies to select Indians as CEOs by pure merit</t>
  </si>
  <si>
    <t xml:space="preserve">https://x.com/DiggingInTheDi1/status/2026311352503943626</t>
  </si>
  <si>
    <t xml:space="preserve">The image shows a tweet claiming more than 20 global companies are now led by CEOs of Indian origin, displaying company names, CEO names and Indian flag emojis. The accompanying text argues this outcome is improbable by merit and suggests nepotistic fraud instead.</t>
  </si>
  <si>
    <t xml:space="preserve">@raghujagdish</t>
  </si>
  <si>
    <t xml:space="preserve">🏭 TURNAROUND STORIES | BY DR. RAGHU</t>
  </si>
  <si>
    <t xml:space="preserve">https://www.linkedin.com/feed/update/urn:li:activity:7442759743301066752</t>
  </si>
  <si>
    <t xml:space="preserve">@joshwithaneye</t>
  </si>
  <si>
    <t xml:space="preserve">2 days back, I shared the story of Dr. Santosh Goyal a PhD scholar in English and a former teacher at NDA , someone who once shaped the minds of future leaders, but was later seen teaching quietly from a temple after lif</t>
  </si>
  <si>
    <t xml:space="preserve">https://www.linkedin.com/feed/update/urn:li:activity:7456985703294337024</t>
  </si>
  <si>
    <t xml:space="preserve">Most Indians have not heard of Persistent Systems,That is a shame, because every Indian should know what happened this weekend.</t>
  </si>
  <si>
    <t xml:space="preserve">https://www.linkedin.com/feed/update/urn:li:activity:7477548978302033921</t>
  </si>
  <si>
    <t xml:space="preserve">Mindset / Money / Celebrity clips</t>
  </si>
  <si>
    <t xml:space="preserve">@kdvix</t>
  </si>
  <si>
    <t xml:space="preserve">how wealthy individuals move or "circulate" money to Dubai, it is important to distinguish between legitimate financial planning and illegal practices. High-net-worth individuals (HNWIs) typically use several legal frame</t>
  </si>
  <si>
    <t xml:space="preserve">https://www.instagram.com/reel/DVViJW5DLh3/</t>
  </si>
  <si>
    <t xml:space="preserve">A short video explains legal methods for wealthy individuals to move money to Dubai, including India's Liberalised Remittance Scheme, corporate investments, holding company structures, and Dubai's Golden Visa program.</t>
  </si>
  <si>
    <t xml:space="preserve">India Rocked, China Shocked! 🇮🇳😳🇨🇳</t>
  </si>
  <si>
    <t xml:space="preserve">“Kids of Indian billionaires are making fancy ice-creams and cookies and call themselves startups.”</t>
  </si>
  <si>
    <t xml:space="preserve">https://x.com/CAronitpereira/status/2054099226729320836</t>
  </si>
  <si>
    <t xml:space="preserve">Piyush Goyal presents at a formal event criticizing Indian billionaire offspring starting ice cream and cookie businesses, claiming they misrepresent startups and distracting from real growth markets.</t>
  </si>
  <si>
    <t xml:space="preserve">@rvivek</t>
  </si>
  <si>
    <t xml:space="preserve">Spent the last 3 months in India. Talked to founders, engineers, executives across multiple cities.</t>
  </si>
  <si>
    <t xml:space="preserve">https://x.com/rvivek/status/2021843250605437222</t>
  </si>
  <si>
    <t xml:space="preserve">@buzzpostfinance</t>
  </si>
  <si>
    <t xml:space="preserve">This is a 2015 video clip of late Indian investor Rakesh Jhunjhunwala recounting a humorous anecdote to God about his ideal final day: morning yoga and breakfast, active stock trading, afternoon investment discussions wi</t>
  </si>
  <si>
    <t xml:space="preserve">https://www.instagram.com/reel/Dbizw94SdJE/</t>
  </si>
  <si>
    <t xml:space="preserve">@startupcoded</t>
  </si>
  <si>
    <t xml:space="preserve">Gone Are The Days of Wallets and Loose Change. Today's Indian Gen Z Is Rewriting The Rules of Money With Just One Tap. From Cahi Stalls To E-commerce, UPI Is Their Go-To Mode of Payment - Fast, Seamless, And Absolutely C</t>
  </si>
  <si>
    <t xml:space="preserve">https://www.instagram.com/reel/DQHCOH5D4za/</t>
  </si>
  <si>
    <t xml:space="preserve">Salute to this remarkable 55-year-old Gujarati auto driver. 🙏🚖</t>
  </si>
  <si>
    <t xml:space="preserve">DAY - 64 📈💸</t>
  </si>
  <si>
    <t xml:space="preserve">@byrishikashetty</t>
  </si>
  <si>
    <t xml:space="preserve">Jk I know I’ll make it, that was a trick question 🥰</t>
  </si>
  <si>
    <t xml:space="preserve">https://www.instagram.com/reel/DXuExUikt9F/</t>
  </si>
  <si>
    <t xml:space="preserve">@vivanvatsa</t>
  </si>
  <si>
    <t xml:space="preserve">India Lusts being a Global Lab Rat.</t>
  </si>
  <si>
    <t xml:space="preserve">https://x.com/VivanVatsa/status/2004774182207586390</t>
  </si>
  <si>
    <t xml:space="preserve">@himanshustwts</t>
  </si>
  <si>
    <t xml:space="preserve">modi ji tried most indian thing to unite sam and dario but it didn't work. https://t.co/Z53Df48c0G</t>
  </si>
  <si>
    <t xml:space="preserve">https://x.com/himanshustwts/status/2024352139162898928</t>
  </si>
  <si>
    <t xml:space="preserve">The image shows six men in business attire standing together with raised fists in a celebratory pose. They are positioned in front of a purple backdrop with 'IMPACT SUMMIT' and AI-related graphics.</t>
  </si>
  <si>
    <t xml:space="preserve">TRUST BUILDS SALES .</t>
  </si>
  <si>
    <t xml:space="preserve">A Big 4 audit report is the most dangerous document in Indian Private Equity.</t>
  </si>
  <si>
    <t xml:space="preserve">https://www.linkedin.com/feed/update/urn:li:activity:7443903524800946176</t>
  </si>
  <si>
    <t xml:space="preserve">@foundersinindia</t>
  </si>
  <si>
    <t xml:space="preserve">Ashneer Grover told this fruit startup to shut it down.</t>
  </si>
  <si>
    <t xml:space="preserve">https://www.instagram.com/reel/DbIYTGqxWa0/</t>
  </si>
  <si>
    <t xml:space="preserve">@deepalivyas</t>
  </si>
  <si>
    <t xml:space="preserve">I'm proud to be Indian. I'm proud to be American. And I'm proud to be the person showing other immigrants and women of color how to navigate corporate systems we weren't taught.</t>
  </si>
  <si>
    <t xml:space="preserve">https://www.linkedin.com/feed/update/urn:li:activity:7441813506254979072</t>
  </si>
  <si>
    <t xml:space="preserve">A woman stands confidently in traditional attire indoors, with text highlighting career advancement strategies for immigrants and women of color in corporate environments.</t>
  </si>
  <si>
    <t xml:space="preserve">A global Private Equity fund bought a ₹120 Cr logistics business in Delhi NCR last year.</t>
  </si>
  <si>
    <t xml:space="preserve">https://www.linkedin.com/feed/update/urn:li:activity:7443927333851267073</t>
  </si>
  <si>
    <t xml:space="preserve">https://www.linkedin.com/feed/update/urn:li:activity:7443541136532480000</t>
  </si>
  <si>
    <t xml:space="preserve">Raj Shamani (born April 10, 1996, in Indore, Madhya Pradesh) is a definitive voice for the modern Indian entrepreneur and a global pioneer in the creator-led economy. Rising from his family’s humble chemical business to </t>
  </si>
  <si>
    <t xml:space="preserve">https://www.instagram.com/reel/DYR4yD6IpAy/</t>
  </si>
  <si>
    <t xml:space="preserve">@arijitghosh02</t>
  </si>
  <si>
    <t xml:space="preserve">How do you train ML models when your users are offline 60% of the time?</t>
  </si>
  <si>
    <t xml:space="preserve">https://www.linkedin.com/feed/update/urn:li:activity:7408558193007783936</t>
  </si>
  <si>
    <t xml:space="preserve">https://www.linkedin.com/feed/update/urn:li:activity:7408468775332933632</t>
  </si>
  <si>
    <t xml:space="preserve">https://www.linkedin.com/feed/update/urn:li:activity:7408376664155389953</t>
  </si>
  <si>
    <t xml:space="preserve">https://www.linkedin.com/feed/update/urn:li:activity:7408344219414618112</t>
  </si>
  <si>
    <t xml:space="preserve">If you have a deep Indian accent and want to sign clients in the West, your #1 priority needs to be getting rid of your accent.</t>
  </si>
  <si>
    <t xml:space="preserve">https://x.com/danielfazio/status/2008985587379044439</t>
  </si>
  <si>
    <t xml:space="preserve">A text post advises individuals with deep Indian accents to modify their accent to sign Western clients, stating that Americans prioritize how someone sounds over their cultural background.</t>
  </si>
  <si>
    <t xml:space="preserve">@pamela-buchanan-md-61ba5562</t>
  </si>
  <si>
    <t xml:space="preserve">It was my turn to pick the meal at work.</t>
  </si>
  <si>
    <t xml:space="preserve">https://www.linkedin.com/feed/update/urn:li:activity:7483501350820151296</t>
  </si>
  <si>
    <t xml:space="preserve">The image shows a Black doctor smiling while holding fried chicken, symbolizing cultural pride and embracing heritage.</t>
  </si>
  <si>
    <t xml:space="preserve">@thatdesiaryan</t>
  </si>
  <si>
    <t xml:space="preserve">Moving to Canada soon? 🇨🇦📱 Don’t wait until you land to figure out your phone plan!</t>
  </si>
  <si>
    <t xml:space="preserve">https://www.instagram.com/reel/Ddb6C_lhTyK/</t>
  </si>
  <si>
    <t xml:space="preserve">Promotional reel by Aryan Kathuria telling people moving to Canada that they can order a Canadian SIM card while still in India and get it delivered to their Indian address before flying, avoiding airport SIM hunting and roaming costs. He cites the plan's details (no activation fee, $40/month, unlimited calls, 100GB data, no contract) and points to a checkout link in his bio.</t>
  </si>
  <si>
    <t xml:space="preserve">@timelinetalksofficial</t>
  </si>
  <si>
    <t xml:space="preserve">"Rana" Daggubati is an Indian actor, producer, visual effects specialist, and entrepreneur known for his commanding screen presence and pan-Indian appeal. Born on December 14, 1984, into the prominent Daggubati film fami</t>
  </si>
  <si>
    <t xml:space="preserve">https://www.instagram.com/reel/DckQPHbKv3O/</t>
  </si>
  <si>
    <t xml:space="preserve">Short video profiling Indian actor-producer Rana Daggubati, covering his Daggubati film family background, visual effects and producing career, acting debut in Leader, and his role as Bhallaladeva in Baahubali. Biographical captions run over the clip.</t>
  </si>
  <si>
    <t xml:space="preserve">Sunil Chhetri 🇮🇳</t>
  </si>
  <si>
    <t xml:space="preserve">https://www.linkedin.com/feed/update/urn:li:activity:7406556935870713856</t>
  </si>
  <si>
    <t xml:space="preserve">@kaustubhmehta</t>
  </si>
  <si>
    <t xml:space="preserve">The biggest problem I see in Indian manufacturing.</t>
  </si>
  <si>
    <t xml:space="preserve">https://www.linkedin.com/feed/update/urn:li:activity:7411277491014819840</t>
  </si>
  <si>
    <t xml:space="preserve">@figuring_out_connection</t>
  </si>
  <si>
    <t xml:space="preserve">Raj Shamani (born July 29, 1996, in Indore, Madhya Pradesh) is an Indian entrepreneur, investor, author, and one of the country’s most influential podcasters. He began his entrepreneurial journey at the age of 16, when h</t>
  </si>
  <si>
    <t xml:space="preserve">https://www.instagram.com/reel/DdLNmpNydf6/</t>
  </si>
  <si>
    <t xml:space="preserve">@mariyavaleva-yourscalingpartner</t>
  </si>
  <si>
    <t xml:space="preserve">She moved from India to America.</t>
  </si>
  <si>
    <t xml:space="preserve">https://www.linkedin.com/feed/update/urn:li:activity:7496525271265767424</t>
  </si>
  <si>
    <t xml:space="preserve">Raj Shamani (born July 29, 1996, in Indore, Madhya Pradesh) is an Indian entrepreneur, investor, author, and podcaster whose rise from a teenager helping his family business to becoming one of India's most influential di</t>
  </si>
  <si>
    <t xml:space="preserve">https://www.instagram.com/reel/DcxiomEpBzE/</t>
  </si>
  <si>
    <t xml:space="preserve">If you're interested in Business, Entrepreneurship, Management, nation-building, and understanding how Indian bureaucracy and corporate vision often collide, you must watch "Made in India: A Titan Story."</t>
  </si>
  <si>
    <t xml:space="preserve">https://www.linkedin.com/feed/update/urn:li:activity:7468568161349439488</t>
  </si>
  <si>
    <t xml:space="preserve">Carousel Formula: Eden study of top Instagram carousels on "B2B client acquisition"</t>
  </si>
  <si>
    <t xml:space="preserve">18 matched, 6 studied slide-by-slide (min 2x outlier). Use for IG and LinkedIn document posts.</t>
  </si>
  <si>
    <t xml:space="preserve">Renderer</t>
  </si>
  <si>
    <t xml:space="preserve">Image-background: bold sans-serif type over full-bleed lifestyle/scenario photography. Photo always occupies ≥50% of the frame.</t>
  </si>
  <si>
    <t xml:space="preserve">Palette</t>
  </si>
  <si>
    <t xml:space="preserve">Background #000000 / photo; foreground #FFFFFF; accent deep red-brown #8B2E2E (occasionally yellow for emphasis). Surfaces: cream, dark teal, white.</t>
  </si>
  <si>
    <t xml:space="preserve">Typography</t>
  </si>
  <si>
    <t xml:space="preserve">Montserrat (or similar). Headings weight 900, body 400, letter-spacing -0.01em. Kickers in small all-caps.</t>
  </si>
  <si>
    <t xml:space="preserve">Slide structure</t>
  </si>
  <si>
    <t xml:space="preserve">Cover (question or value prop with the key figure in accent colour, e.g. "Need a $5K/month B2B client?") → numbered body slides (small accent number, 1-3 line headline, 2-4 line body) → closer.</t>
  </si>
  <si>
    <t xml:space="preserve">Section kickers</t>
  </si>
  <si>
    <t xml:space="preserve">Small all-caps labels: "case study", "the hidden cost", "the build", "the takeaway". These are the only chrome.</t>
  </si>
  <si>
    <t xml:space="preserve">Forbidden</t>
  </si>
  <si>
    <t xml:space="preserve">No header strap, no @handle watermark, no swipe arrows, no page dots, no footer logo, no divider rules.</t>
  </si>
  <si>
    <t xml:space="preserve">Your adaptation</t>
  </si>
  <si>
    <t xml:space="preserve">Use a consistent 7-slide spine: 1) Cover: expensive problem + number  2) The hidden cost  3) Why the usual fix fails  4-6) The system (3 steps)  7) Takeaway + comment keyword. Swap lifestyle photos for real founder/office/whiteboard shots to signal B2B seriousness.</t>
  </si>
  <si>
    <t xml:space="preserve">Studied sources</t>
  </si>
  <si>
    <t xml:space="preserve">@harshhhsigroha</t>
  </si>
  <si>
    <t xml:space="preserve">https://www.instagram.com/p/Dc1Cjv3DUOs/ (7.7x)</t>
  </si>
  <si>
    <t xml:space="preserve">@globe.birds</t>
  </si>
  <si>
    <t xml:space="preserve">https://www.instagram.com/p/Degll9NjJOZ/ (5.3x)</t>
  </si>
  <si>
    <t xml:space="preserve">@buildpass_</t>
  </si>
  <si>
    <t xml:space="preserve">https://www.instagram.com/p/DdkLtzBj8Tw/ (4.5x)</t>
  </si>
  <si>
    <t xml:space="preserve">@spiby.marketing</t>
  </si>
  <si>
    <t xml:space="preserve">https://www.instagram.com/p/Dcqsd2gDP9d/ (4.3x)</t>
  </si>
  <si>
    <t xml:space="preserve">@bazouzii</t>
  </si>
  <si>
    <t xml:space="preserve">https://www.instagram.com/p/DdNI934lszj/ (2.9x)</t>
  </si>
  <si>
    <t xml:space="preserve">@atishayhyperke</t>
  </si>
  <si>
    <t xml:space="preserve">https://www.instagram.com/p/DdB8pUzkpUM/ (2.0x)</t>
  </si>
  <si>
    <t xml:space="preserve">Format References: off-niche outliers whose HOOK or FORMAT is worth stealing (not the topic)</t>
  </si>
  <si>
    <t xml:space="preserve">What To Steal</t>
  </si>
  <si>
    <t xml:space="preserve">Reel: single-shot talking head with text overlays</t>
  </si>
  <si>
    <t xml:space="preserve">Format: live-action talking head with listicles</t>
  </si>
  <si>
    <t xml:space="preserve">@cinephile.universe_</t>
  </si>
  <si>
    <t xml:space="preserve">Jerry Maguire is a sports drama about a successful sports agent who experiences a moral epiphany, gets fired for expressing it, and tries to rebuild his career as an independent agent with only one volatile client and a </t>
  </si>
  <si>
    <t xml:space="preserve">https://www.instagram.com/reel/DarluGBCixc/</t>
  </si>
  <si>
    <t xml:space="preserve">@sxechina</t>
  </si>
  <si>
    <t xml:space="preserve">The REAL LIFE Mecha Is Here. Unitree GD01 Starts at $574,000. #news #finance #china #robot</t>
  </si>
  <si>
    <t xml:space="preserve">https://www.instagram.com/reel/DYPHe6BBSJA/</t>
  </si>
  <si>
    <t xml:space="preserve">@abhijitwt</t>
  </si>
  <si>
    <t xml:space="preserve">Student ID benefits</t>
  </si>
  <si>
    <t xml:space="preserve">https://x.com/abhijitwt/status/2009532719408243038</t>
  </si>
  <si>
    <t xml:space="preserve">Reel: Talking head with green screen/overlay</t>
  </si>
  <si>
    <t xml:space="preserve">Format: talking head with screen recording overlay</t>
  </si>
  <si>
    <t xml:space="preserve">Reel: Split screen (creator + image/graphic slides)</t>
  </si>
  <si>
    <t xml:space="preserve">Format: split-screen educational rapid-fire slide deck</t>
  </si>
  <si>
    <t xml:space="preserve">Reel: Podcast clip / Talking head</t>
  </si>
  <si>
    <t xml:space="preserve">Format: This is a podcast highlight featuring a personal leadership story. A primary speaker narrates a specific management action, followed by a secondary speaker abstracting the moral principle of the story.</t>
  </si>
  <si>
    <t xml:space="preserve">Reel: Talking head combined with screen recordings.</t>
  </si>
  <si>
    <t xml:space="preserve">Format: breakdown of work process</t>
  </si>
  <si>
    <t xml:space="preserve">@yasminekho</t>
  </si>
  <si>
    <t xml:space="preserve">Steve Jobs once told a room full of people:</t>
  </si>
  <si>
    <t xml:space="preserve">https://x.com/yasminekho/status/2052004770966352188</t>
  </si>
  <si>
    <t xml:space="preserve">Format: on-camera expert advice talk</t>
  </si>
  <si>
    <t xml:space="preserve">Reel: talking head with screen recording</t>
  </si>
  <si>
    <t xml:space="preserve">Format: narrated screen recording walkthrough</t>
  </si>
  <si>
    <t xml:space="preserve">Reel: Split screen (creator + b-roll) with talking head</t>
  </si>
  <si>
    <t xml:space="preserve">Format: commentary with split screen b-roll</t>
  </si>
  <si>
    <t xml:space="preserve">Format: rapid-fire listicle talking head</t>
  </si>
  <si>
    <t xml:space="preserve">Reel: Talking head</t>
  </si>
  <si>
    <t xml:space="preserve">Format: talking head with dynamic captions</t>
  </si>
  <si>
    <t xml:space="preserve">Reel: Green screen overlay</t>
  </si>
  <si>
    <t xml:space="preserve">Format: green screen text-based irony</t>
  </si>
  <si>
    <t xml:space="preserve">@darbyirl_</t>
  </si>
  <si>
    <t xml:space="preserve">A day in my life as an agency founder, while I’m currently in Europe.</t>
  </si>
  <si>
    <t xml:space="preserve">https://www.instagram.com/reel/DcOm_j4BVmM/</t>
  </si>
  <si>
    <t xml:space="preserve">@paulsyng</t>
  </si>
  <si>
    <t xml:space="preserve">An AI CMO that speaks CFO, thinks in 4Ps, and runs Brand → Demand → Expand.</t>
  </si>
  <si>
    <t xml:space="preserve">https://www.linkedin.com/feed/update/urn:li:activity:7448385267477934080</t>
  </si>
  <si>
    <t xml:space="preserve">Why the Best CMOs Think Like CFOs</t>
  </si>
  <si>
    <t xml:space="preserve">https://www.linkedin.com/feed/update/urn:li:activity:7448378943121821698</t>
  </si>
  <si>
    <t xml:space="preserve">https://www.linkedin.com/feed/update/urn:li:activity:7429039465710596097</t>
  </si>
  <si>
    <t xml:space="preserve">Reel: Talking head with screen recording overlays</t>
  </si>
  <si>
    <t xml:space="preserve">Format: talking head with screen-recorded walkthrough</t>
  </si>
  <si>
    <t xml:space="preserve">Reel: talking head with intermittent static images</t>
  </si>
  <si>
    <t xml:space="preserve">Format: expert talking head with visual aids</t>
  </si>
  <si>
    <t xml:space="preserve">Reel: podcast clip with b-roll overlay</t>
  </si>
  <si>
    <t xml:space="preserve">Format: podcast interview with b-roll overlay</t>
  </si>
  <si>
    <t xml:space="preserve">@0x_kaize</t>
  </si>
  <si>
    <t xml:space="preserve">70+ Free Subscriptions - Become a Student</t>
  </si>
  <si>
    <t xml:space="preserve">https://x.com/0x_kaize/status/2032527256355221954</t>
  </si>
  <si>
    <t xml:space="preserve">Reel: talking head with b-roll</t>
  </si>
  <si>
    <t xml:space="preserve">Format: A subject-matter expert provides a counter-intuitive explanation of a common issue while speaking to the camera. Short, illustrative clips visually depict the scenarios or emotions described, periodically interrupting the speaker to maintain viewer engagement and retention.</t>
  </si>
  <si>
    <t xml:space="preserve">The problem is in the MODEL</t>
  </si>
  <si>
    <t xml:space="preserve">https://www.instagram.com/reel/DVvbyk7COiy/</t>
  </si>
  <si>
    <t xml:space="preserve">@theonejvo</t>
  </si>
  <si>
    <t xml:space="preserve">hacking clawdbot and eating lobster souls</t>
  </si>
  <si>
    <t xml:space="preserve">https://x.com/theonejvo/status/2015401219746128322</t>
  </si>
  <si>
    <t xml:space="preserve">Reel: Talking head with static background and graphic overlays</t>
  </si>
  <si>
    <t xml:space="preserve">Format: talking head listicle with graphic inserts</t>
  </si>
  <si>
    <t xml:space="preserve">@patriotbriefmedia</t>
  </si>
  <si>
    <t xml:space="preserve">Follow @turningpointclips for more 🤍</t>
  </si>
  <si>
    <t xml:space="preserve">https://www.instagram.com/reel/DS_B2dhEuGq/</t>
  </si>
  <si>
    <t xml:space="preserve">@riansweetdoris</t>
  </si>
  <si>
    <t xml:space="preserve">Work 1 Minute After Waking Up. It’ll Change Your Life.</t>
  </si>
  <si>
    <t xml:space="preserve">https://x.com/RianSweetDoris/status/2014076788951961864</t>
  </si>
  <si>
    <t xml:space="preserve">@ric_rtp</t>
  </si>
  <si>
    <t xml:space="preserve">Bank of America just agreed to pay $72.5 million for helping Jeffrey Epstein traffic underage girls.</t>
  </si>
  <si>
    <t xml:space="preserve">https://x.com/Ric_RTP/status/2037892374928429463</t>
  </si>
  <si>
    <t xml:space="preserve">Format: talking head explainer</t>
  </si>
  <si>
    <t xml:space="preserve">Reel: Talking head with green-screen-style static image/text overlays.</t>
  </si>
  <si>
    <t xml:space="preserve">Format: talking head with visual explainer</t>
  </si>
  <si>
    <t xml:space="preserve">@dini_inabottle</t>
  </si>
  <si>
    <t xml:space="preserve">I’m not technical but this year I built three apps that 10,000+ people have used, and not one of them took longer than two hours. 🤓</t>
  </si>
  <si>
    <t xml:space="preserve">https://www.instagram.com/reel/DZNjLunMSg7/</t>
  </si>
  <si>
    <t xml:space="preserve">Reel: Single-shot talking head with whiteboard drawing</t>
  </si>
  <si>
    <t xml:space="preserve">Format: The creator draws a diagram on a whiteboard to explain a conceptual model related to their professional niche. They walk the viewer through the different sections of the model, defining the terms and providing a visual summary of the core lesson.</t>
  </si>
  <si>
    <t xml:space="preserve">A 14 year old in America quit his weekend shifts at Domino's after he realized he could make more money during one lunch break with a laptop than an entire weekend making pizzas for $8.50 an hour.</t>
  </si>
  <si>
    <t xml:space="preserve">https://x.com/marlowxbt/status/2050011880886784235</t>
  </si>
  <si>
    <t xml:space="preserve">@aleiahlock</t>
  </si>
  <si>
    <t xml:space="preserve">17 Claude Skills → $312/Day → $10K/Month. Let Me Show You.</t>
  </si>
  <si>
    <t xml:space="preserve">https://x.com/AleiahLock/status/2038295590354755683</t>
  </si>
  <si>
    <t xml:space="preserve">@zackpaid</t>
  </si>
  <si>
    <t xml:space="preserve">i've been testing Higgsfield MCP + the NEW Claude Opus 4.8 to generate ALL our Meta ads creative inside 1 conversation...</t>
  </si>
  <si>
    <t xml:space="preserve">https://x.com/zackpaid/status/2061488295981220206</t>
  </si>
  <si>
    <t xml:space="preserve">@kidpakerot</t>
  </si>
  <si>
    <t xml:space="preserve">Hermes + Claude + Higgsfield MCP + ViralBuilder = 💰💰💰</t>
  </si>
  <si>
    <t xml:space="preserve">https://x.com/kidpakerot/status/2051138554986942894</t>
  </si>
  <si>
    <t xml:space="preserve">Reel: Split screen (personal reaction footage + screen recording of earnings)</t>
  </si>
  <si>
    <t xml:space="preserve">Format: The creator presents a relatable struggle or low expectation through a personal video, followed by a pivot to a screen-recorded success reveal. The transition highlights a dramatic shift in outcomes to inspire the viewer, ending with an explicit CTA in the caption.</t>
  </si>
  <si>
    <t xml:space="preserve">@theseoguy_</t>
  </si>
  <si>
    <t xml:space="preserve">I know a dentist who opened a brand new practice with zero patients.</t>
  </si>
  <si>
    <t xml:space="preserve">https://x.com/theseoguy_/status/2033182707283280191</t>
  </si>
  <si>
    <t xml:space="preserve">@ideabrowser</t>
  </si>
  <si>
    <t xml:space="preserve">How to make $1M in 2026 using Claude Memory (step by step business plan)</t>
  </si>
  <si>
    <t xml:space="preserve">https://x.com/ideabrowser/status/2028111088449896826</t>
  </si>
  <si>
    <t xml:space="preserve">Format: customer objection handling roleplay</t>
  </si>
  <si>
    <t xml:space="preserve">The tech world is often painted as a landscape of endless equity, "changing the world," and the romanticized hustle of early-stage startups. We’re taught to value the "vision" above all else. But every once in a while, a</t>
  </si>
  <si>
    <t xml:space="preserve">https://www.instagram.com/reel/DWwXEcdgkCQ/</t>
  </si>
  <si>
    <t xml:space="preserve">Reel: on-camera interview</t>
  </si>
  <si>
    <t xml:space="preserve">Format: on-camera interview</t>
  </si>
  <si>
    <t xml:space="preserve">Format: A speaker shares personal anecdotes of past struggles and eventual financial successes to build authority. The narrative arc moves from failure to high-earning milestones, ending with a direct, motivational appeal to the audience to stop making excuses and start their own venture.</t>
  </si>
  <si>
    <t xml:space="preserve">@froessell</t>
  </si>
  <si>
    <t xml:space="preserve">My Claude Code Skills Setup</t>
  </si>
  <si>
    <t xml:space="preserve">https://x.com/froessell/status/2025833621299351613</t>
  </si>
  <si>
    <t xml:space="preserve">@bprintco</t>
  </si>
  <si>
    <t xml:space="preserve">Someone’s comment inspired me to share this.</t>
  </si>
  <si>
    <t xml:space="preserve">https://x.com/bprintco/status/1998854923157422115</t>
  </si>
  <si>
    <t xml:space="preserve">@trentjhughes</t>
  </si>
  <si>
    <t xml:space="preserve">Insurance broker I know has been at it 20 years</t>
  </si>
  <si>
    <t xml:space="preserve">https://x.com/trentjhughes/status/2028602131343986825</t>
  </si>
  <si>
    <t xml:space="preserve">met a guy making $51,000/month by scraping reddit for the phrase "anyone got recommendations for" and emailing the posters within 2 hours</t>
  </si>
  <si>
    <t xml:space="preserve">https://x.com/scaling_shields/status/2081303008168878410</t>
  </si>
  <si>
    <t xml:space="preserve">@johan-cedmar-brandstedt-a77b311</t>
  </si>
  <si>
    <t xml:space="preserve">While McDonald's and Coca-Cola committed slop harakiri in the public eye, French supermarket chain Intermarché and their agency Romance went boldly human in their Christmas ad.</t>
  </si>
  <si>
    <t xml:space="preserve">https://www.linkedin.com/feed/update/urn:li:activity:7404577361116991489</t>
  </si>
  <si>
    <t xml:space="preserve">gumroad shows you exactly how much money any product has made and nobody is using this</t>
  </si>
  <si>
    <t xml:space="preserve">https://x.com/ecomchigga/status/2027874734218563816</t>
  </si>
  <si>
    <t xml:space="preserve">@cedichronicles</t>
  </si>
  <si>
    <t xml:space="preserve">Are Training Certificates given by the United Nations? How Can They Help You Get a Job in International Relations or diplomacy?</t>
  </si>
  <si>
    <t xml:space="preserve">https://www.instagram.com/reel/DbBNpaCMWi1/</t>
  </si>
  <si>
    <t xml:space="preserve">Format: talking head with illustrative b-roll</t>
  </si>
  <si>
    <t xml:space="preserve">Reel: Movie scene clip</t>
  </si>
  <si>
    <t xml:space="preserve">Format: repurposed movie scene with text</t>
  </si>
  <si>
    <t xml:space="preserve">@stoicsheritage</t>
  </si>
  <si>
    <t xml:space="preserve">Dr. Daniel Amen is a psychiatrist and "High Agency" brain health advocate who has revolutionized the way we look at mental wellness by moving beyond symptom management to biological optimization. As the founder of Amen C</t>
  </si>
  <si>
    <t xml:space="preserve">https://www.instagram.com/reel/DXiZt6giPbT/</t>
  </si>
  <si>
    <t xml:space="preserve">@ainative.vs</t>
  </si>
  <si>
    <t xml:space="preserve">Finding clients is hard. Showing them exactly what they could have is what gets you paid.</t>
  </si>
  <si>
    <t xml:space="preserve">https://www.instagram.com/reel/DbAVKe-tmcN/</t>
  </si>
  <si>
    <t xml:space="preserve">https://x.com/scaling_shields/status/2042324679759978780</t>
  </si>
  <si>
    <t xml:space="preserve">@darren_stallcup</t>
  </si>
  <si>
    <t xml:space="preserve">After working with @nickshirleyy in San Francisco, LA and Sacramento, my account is really starting to get a lot of new followers...  I am humbled and very grateful for all the love and support 🇺🇸</t>
  </si>
  <si>
    <t xml:space="preserve">https://x.com/darren_stallcup/status/2046271505852760516</t>
  </si>
  <si>
    <t xml:space="preserve">Reel: Split screen (creator talking head + b-roll/dramatized footage)</t>
  </si>
  <si>
    <t xml:space="preserve">Format: split-screen commentary with illustrative b-roll</t>
  </si>
  <si>
    <t xml:space="preserve">Let me try to explain what Claude Cowork actually means in the simplest way possible.</t>
  </si>
  <si>
    <t xml:space="preserve">https://x.com/bprintco/status/2012595972090605685</t>
  </si>
  <si>
    <t xml:space="preserve">Bhavish Aggarwal was travelling from Bangalore to Bandipur.</t>
  </si>
  <si>
    <t xml:space="preserve">https://x.com/DeepStarts/status/2032000055763484971</t>
  </si>
  <si>
    <t xml:space="preserve">@teachthemx3</t>
  </si>
  <si>
    <t xml:space="preserve">A teacher at my school came into my room after dismissal yesterday and showed me an email she received (summarized with her permission, student’s name has been changed):</t>
  </si>
  <si>
    <t xml:space="preserve">https://x.com/teachthemx3/status/1992227200515399845</t>
  </si>
  <si>
    <t xml:space="preserve">https://x.com/maverickecom/status/2036464786255360106</t>
  </si>
  <si>
    <t xml:space="preserve">@drinkonsaturday</t>
  </si>
  <si>
    <t xml:space="preserve">POV: Here we go—sprinting straight into Friday like it's the final lap and the weekend is the finish line! WOuld you rather the corporate grind, or the new water ninja course...</t>
  </si>
  <si>
    <t xml:space="preserve">https://x.com/drinkonsaturday/status/2037307358523879904</t>
  </si>
  <si>
    <t xml:space="preserve">Format: screen recording with voiceover analysis</t>
  </si>
  <si>
    <t xml:space="preserve">BREAKING: BYE BYE POWERPOINT. HELLO CLAUDE OPUS 4.8!</t>
  </si>
  <si>
    <t xml:space="preserve">https://www.linkedin.com/feed/update/urn:li:activity:7472472044153151488</t>
  </si>
  <si>
    <t xml:space="preserve">@indian_bronson</t>
  </si>
  <si>
    <t xml:space="preserve">I asked Claude to look up the current situation and write a note to @DarioAmodei</t>
  </si>
  <si>
    <t xml:space="preserve">https://x.com/Indian_Bronson/status/2027500542017028361</t>
  </si>
  <si>
    <t xml:space="preserve">my accountant told me last month he has a client who writes off $8K/month in "coffee meetings"</t>
  </si>
  <si>
    <t xml:space="preserve">https://x.com/scaling_shields/status/2034705473296044327</t>
  </si>
  <si>
    <t xml:space="preserve">Methodology &amp; Caveats</t>
  </si>
  <si>
    <t xml:space="preserve">Sources</t>
  </si>
  <si>
    <t xml:space="preserve">Eden MCP: social index search (LinkedIn, X, Instagram), ranked by outlier vs each creator's baseline; creator discovery; carousel study. vidIQ MCP: Instagram Reels outlier search with hook/format teardown (TikTok results discarded: not in scope).</t>
  </si>
  <si>
    <t xml:space="preserve">Filters</t>
  </si>
  <si>
    <t xml:space="preserve">Followers 5,000-100,000 (one deep-search query had no follower filter; out-of-band rows are tagged "Out of band" and penalised in fit). Outlier ≥2x (≥1.5x for 2 Hindi queries). Eden window: last 12 months (one query: 6 months). vidIQ window: posted after 1 Apr 2026.</t>
  </si>
  <si>
    <t xml:space="preserve">Volume</t>
  </si>
  <si>
    <t xml:space="preserve">722 unique posts collected after de-duplication. Master Database = 395 rows with ICP fit ≥3 (LinkedIn 124, X 132, Instagram 139). Off-niche high performers kept in Format References.</t>
  </si>
  <si>
    <t xml:space="preserve">Languages</t>
  </si>
  <si>
    <t xml:space="preserve">English + Hindi/Hinglish. Other languages (French, Indonesian, Spanish etc.) were dropped from Eden results.</t>
  </si>
  <si>
    <t xml:space="preserve">Classification</t>
  </si>
  <si>
    <t xml:space="preserve">Cluster, hook archetype, CTA, funnel stage and ICP fit are rule-based (keyword/regex) on post text + AI summaries. Expect about 10-15% misclassification. Top 30 Teardowns are manual.</t>
  </si>
  <si>
    <t xml:space="preserve">Caveat: outlier inflation</t>
  </si>
  <si>
    <t xml:space="preserve">Outlier = post ÷ creator median. Small or new accounts have low baselines, so multiples inflate (some reach 1,000x-4,000,000x). Values &gt;1000x are flagged "Anomalous Baseline" and excluded from stats. Averages use outlier capped at 100x.</t>
  </si>
  <si>
    <t xml:space="preserve">Caveat: cross-platform</t>
  </si>
  <si>
    <t xml:space="preserve">Eden scores X/LinkedIn on engagement; vidIQ scores IG on views. Do not compare outlier values across platforms. LinkedIn view counts are not public (blank).</t>
  </si>
  <si>
    <t xml:space="preserve">Caveat: engagement ≠ pipeline</t>
  </si>
  <si>
    <t xml:space="preserve">None of these metrics show revenue. Viral sales content often attracts aspirants. Validate with your own engager analysis (who from your ICP engaged).</t>
  </si>
  <si>
    <t xml:space="preserve">Caveat: semantic search noise</t>
  </si>
  <si>
    <t xml:space="preserve">Semantic queries surfaced AI-tool hype, fitness-business and finance posts. They are penalised in ICP fit, not deleted. Use the filters.</t>
  </si>
  <si>
    <t xml:space="preserve">Caveat: coverage</t>
  </si>
  <si>
    <t xml:space="preserve">Indexed corpora are partial ("standout" posts per creator). This is a strong sample of what breaks out, not a census.</t>
  </si>
  <si>
    <t xml:space="preserve">Hindi coverage</t>
  </si>
  <si>
    <t xml:space="preserve">Hindi B2B content at this follower range is thin; see the India &amp; Hindi sheet for what exists.</t>
  </si>
  <si>
    <t xml:space="preserve">Queries run</t>
  </si>
  <si>
    <t xml:space="preserve">Q1</t>
  </si>
  <si>
    <t xml:space="preserve">Q2</t>
  </si>
  <si>
    <t xml:space="preserve">Q3</t>
  </si>
  <si>
    <t xml:space="preserve">Q4</t>
  </si>
  <si>
    <t xml:space="preserve">Q5</t>
  </si>
  <si>
    <t xml:space="preserve">Q6</t>
  </si>
  <si>
    <t xml:space="preserve">Q7</t>
  </si>
  <si>
    <t xml:space="preserve">Q8</t>
  </si>
  <si>
    <t xml:space="preserve">Q9</t>
  </si>
  <si>
    <t xml:space="preserve">Q10</t>
  </si>
  <si>
    <t xml:space="preserve">Q11</t>
  </si>
  <si>
    <t xml:space="preserve">Q12</t>
  </si>
  <si>
    <t xml:space="preserve">Q13</t>
  </si>
  <si>
    <t xml:space="preserve">Q14</t>
  </si>
  <si>
    <t xml:space="preserve">Q15</t>
  </si>
  <si>
    <t xml:space="preserve">Q16</t>
  </si>
  <si>
    <t xml:space="preserve">Q17</t>
  </si>
  <si>
    <t xml:space="preserve">Q18</t>
  </si>
  <si>
    <t xml:space="preserve">Q19</t>
  </si>
  <si>
    <t xml:space="preserve">Q20</t>
  </si>
  <si>
    <t xml:space="preserve">Q21</t>
  </si>
  <si>
    <t xml:space="preserve">Q22</t>
  </si>
  <si>
    <t xml:space="preserve">Q23</t>
  </si>
  <si>
    <t xml:space="preserve">Q24</t>
  </si>
  <si>
    <t xml:space="preserve">Q25</t>
  </si>
  <si>
    <t xml:space="preserve">Q26</t>
  </si>
  <si>
    <t xml:space="preserve">Q27</t>
  </si>
  <si>
    <t xml:space="preserve">Q28</t>
  </si>
  <si>
    <t xml:space="preserve">Q29</t>
  </si>
  <si>
    <t xml:space="preserve">Q30</t>
  </si>
  <si>
    <t xml:space="preserve">Q31</t>
  </si>
  <si>
    <t xml:space="preserve">Q32</t>
  </si>
  <si>
    <t xml:space="preserve">Q33</t>
  </si>
  <si>
    <t xml:space="preserve">Q34</t>
  </si>
</sst>
</file>

<file path=xl/styles.xml><?xml version="1.0" encoding="utf-8"?>
<styleSheet xmlns="http://schemas.openxmlformats.org/spreadsheetml/2006/main">
  <numFmts count="8">
    <numFmt numFmtId="164" formatCode="General"/>
    <numFmt numFmtId="165" formatCode="#,##0"/>
    <numFmt numFmtId="166" formatCode="0.0%"/>
    <numFmt numFmtId="167" formatCode="0.0\x"/>
    <numFmt numFmtId="168" formatCode="General"/>
    <numFmt numFmtId="169" formatCode="0%"/>
    <numFmt numFmtId="170" formatCode="ddd\ dd\-mmm\-yyyy"/>
    <numFmt numFmtId="171" formatCode="ddd\ dd\-mmm"/>
  </numFmts>
  <fonts count="17">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i val="true"/>
      <sz val="10"/>
      <color rgb="FF595959"/>
      <name val="Arial"/>
      <family val="0"/>
      <charset val="1"/>
    </font>
    <font>
      <b val="true"/>
      <sz val="12"/>
      <color rgb="FF1F3A5F"/>
      <name val="Arial"/>
      <family val="0"/>
      <charset val="1"/>
    </font>
    <font>
      <b val="true"/>
      <sz val="10"/>
      <name val="Arial"/>
      <family val="0"/>
      <charset val="1"/>
    </font>
    <font>
      <sz val="10"/>
      <name val="Arial"/>
      <family val="0"/>
      <charset val="1"/>
    </font>
    <font>
      <b val="true"/>
      <sz val="10"/>
      <color rgb="FF0000FF"/>
      <name val="Arial"/>
      <family val="0"/>
      <charset val="1"/>
    </font>
    <font>
      <i val="true"/>
      <sz val="9"/>
      <name val="Arial"/>
      <family val="0"/>
      <charset val="1"/>
    </font>
    <font>
      <b val="true"/>
      <sz val="10"/>
      <color rgb="FFFFFFFF"/>
      <name val="Arial"/>
      <family val="0"/>
      <charset val="1"/>
    </font>
    <font>
      <u val="single"/>
      <sz val="10"/>
      <color rgb="FF0563C1"/>
      <name val="Arial"/>
      <family val="0"/>
      <charset val="1"/>
    </font>
    <font>
      <sz val="10"/>
      <name val="WenQuanYi Zen Hei"/>
      <family val="2"/>
    </font>
    <font>
      <sz val="10"/>
      <name val="Arial"/>
      <family val="2"/>
    </font>
    <font>
      <b val="true"/>
      <sz val="10"/>
      <color rgb="FF000000"/>
      <name val="Arial"/>
      <family val="0"/>
      <charset val="1"/>
    </font>
    <font>
      <sz val="10"/>
      <color rgb="FF000000"/>
      <name val="Arial"/>
      <family val="0"/>
      <charset val="1"/>
    </font>
  </fonts>
  <fills count="6">
    <fill>
      <patternFill patternType="none"/>
    </fill>
    <fill>
      <patternFill patternType="gray125"/>
    </fill>
    <fill>
      <patternFill patternType="solid">
        <fgColor rgb="FFDCE6F1"/>
        <bgColor rgb="FFDDEBF7"/>
      </patternFill>
    </fill>
    <fill>
      <patternFill patternType="solid">
        <fgColor rgb="FFFFF2CC"/>
        <bgColor rgb="FFFCE4D6"/>
      </patternFill>
    </fill>
    <fill>
      <patternFill patternType="solid">
        <fgColor rgb="FFFCE4D6"/>
        <bgColor rgb="FFFFF2CC"/>
      </patternFill>
    </fill>
    <fill>
      <patternFill patternType="solid">
        <fgColor rgb="FF1F3A5F"/>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left"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1" fillId="5"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5" fontId="8" fillId="0" borderId="0" xfId="0" applyFont="true" applyBorder="false" applyAlignment="true" applyProtection="false">
      <alignment horizontal="general" vertical="top" textRotation="0" wrapText="false" indent="0" shrinkToFit="false"/>
      <protection locked="true" hidden="false"/>
    </xf>
    <xf numFmtId="164" fontId="12" fillId="0" borderId="0" xfId="0" applyFont="true" applyBorder="false" applyAlignment="true" applyProtection="false">
      <alignment horizontal="general" vertical="top" textRotation="0" wrapText="false" indent="0" shrinkToFit="false"/>
      <protection locked="true" hidden="false"/>
    </xf>
    <xf numFmtId="166" fontId="8" fillId="0" borderId="0" xfId="0" applyFont="true" applyBorder="false" applyAlignment="true" applyProtection="false">
      <alignment horizontal="general" vertical="top" textRotation="0" wrapText="false" indent="0" shrinkToFit="false"/>
      <protection locked="true" hidden="false"/>
    </xf>
    <xf numFmtId="167" fontId="8" fillId="0" borderId="0" xfId="0" applyFont="true" applyBorder="false" applyAlignment="true" applyProtection="false">
      <alignment horizontal="general" vertical="top" textRotation="0" wrapText="false" indent="0" shrinkToFit="false"/>
      <protection locked="true" hidden="false"/>
    </xf>
    <xf numFmtId="168" fontId="8" fillId="0" borderId="0" xfId="0" applyFont="true" applyBorder="false" applyAlignment="true" applyProtection="false">
      <alignment horizontal="general" vertical="top" textRotation="0" wrapText="false" indent="0" shrinkToFit="false"/>
      <protection locked="true" hidden="false"/>
    </xf>
    <xf numFmtId="164" fontId="8" fillId="3" borderId="0" xfId="0" applyFont="true" applyBorder="false" applyAlignment="true" applyProtection="false">
      <alignment horizontal="general" vertical="top" textRotation="0" wrapText="false" indent="0" shrinkToFit="false"/>
      <protection locked="true" hidden="false"/>
    </xf>
    <xf numFmtId="165" fontId="8" fillId="0" borderId="0" xfId="0" applyFont="true" applyBorder="false" applyAlignment="true" applyProtection="false">
      <alignment horizontal="general" vertical="top" textRotation="0" wrapText="true" indent="0" shrinkToFit="false"/>
      <protection locked="true" hidden="false"/>
    </xf>
    <xf numFmtId="167" fontId="8"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8" fontId="16" fillId="0" borderId="0" xfId="0" applyFont="true" applyBorder="false" applyAlignment="true" applyProtection="false">
      <alignment horizontal="general" vertical="top" textRotation="0" wrapText="true" indent="0" shrinkToFit="false"/>
      <protection locked="true" hidden="false"/>
    </xf>
    <xf numFmtId="167" fontId="16"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70" fontId="9" fillId="3"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1">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BDD7EE"/>
          <bgColor rgb="FF000000"/>
        </patternFill>
      </fill>
    </dxf>
    <dxf>
      <fill>
        <patternFill patternType="solid">
          <fgColor rgb="FFC6EFCE"/>
          <bgColor rgb="FF000000"/>
        </patternFill>
      </fill>
    </dxf>
    <dxf>
      <fill>
        <patternFill patternType="solid">
          <fgColor rgb="FFFFEB9C"/>
          <bgColor rgb="FF000000"/>
        </patternFill>
      </fill>
    </dxf>
    <dxf>
      <fill>
        <patternFill patternType="solid">
          <fgColor rgb="FF0563C1"/>
          <bgColor rgb="FF000000"/>
        </patternFill>
      </fill>
    </dxf>
    <dxf>
      <fill>
        <patternFill patternType="solid">
          <fgColor rgb="FFFCE4D6"/>
          <bgColor rgb="FF000000"/>
        </patternFill>
      </fill>
    </dxf>
    <dxf>
      <fill>
        <patternFill patternType="solid">
          <fgColor rgb="FF63BE7B"/>
          <bgColor rgb="FF000000"/>
        </patternFill>
      </fill>
    </dxf>
    <dxf>
      <fill>
        <patternFill patternType="solid">
          <fgColor rgb="FF73C589"/>
          <bgColor rgb="FF000000"/>
        </patternFill>
      </fill>
    </dxf>
    <dxf>
      <fill>
        <patternFill patternType="solid">
          <fgColor rgb="FF7AC88E"/>
          <bgColor rgb="FF000000"/>
        </patternFill>
      </fill>
    </dxf>
    <dxf>
      <fill>
        <patternFill patternType="solid">
          <fgColor rgb="FF83CC96"/>
          <bgColor rgb="FF000000"/>
        </patternFill>
      </fill>
    </dxf>
    <dxf>
      <fill>
        <patternFill patternType="solid">
          <fgColor rgb="FF90D1A1"/>
          <bgColor rgb="FF000000"/>
        </patternFill>
      </fill>
    </dxf>
    <dxf>
      <fill>
        <patternFill patternType="solid">
          <fgColor rgb="FF92D2A3"/>
          <bgColor rgb="FF000000"/>
        </patternFill>
      </fill>
    </dxf>
    <dxf>
      <fill>
        <patternFill patternType="solid">
          <fgColor rgb="FF99D5A9"/>
          <bgColor rgb="FF000000"/>
        </patternFill>
      </fill>
    </dxf>
    <dxf>
      <fill>
        <patternFill patternType="solid">
          <fgColor rgb="FF9BD6AB"/>
          <bgColor rgb="FF000000"/>
        </patternFill>
      </fill>
    </dxf>
    <dxf>
      <fill>
        <patternFill patternType="solid">
          <fgColor rgb="FFA0D8AE"/>
          <bgColor rgb="FF000000"/>
        </patternFill>
      </fill>
    </dxf>
    <dxf>
      <fill>
        <patternFill patternType="solid">
          <fgColor rgb="FFA6DAB4"/>
          <bgColor rgb="FF000000"/>
        </patternFill>
      </fill>
    </dxf>
    <dxf>
      <fill>
        <patternFill patternType="solid">
          <fgColor rgb="FFA9DBB6"/>
          <bgColor rgb="FF000000"/>
        </patternFill>
      </fill>
    </dxf>
    <dxf>
      <fill>
        <patternFill patternType="solid">
          <fgColor rgb="FFAFDEBC"/>
          <bgColor rgb="FF000000"/>
        </patternFill>
      </fill>
    </dxf>
    <dxf>
      <fill>
        <patternFill patternType="solid">
          <fgColor rgb="FFB1DFBD"/>
          <bgColor rgb="FF000000"/>
        </patternFill>
      </fill>
    </dxf>
    <dxf>
      <fill>
        <patternFill patternType="solid">
          <fgColor rgb="FFB6E1C1"/>
          <bgColor rgb="FF000000"/>
        </patternFill>
      </fill>
    </dxf>
    <dxf>
      <fill>
        <patternFill patternType="solid">
          <fgColor rgb="FFBAE3C5"/>
          <bgColor rgb="FF000000"/>
        </patternFill>
      </fill>
    </dxf>
    <dxf>
      <fill>
        <patternFill patternType="solid">
          <fgColor rgb="FFBDE4C7"/>
          <bgColor rgb="FF000000"/>
        </patternFill>
      </fill>
    </dxf>
    <dxf>
      <fill>
        <patternFill patternType="solid">
          <fgColor rgb="FFBFE5C9"/>
          <bgColor rgb="FF000000"/>
        </patternFill>
      </fill>
    </dxf>
    <dxf>
      <fill>
        <patternFill patternType="solid">
          <fgColor rgb="FFC6E7CE"/>
          <bgColor rgb="FF000000"/>
        </patternFill>
      </fill>
    </dxf>
    <dxf>
      <fill>
        <patternFill patternType="solid">
          <fgColor rgb="FFC8E8D0"/>
          <bgColor rgb="FF000000"/>
        </patternFill>
      </fill>
    </dxf>
    <dxf>
      <fill>
        <patternFill patternType="solid">
          <fgColor rgb="FFCCEAD4"/>
          <bgColor rgb="FF000000"/>
        </patternFill>
      </fill>
    </dxf>
    <dxf>
      <fill>
        <patternFill patternType="solid">
          <fgColor rgb="FFD1ECD8"/>
          <bgColor rgb="FF000000"/>
        </patternFill>
      </fill>
    </dxf>
    <dxf>
      <fill>
        <patternFill patternType="solid">
          <fgColor rgb="FFD3EDDA"/>
          <bgColor rgb="FF000000"/>
        </patternFill>
      </fill>
    </dxf>
    <dxf>
      <fill>
        <patternFill patternType="solid">
          <fgColor rgb="FFD5EEDC"/>
          <bgColor rgb="FF000000"/>
        </patternFill>
      </fill>
    </dxf>
    <dxf>
      <fill>
        <patternFill patternType="solid">
          <fgColor rgb="FFDCF1E1"/>
          <bgColor rgb="FF000000"/>
        </patternFill>
      </fill>
    </dxf>
    <dxf>
      <fill>
        <patternFill patternType="solid">
          <fgColor rgb="FFDEF2E3"/>
          <bgColor rgb="FF000000"/>
        </patternFill>
      </fill>
    </dxf>
    <dxf>
      <fill>
        <patternFill patternType="solid">
          <fgColor rgb="FFE3F3E7"/>
          <bgColor rgb="FF000000"/>
        </patternFill>
      </fill>
    </dxf>
    <dxf>
      <fill>
        <patternFill patternType="solid">
          <fgColor rgb="FFE7F5EB"/>
          <bgColor rgb="FF000000"/>
        </patternFill>
      </fill>
    </dxf>
    <dxf>
      <fill>
        <patternFill patternType="solid">
          <fgColor rgb="FFE9F6ED"/>
          <bgColor rgb="FF000000"/>
        </patternFill>
      </fill>
    </dxf>
    <dxf>
      <fill>
        <patternFill patternType="solid">
          <fgColor rgb="FFEBF7EF"/>
          <bgColor rgb="FF000000"/>
        </patternFill>
      </fill>
    </dxf>
    <dxf>
      <fill>
        <patternFill patternType="solid">
          <fgColor rgb="FFEEF8F0"/>
          <bgColor rgb="FF000000"/>
        </patternFill>
      </fill>
    </dxf>
    <dxf>
      <fill>
        <patternFill patternType="solid">
          <fgColor rgb="FFF2FAF4"/>
          <bgColor rgb="FF000000"/>
        </patternFill>
      </fill>
    </dxf>
    <dxf>
      <fill>
        <patternFill patternType="solid">
          <fgColor rgb="FFF4FBF6"/>
          <bgColor rgb="FF000000"/>
        </patternFill>
      </fill>
    </dxf>
    <dxf>
      <fill>
        <patternFill patternType="solid">
          <fgColor rgb="FFF7FCF8"/>
          <bgColor rgb="FF000000"/>
        </patternFill>
      </fill>
    </dxf>
    <dxf>
      <fill>
        <patternFill patternType="solid">
          <fgColor rgb="FFF9FDFA"/>
          <bgColor rgb="FF000000"/>
        </patternFill>
      </fill>
    </dxf>
    <dxf>
      <fill>
        <patternFill patternType="solid">
          <fgColor rgb="FFFDFFFE"/>
          <bgColor rgb="FF000000"/>
        </patternFill>
      </fill>
    </dxf>
    <dxf>
      <fill>
        <patternFill patternType="solid">
          <fgColor rgb="FF67C07C"/>
          <bgColor rgb="FF000000"/>
        </patternFill>
      </fill>
    </dxf>
    <dxf>
      <fill>
        <patternFill patternType="solid">
          <fgColor rgb="FF6BC17C"/>
          <bgColor rgb="FF000000"/>
        </patternFill>
      </fill>
    </dxf>
    <dxf>
      <fill>
        <patternFill patternType="solid">
          <fgColor rgb="FF76C47D"/>
          <bgColor rgb="FF000000"/>
        </patternFill>
      </fill>
    </dxf>
    <dxf>
      <fill>
        <patternFill patternType="solid">
          <fgColor rgb="FF7DC67D"/>
          <bgColor rgb="FF000000"/>
        </patternFill>
      </fill>
    </dxf>
    <dxf>
      <fill>
        <patternFill patternType="solid">
          <fgColor rgb="FF84C87D"/>
          <bgColor rgb="FF000000"/>
        </patternFill>
      </fill>
    </dxf>
    <dxf>
      <fill>
        <patternFill patternType="solid">
          <fgColor rgb="FF88C97E"/>
          <bgColor rgb="FF000000"/>
        </patternFill>
      </fill>
    </dxf>
    <dxf>
      <fill>
        <patternFill patternType="solid">
          <fgColor rgb="FF8BCA7E"/>
          <bgColor rgb="FF000000"/>
        </patternFill>
      </fill>
    </dxf>
    <dxf>
      <fill>
        <patternFill patternType="solid">
          <fgColor rgb="FF8FCB7E"/>
          <bgColor rgb="FF000000"/>
        </patternFill>
      </fill>
    </dxf>
    <dxf>
      <fill>
        <patternFill patternType="solid">
          <fgColor rgb="FF9ACE7F"/>
          <bgColor rgb="FF000000"/>
        </patternFill>
      </fill>
    </dxf>
    <dxf>
      <fill>
        <patternFill patternType="solid">
          <fgColor rgb="FF9ECF7F"/>
          <bgColor rgb="FF000000"/>
        </patternFill>
      </fill>
    </dxf>
    <dxf>
      <fill>
        <patternFill patternType="solid">
          <fgColor rgb="FFA5D17F"/>
          <bgColor rgb="FF000000"/>
        </patternFill>
      </fill>
    </dxf>
    <dxf>
      <fill>
        <patternFill patternType="solid">
          <fgColor rgb="FFA8D27F"/>
          <bgColor rgb="FF000000"/>
        </patternFill>
      </fill>
    </dxf>
    <dxf>
      <fill>
        <patternFill patternType="solid">
          <fgColor rgb="FFACD380"/>
          <bgColor rgb="FF000000"/>
        </patternFill>
      </fill>
    </dxf>
    <dxf>
      <fill>
        <patternFill patternType="solid">
          <fgColor rgb="FFB0D480"/>
          <bgColor rgb="FF000000"/>
        </patternFill>
      </fill>
    </dxf>
    <dxf>
      <fill>
        <patternFill patternType="solid">
          <fgColor rgb="FFB7D780"/>
          <bgColor rgb="FF000000"/>
        </patternFill>
      </fill>
    </dxf>
    <dxf>
      <fill>
        <patternFill patternType="solid">
          <fgColor rgb="FFBBD881"/>
          <bgColor rgb="FF000000"/>
        </patternFill>
      </fill>
    </dxf>
    <dxf>
      <fill>
        <patternFill patternType="solid">
          <fgColor rgb="FFBED981"/>
          <bgColor rgb="FF000000"/>
        </patternFill>
      </fill>
    </dxf>
    <dxf>
      <fill>
        <patternFill patternType="solid">
          <fgColor rgb="FFC2DA81"/>
          <bgColor rgb="FF000000"/>
        </patternFill>
      </fill>
    </dxf>
    <dxf>
      <fill>
        <patternFill patternType="solid">
          <fgColor rgb="FFC5DB81"/>
          <bgColor rgb="FF000000"/>
        </patternFill>
      </fill>
    </dxf>
    <dxf>
      <fill>
        <patternFill patternType="solid">
          <fgColor rgb="FFC9DC81"/>
          <bgColor rgb="FF000000"/>
        </patternFill>
      </fill>
    </dxf>
    <dxf>
      <fill>
        <patternFill patternType="solid">
          <fgColor rgb="FFCDDD82"/>
          <bgColor rgb="FF000000"/>
        </patternFill>
      </fill>
    </dxf>
    <dxf>
      <fill>
        <patternFill patternType="solid">
          <fgColor rgb="FFD0DE82"/>
          <bgColor rgb="FF000000"/>
        </patternFill>
      </fill>
    </dxf>
    <dxf>
      <fill>
        <patternFill patternType="solid">
          <fgColor rgb="FFD4DF82"/>
          <bgColor rgb="FF000000"/>
        </patternFill>
      </fill>
    </dxf>
    <dxf>
      <fill>
        <patternFill patternType="solid">
          <fgColor rgb="FFD8E082"/>
          <bgColor rgb="FF000000"/>
        </patternFill>
      </fill>
    </dxf>
    <dxf>
      <fill>
        <patternFill patternType="solid">
          <fgColor rgb="FFDBE182"/>
          <bgColor rgb="FF000000"/>
        </patternFill>
      </fill>
    </dxf>
    <dxf>
      <fill>
        <patternFill patternType="solid">
          <fgColor rgb="FFDFE283"/>
          <bgColor rgb="FF000000"/>
        </patternFill>
      </fill>
    </dxf>
    <dxf>
      <fill>
        <patternFill patternType="solid">
          <fgColor rgb="FFE2E383"/>
          <bgColor rgb="FF000000"/>
        </patternFill>
      </fill>
    </dxf>
    <dxf>
      <fill>
        <patternFill patternType="solid">
          <fgColor rgb="FFE6E483"/>
          <bgColor rgb="FF000000"/>
        </patternFill>
      </fill>
    </dxf>
    <dxf>
      <fill>
        <patternFill patternType="solid">
          <fgColor rgb="FFEAE583"/>
          <bgColor rgb="FF000000"/>
        </patternFill>
      </fill>
    </dxf>
    <dxf>
      <fill>
        <patternFill patternType="solid">
          <fgColor rgb="FFEDE683"/>
          <bgColor rgb="FF000000"/>
        </patternFill>
      </fill>
    </dxf>
    <dxf>
      <fill>
        <patternFill patternType="solid">
          <fgColor rgb="FFF1E784"/>
          <bgColor rgb="FF000000"/>
        </patternFill>
      </fill>
    </dxf>
    <dxf>
      <fill>
        <patternFill patternType="solid">
          <fgColor rgb="FFF5E884"/>
          <bgColor rgb="FF000000"/>
        </patternFill>
      </fill>
    </dxf>
    <dxf>
      <fill>
        <patternFill patternType="solid">
          <fgColor rgb="FFF8696B"/>
          <bgColor rgb="FF000000"/>
        </patternFill>
      </fill>
    </dxf>
    <dxf>
      <fill>
        <patternFill patternType="solid">
          <fgColor rgb="FFF86C6B"/>
          <bgColor rgb="FF000000"/>
        </patternFill>
      </fill>
    </dxf>
    <dxf>
      <fill>
        <patternFill patternType="solid">
          <fgColor rgb="FFF86F6C"/>
          <bgColor rgb="FF000000"/>
        </patternFill>
      </fill>
    </dxf>
    <dxf>
      <fill>
        <patternFill patternType="solid">
          <fgColor rgb="FFF8736C"/>
          <bgColor rgb="FF000000"/>
        </patternFill>
      </fill>
    </dxf>
    <dxf>
      <fill>
        <patternFill patternType="solid">
          <fgColor rgb="FFF8796E"/>
          <bgColor rgb="FF000000"/>
        </patternFill>
      </fill>
    </dxf>
    <dxf>
      <fill>
        <patternFill patternType="solid">
          <fgColor rgb="FFF8E984"/>
          <bgColor rgb="FF000000"/>
        </patternFill>
      </fill>
    </dxf>
    <dxf>
      <fill>
        <patternFill patternType="solid">
          <fgColor rgb="FFF97C6E"/>
          <bgColor rgb="FF000000"/>
        </patternFill>
      </fill>
    </dxf>
    <dxf>
      <fill>
        <patternFill patternType="solid">
          <fgColor rgb="FFF9806F"/>
          <bgColor rgb="FF000000"/>
        </patternFill>
      </fill>
    </dxf>
    <dxf>
      <fill>
        <patternFill patternType="solid">
          <fgColor rgb="FFF98370"/>
          <bgColor rgb="FF000000"/>
        </patternFill>
      </fill>
    </dxf>
    <dxf>
      <fill>
        <patternFill patternType="solid">
          <fgColor rgb="FFF98770"/>
          <bgColor rgb="FF000000"/>
        </patternFill>
      </fill>
    </dxf>
    <dxf>
      <fill>
        <patternFill patternType="solid">
          <fgColor rgb="FFF98A71"/>
          <bgColor rgb="FF000000"/>
        </patternFill>
      </fill>
    </dxf>
    <dxf>
      <fill>
        <patternFill patternType="solid">
          <fgColor rgb="FFF98D72"/>
          <bgColor rgb="FF000000"/>
        </patternFill>
      </fill>
    </dxf>
    <dxf>
      <fill>
        <patternFill patternType="solid">
          <fgColor rgb="FFFA9473"/>
          <bgColor rgb="FF000000"/>
        </patternFill>
      </fill>
    </dxf>
    <dxf>
      <fill>
        <patternFill patternType="solid">
          <fgColor rgb="FFFA9773"/>
          <bgColor rgb="FF000000"/>
        </patternFill>
      </fill>
    </dxf>
    <dxf>
      <fill>
        <patternFill patternType="solid">
          <fgColor rgb="FFFA9A74"/>
          <bgColor rgb="FF000000"/>
        </patternFill>
      </fill>
    </dxf>
    <dxf>
      <fill>
        <patternFill patternType="solid">
          <fgColor rgb="FFFA9E75"/>
          <bgColor rgb="FF000000"/>
        </patternFill>
      </fill>
    </dxf>
    <dxf>
      <fill>
        <patternFill patternType="solid">
          <fgColor rgb="FFFBA175"/>
          <bgColor rgb="FF000000"/>
        </patternFill>
      </fill>
    </dxf>
    <dxf>
      <fill>
        <patternFill patternType="solid">
          <fgColor rgb="FFFBA476"/>
          <bgColor rgb="FF000000"/>
        </patternFill>
      </fill>
    </dxf>
    <dxf>
      <fill>
        <patternFill patternType="solid">
          <fgColor rgb="FFFBA877"/>
          <bgColor rgb="FF000000"/>
        </patternFill>
      </fill>
    </dxf>
    <dxf>
      <fill>
        <patternFill patternType="solid">
          <fgColor rgb="FFFBAB77"/>
          <bgColor rgb="FF000000"/>
        </patternFill>
      </fill>
    </dxf>
    <dxf>
      <fill>
        <patternFill patternType="solid">
          <fgColor rgb="FFFBAE78"/>
          <bgColor rgb="FF000000"/>
        </patternFill>
      </fill>
    </dxf>
    <dxf>
      <fill>
        <patternFill patternType="solid">
          <fgColor rgb="FFFBB279"/>
          <bgColor rgb="FF000000"/>
        </patternFill>
      </fill>
    </dxf>
    <dxf>
      <fill>
        <patternFill patternType="solid">
          <fgColor rgb="FFFCB579"/>
          <bgColor rgb="FF000000"/>
        </patternFill>
      </fill>
    </dxf>
    <dxf>
      <fill>
        <patternFill patternType="solid">
          <fgColor rgb="FFFCB97A"/>
          <bgColor rgb="FF000000"/>
        </patternFill>
      </fill>
    </dxf>
    <dxf>
      <fill>
        <patternFill patternType="solid">
          <fgColor rgb="FFFCBC7B"/>
          <bgColor rgb="FF000000"/>
        </patternFill>
      </fill>
    </dxf>
    <dxf>
      <fill>
        <patternFill patternType="solid">
          <fgColor rgb="FFFCBF7B"/>
          <bgColor rgb="FF000000"/>
        </patternFill>
      </fill>
    </dxf>
    <dxf>
      <fill>
        <patternFill patternType="solid">
          <fgColor rgb="FFFCC37C"/>
          <bgColor rgb="FF000000"/>
        </patternFill>
      </fill>
    </dxf>
    <dxf>
      <fill>
        <patternFill patternType="solid">
          <fgColor rgb="FFFCEA84"/>
          <bgColor rgb="FF000000"/>
        </patternFill>
      </fill>
    </dxf>
    <dxf>
      <fill>
        <patternFill patternType="solid">
          <fgColor rgb="FFFDC67C"/>
          <bgColor rgb="FF000000"/>
        </patternFill>
      </fill>
    </dxf>
    <dxf>
      <fill>
        <patternFill patternType="solid">
          <fgColor rgb="FFFDC97D"/>
          <bgColor rgb="FF000000"/>
        </patternFill>
      </fill>
    </dxf>
    <dxf>
      <fill>
        <patternFill patternType="solid">
          <fgColor rgb="FFFDCC7E"/>
          <bgColor rgb="FF000000"/>
        </patternFill>
      </fill>
    </dxf>
    <dxf>
      <fill>
        <patternFill patternType="solid">
          <fgColor rgb="FFFDD07E"/>
          <bgColor rgb="FF000000"/>
        </patternFill>
      </fill>
    </dxf>
    <dxf>
      <fill>
        <patternFill patternType="solid">
          <fgColor rgb="FFFDD37F"/>
          <bgColor rgb="FF000000"/>
        </patternFill>
      </fill>
    </dxf>
    <dxf>
      <fill>
        <patternFill patternType="solid">
          <fgColor rgb="FFFDD680"/>
          <bgColor rgb="FF000000"/>
        </patternFill>
      </fill>
    </dxf>
    <dxf>
      <fill>
        <patternFill patternType="solid">
          <fgColor rgb="FFFEDA80"/>
          <bgColor rgb="FF000000"/>
        </patternFill>
      </fill>
    </dxf>
    <dxf>
      <fill>
        <patternFill patternType="solid">
          <fgColor rgb="FFFEDD81"/>
          <bgColor rgb="FF000000"/>
        </patternFill>
      </fill>
    </dxf>
    <dxf>
      <fill>
        <patternFill patternType="solid">
          <fgColor rgb="FFFEE182"/>
          <bgColor rgb="FF000000"/>
        </patternFill>
      </fill>
    </dxf>
    <dxf>
      <fill>
        <patternFill patternType="solid">
          <fgColor rgb="FFFEE482"/>
          <bgColor rgb="FF000000"/>
        </patternFill>
      </fill>
    </dxf>
    <dxf>
      <fill>
        <patternFill patternType="solid">
          <fgColor rgb="FFFEE783"/>
          <bgColor rgb="FF000000"/>
        </patternFill>
      </fill>
    </dxf>
    <dxf>
      <fill>
        <patternFill patternType="solid">
          <fgColor rgb="FFFFEB84"/>
          <bgColor rgb="FF000000"/>
        </patternFill>
      </fill>
    </dxf>
    <dxf>
      <fill>
        <patternFill patternType="solid">
          <fgColor rgb="FFFFF2CC"/>
          <bgColor rgb="FF000000"/>
        </patternFill>
      </fill>
    </dxf>
    <dxf>
      <fill>
        <patternFill>
          <bgColor rgb="FFC6EFCE"/>
        </patternFill>
      </fill>
    </dxf>
    <dxf>
      <fill>
        <patternFill>
          <bgColor rgb="FFFFEB9C"/>
        </patternFill>
      </fill>
    </dxf>
    <dxf>
      <fill>
        <patternFill>
          <bgColor rgb="FFBDD7EE"/>
        </patternFill>
      </fill>
    </dxf>
    <dxf>
      <fill>
        <patternFill>
          <bgColor rgb="FFFCE4D6"/>
        </patternFill>
      </fill>
    </dxf>
    <dxf>
      <fill>
        <patternFill patternType="solid">
          <fgColor rgb="FF64BF7C"/>
          <bgColor rgb="FF000000"/>
        </patternFill>
      </fill>
    </dxf>
    <dxf>
      <fill>
        <patternFill patternType="solid">
          <fgColor rgb="FF69C180"/>
          <bgColor rgb="FF000000"/>
        </patternFill>
      </fill>
    </dxf>
    <dxf>
      <fill>
        <patternFill patternType="solid">
          <fgColor rgb="FF7ECA92"/>
          <bgColor rgb="FF000000"/>
        </patternFill>
      </fill>
    </dxf>
    <dxf>
      <fill>
        <patternFill patternType="solid">
          <fgColor rgb="FF88CE9B"/>
          <bgColor rgb="FF000000"/>
        </patternFill>
      </fill>
    </dxf>
    <dxf>
      <fill>
        <patternFill patternType="solid">
          <fgColor rgb="FF8CD09E"/>
          <bgColor rgb="FF000000"/>
        </patternFill>
      </fill>
    </dxf>
    <dxf>
      <fill>
        <patternFill patternType="solid">
          <fgColor rgb="FF8ED09F"/>
          <bgColor rgb="FF000000"/>
        </patternFill>
      </fill>
    </dxf>
    <dxf>
      <fill>
        <patternFill patternType="solid">
          <fgColor rgb="FF8ED0A0"/>
          <bgColor rgb="FF000000"/>
        </patternFill>
      </fill>
    </dxf>
    <dxf>
      <fill>
        <patternFill patternType="solid">
          <fgColor rgb="FF8FD1A0"/>
          <bgColor rgb="FF000000"/>
        </patternFill>
      </fill>
    </dxf>
    <dxf>
      <fill>
        <patternFill patternType="solid">
          <fgColor rgb="FF97D4A7"/>
          <bgColor rgb="FF000000"/>
        </patternFill>
      </fill>
    </dxf>
    <dxf>
      <fill>
        <patternFill patternType="solid">
          <fgColor rgb="FF9ED7AD"/>
          <bgColor rgb="FF000000"/>
        </patternFill>
      </fill>
    </dxf>
    <dxf>
      <fill>
        <patternFill patternType="solid">
          <fgColor rgb="FF9FD7AE"/>
          <bgColor rgb="FF000000"/>
        </patternFill>
      </fill>
    </dxf>
    <dxf>
      <fill>
        <patternFill patternType="solid">
          <fgColor rgb="FFA1D8B0"/>
          <bgColor rgb="FF000000"/>
        </patternFill>
      </fill>
    </dxf>
    <dxf>
      <fill>
        <patternFill patternType="solid">
          <fgColor rgb="FFA2D9B1"/>
          <bgColor rgb="FF000000"/>
        </patternFill>
      </fill>
    </dxf>
    <dxf>
      <fill>
        <patternFill patternType="solid">
          <fgColor rgb="FFA3D9B1"/>
          <bgColor rgb="FF000000"/>
        </patternFill>
      </fill>
    </dxf>
    <dxf>
      <fill>
        <patternFill patternType="solid">
          <fgColor rgb="FFABDCB8"/>
          <bgColor rgb="FF000000"/>
        </patternFill>
      </fill>
    </dxf>
    <dxf>
      <fill>
        <patternFill patternType="solid">
          <fgColor rgb="FFB3DFBE"/>
          <bgColor rgb="FF000000"/>
        </patternFill>
      </fill>
    </dxf>
    <dxf>
      <fill>
        <patternFill patternType="solid">
          <fgColor rgb="FFB6E1C2"/>
          <bgColor rgb="FF000000"/>
        </patternFill>
      </fill>
    </dxf>
    <dxf>
      <fill>
        <patternFill patternType="solid">
          <fgColor rgb="FFB8E2C3"/>
          <bgColor rgb="FF000000"/>
        </patternFill>
      </fill>
    </dxf>
    <dxf>
      <fill>
        <patternFill patternType="solid">
          <fgColor rgb="FFB9E2C4"/>
          <bgColor rgb="FF000000"/>
        </patternFill>
      </fill>
    </dxf>
    <dxf>
      <fill>
        <patternFill patternType="solid">
          <fgColor rgb="FFBBE3C6"/>
          <bgColor rgb="FF000000"/>
        </patternFill>
      </fill>
    </dxf>
    <dxf>
      <fill>
        <patternFill patternType="solid">
          <fgColor rgb="FFBCE3C6"/>
          <bgColor rgb="FF000000"/>
        </patternFill>
      </fill>
    </dxf>
    <dxf>
      <fill>
        <patternFill patternType="solid">
          <fgColor rgb="FFBEE4C8"/>
          <bgColor rgb="FF000000"/>
        </patternFill>
      </fill>
    </dxf>
    <dxf>
      <fill>
        <patternFill patternType="solid">
          <fgColor rgb="FFC0E5CA"/>
          <bgColor rgb="FF000000"/>
        </patternFill>
      </fill>
    </dxf>
    <dxf>
      <fill>
        <patternFill patternType="solid">
          <fgColor rgb="FFC8E8D1"/>
          <bgColor rgb="FF000000"/>
        </patternFill>
      </fill>
    </dxf>
    <dxf>
      <fill>
        <patternFill patternType="solid">
          <fgColor rgb="FFC9E9D2"/>
          <bgColor rgb="FF000000"/>
        </patternFill>
      </fill>
    </dxf>
    <dxf>
      <fill>
        <patternFill patternType="solid">
          <fgColor rgb="FFCBEAD3"/>
          <bgColor rgb="FF000000"/>
        </patternFill>
      </fill>
    </dxf>
    <dxf>
      <fill>
        <patternFill patternType="solid">
          <fgColor rgb="FFCDEAD5"/>
          <bgColor rgb="FF000000"/>
        </patternFill>
      </fill>
    </dxf>
    <dxf>
      <fill>
        <patternFill patternType="solid">
          <fgColor rgb="FFCDEBD5"/>
          <bgColor rgb="FF000000"/>
        </patternFill>
      </fill>
    </dxf>
    <dxf>
      <fill>
        <patternFill patternType="solid">
          <fgColor rgb="FFCFEBD7"/>
          <bgColor rgb="FF000000"/>
        </patternFill>
      </fill>
    </dxf>
    <dxf>
      <fill>
        <patternFill patternType="solid">
          <fgColor rgb="FFD0ECD7"/>
          <bgColor rgb="FF000000"/>
        </patternFill>
      </fill>
    </dxf>
    <dxf>
      <fill>
        <patternFill patternType="solid">
          <fgColor rgb="FFD5EEDB"/>
          <bgColor rgb="FF000000"/>
        </patternFill>
      </fill>
    </dxf>
    <dxf>
      <fill>
        <patternFill patternType="solid">
          <fgColor rgb="FFD6EEDC"/>
          <bgColor rgb="FF000000"/>
        </patternFill>
      </fill>
    </dxf>
    <dxf>
      <fill>
        <patternFill patternType="solid">
          <fgColor rgb="FFD8EFDE"/>
          <bgColor rgb="FF000000"/>
        </patternFill>
      </fill>
    </dxf>
    <dxf>
      <fill>
        <patternFill patternType="solid">
          <fgColor rgb="FFD9EFDF"/>
          <bgColor rgb="FF000000"/>
        </patternFill>
      </fill>
    </dxf>
    <dxf>
      <fill>
        <patternFill patternType="solid">
          <fgColor rgb="FFD9F0DF"/>
          <bgColor rgb="FF000000"/>
        </patternFill>
      </fill>
    </dxf>
    <dxf>
      <fill>
        <patternFill patternType="solid">
          <fgColor rgb="FFDAF0DF"/>
          <bgColor rgb="FF000000"/>
        </patternFill>
      </fill>
    </dxf>
    <dxf>
      <fill>
        <patternFill patternType="solid">
          <fgColor rgb="FFDAF0E0"/>
          <bgColor rgb="FF000000"/>
        </patternFill>
      </fill>
    </dxf>
    <dxf>
      <fill>
        <patternFill patternType="solid">
          <fgColor rgb="FFDBF0E0"/>
          <bgColor rgb="FF000000"/>
        </patternFill>
      </fill>
    </dxf>
    <dxf>
      <fill>
        <patternFill patternType="solid">
          <fgColor rgb="FFDDF1E2"/>
          <bgColor rgb="FF000000"/>
        </patternFill>
      </fill>
    </dxf>
    <dxf>
      <fill>
        <patternFill patternType="solid">
          <fgColor rgb="FFDEF1E3"/>
          <bgColor rgb="FF000000"/>
        </patternFill>
      </fill>
    </dxf>
    <dxf>
      <fill>
        <patternFill patternType="solid">
          <fgColor rgb="FFE0F2E5"/>
          <bgColor rgb="FF000000"/>
        </patternFill>
      </fill>
    </dxf>
    <dxf>
      <fill>
        <patternFill patternType="solid">
          <fgColor rgb="FFE0F3E5"/>
          <bgColor rgb="FF000000"/>
        </patternFill>
      </fill>
    </dxf>
    <dxf>
      <fill>
        <patternFill patternType="solid">
          <fgColor rgb="FFE1F3E6"/>
          <bgColor rgb="FF000000"/>
        </patternFill>
      </fill>
    </dxf>
    <dxf>
      <fill>
        <patternFill patternType="solid">
          <fgColor rgb="FFE2F3E7"/>
          <bgColor rgb="FF000000"/>
        </patternFill>
      </fill>
    </dxf>
    <dxf>
      <fill>
        <patternFill patternType="solid">
          <fgColor rgb="FFE4F4E8"/>
          <bgColor rgb="FF000000"/>
        </patternFill>
      </fill>
    </dxf>
    <dxf>
      <fill>
        <patternFill patternType="solid">
          <fgColor rgb="FFE6F5EA"/>
          <bgColor rgb="FF000000"/>
        </patternFill>
      </fill>
    </dxf>
    <dxf>
      <fill>
        <patternFill patternType="solid">
          <fgColor rgb="FFEAF7ED"/>
          <bgColor rgb="FF000000"/>
        </patternFill>
      </fill>
    </dxf>
    <dxf>
      <fill>
        <patternFill patternType="solid">
          <fgColor rgb="FFEAF7EE"/>
          <bgColor rgb="FF000000"/>
        </patternFill>
      </fill>
    </dxf>
    <dxf>
      <fill>
        <patternFill patternType="solid">
          <fgColor rgb="FFEBF7EE"/>
          <bgColor rgb="FF000000"/>
        </patternFill>
      </fill>
    </dxf>
    <dxf>
      <fill>
        <patternFill patternType="solid">
          <fgColor rgb="FFECF7EF"/>
          <bgColor rgb="FF000000"/>
        </patternFill>
      </fill>
    </dxf>
    <dxf>
      <fill>
        <patternFill patternType="solid">
          <fgColor rgb="FFECF8EF"/>
          <bgColor rgb="FF000000"/>
        </patternFill>
      </fill>
    </dxf>
    <dxf>
      <fill>
        <patternFill patternType="solid">
          <fgColor rgb="FFEDF8EF"/>
          <bgColor rgb="FF000000"/>
        </patternFill>
      </fill>
    </dxf>
    <dxf>
      <fill>
        <patternFill patternType="solid">
          <fgColor rgb="FFEDF8F0"/>
          <bgColor rgb="FF000000"/>
        </patternFill>
      </fill>
    </dxf>
    <dxf>
      <fill>
        <patternFill patternType="solid">
          <fgColor rgb="FFEEF8F1"/>
          <bgColor rgb="FF000000"/>
        </patternFill>
      </fill>
    </dxf>
    <dxf>
      <fill>
        <patternFill patternType="solid">
          <fgColor rgb="FFEFF9F2"/>
          <bgColor rgb="FF000000"/>
        </patternFill>
      </fill>
    </dxf>
    <dxf>
      <fill>
        <patternFill patternType="solid">
          <fgColor rgb="FFF0F9F2"/>
          <bgColor rgb="FF000000"/>
        </patternFill>
      </fill>
    </dxf>
    <dxf>
      <fill>
        <patternFill patternType="solid">
          <fgColor rgb="FFF0F9F3"/>
          <bgColor rgb="FF000000"/>
        </patternFill>
      </fill>
    </dxf>
    <dxf>
      <fill>
        <patternFill patternType="solid">
          <fgColor rgb="FFF1FAF4"/>
          <bgColor rgb="FF000000"/>
        </patternFill>
      </fill>
    </dxf>
    <dxf>
      <fill>
        <patternFill patternType="solid">
          <fgColor rgb="FFF3FAF5"/>
          <bgColor rgb="FF000000"/>
        </patternFill>
      </fill>
    </dxf>
    <dxf>
      <fill>
        <patternFill patternType="solid">
          <fgColor rgb="FFF5FBF6"/>
          <bgColor rgb="FF000000"/>
        </patternFill>
      </fill>
    </dxf>
    <dxf>
      <fill>
        <patternFill patternType="solid">
          <fgColor rgb="FFF5FBF7"/>
          <bgColor rgb="FF000000"/>
        </patternFill>
      </fill>
    </dxf>
    <dxf>
      <fill>
        <patternFill patternType="solid">
          <fgColor rgb="FFF6FBF7"/>
          <bgColor rgb="FF000000"/>
        </patternFill>
      </fill>
    </dxf>
    <dxf>
      <fill>
        <patternFill patternType="solid">
          <fgColor rgb="FFF6FCF8"/>
          <bgColor rgb="FF000000"/>
        </patternFill>
      </fill>
    </dxf>
    <dxf>
      <fill>
        <patternFill patternType="solid">
          <fgColor rgb="FFF7FCF9"/>
          <bgColor rgb="FF000000"/>
        </patternFill>
      </fill>
    </dxf>
    <dxf>
      <fill>
        <patternFill patternType="solid">
          <fgColor rgb="FFF8FCF9"/>
          <bgColor rgb="FF000000"/>
        </patternFill>
      </fill>
    </dxf>
    <dxf>
      <fill>
        <patternFill patternType="solid">
          <fgColor rgb="FFFAFDFB"/>
          <bgColor rgb="FF000000"/>
        </patternFill>
      </fill>
    </dxf>
    <dxf>
      <fill>
        <patternFill patternType="solid">
          <fgColor rgb="FFFBFDFB"/>
          <bgColor rgb="FF000000"/>
        </patternFill>
      </fill>
    </dxf>
    <dxf>
      <fill>
        <patternFill patternType="solid">
          <fgColor rgb="FFFBFEFC"/>
          <bgColor rgb="FF000000"/>
        </patternFill>
      </fill>
    </dxf>
    <dxf>
      <fill>
        <patternFill patternType="solid">
          <fgColor rgb="FFFCFEFC"/>
          <bgColor rgb="FF000000"/>
        </patternFill>
      </fill>
    </dxf>
    <dxf>
      <fill>
        <patternFill patternType="solid">
          <fgColor rgb="FFFCFEFD"/>
          <bgColor rgb="FF000000"/>
        </patternFill>
      </fill>
    </dxf>
    <dxf>
      <fill>
        <patternFill patternType="solid">
          <fgColor rgb="FFFDFEFD"/>
          <bgColor rgb="FF000000"/>
        </patternFill>
      </fill>
    </dxf>
    <dxf>
      <fill>
        <patternFill patternType="solid">
          <fgColor rgb="FFFEFFFE"/>
          <bgColor rgb="FF000000"/>
        </patternFill>
      </fill>
    </dxf>
    <dxf>
      <fill>
        <patternFill patternType="solid">
          <fgColor rgb="FFFEFFFF"/>
          <bgColor rgb="FF000000"/>
        </patternFill>
      </fill>
    </dxf>
    <dxf>
      <fill>
        <patternFill patternType="solid">
          <fgColor rgb="FF75C68A"/>
          <bgColor rgb="FF000000"/>
        </patternFill>
      </fill>
    </dxf>
    <dxf>
      <fill>
        <patternFill patternType="solid">
          <fgColor rgb="FF86CD99"/>
          <bgColor rgb="FF000000"/>
        </patternFill>
      </fill>
    </dxf>
    <dxf>
      <fill>
        <patternFill patternType="solid">
          <fgColor rgb="FFA4D9B2"/>
          <bgColor rgb="FF000000"/>
        </patternFill>
      </fill>
    </dxf>
    <dxf>
      <fill>
        <patternFill patternType="solid">
          <fgColor rgb="FFE9F6EC"/>
          <bgColor rgb="FF000000"/>
        </patternFill>
      </fill>
    </dxf>
    <dxf>
      <fill>
        <patternFill patternType="solid">
          <fgColor rgb="FFDDEBF7"/>
          <bgColor rgb="FF000000"/>
        </patternFill>
      </fill>
    </dxf>
    <dxf>
      <fill>
        <patternFill patternType="solid">
          <fgColor rgb="FFEDEDED"/>
          <bgColor rgb="FF000000"/>
        </patternFill>
      </fill>
    </dxf>
    <dxf>
      <fill>
        <patternFill>
          <bgColor rgb="FFDDEBF7"/>
        </patternFill>
      </fill>
    </dxf>
    <dxf>
      <fill>
        <patternFill>
          <bgColor rgb="FFEDEDE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DEDED"/>
      <rgbColor rgb="FF808080"/>
      <rgbColor rgb="FF9999FF"/>
      <rgbColor rgb="FF993366"/>
      <rgbColor rgb="FFFFF2CC"/>
      <rgbColor rgb="FFDDEBF7"/>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DCE6F1"/>
      <rgbColor rgb="FFC6EFCE"/>
      <rgbColor rgb="FFFFEB9C"/>
      <rgbColor rgb="FF99CCFF"/>
      <rgbColor rgb="FFFF99CC"/>
      <rgbColor rgb="FFCC99FF"/>
      <rgbColor rgb="FFFCE4D6"/>
      <rgbColor rgb="FF3366FF"/>
      <rgbColor rgb="FF33CCCC"/>
      <rgbColor rgb="FF99CC00"/>
      <rgbColor rgb="FFFFCC00"/>
      <rgbColor rgb="FFFF9900"/>
      <rgbColor rgb="FFFF6600"/>
      <rgbColor rgb="FF59595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x.com/fromzerotomill/status/1992916088544256502" TargetMode="External"/><Relationship Id="rId3" Type="http://schemas.openxmlformats.org/officeDocument/2006/relationships/hyperlink" Target="https://www.instagram.com/reel/DeKt5O_Sz9_/" TargetMode="External"/><Relationship Id="rId4" Type="http://schemas.openxmlformats.org/officeDocument/2006/relationships/hyperlink" Target="https://www.instagram.com/reel/DYo8Da5PPe3/" TargetMode="External"/><Relationship Id="rId5" Type="http://schemas.openxmlformats.org/officeDocument/2006/relationships/hyperlink" Target="https://www.instagram.com/reel/DeIN6T6zB0G/" TargetMode="External"/><Relationship Id="rId6" Type="http://schemas.openxmlformats.org/officeDocument/2006/relationships/hyperlink" Target="https://www.instagram.com/reel/DW8TbCSDWOZ/" TargetMode="External"/><Relationship Id="rId7" Type="http://schemas.openxmlformats.org/officeDocument/2006/relationships/hyperlink" Target="https://x.com/theroborourke/status/1990343987148775791" TargetMode="External"/><Relationship Id="rId8" Type="http://schemas.openxmlformats.org/officeDocument/2006/relationships/hyperlink" Target="https://x.com/romanbuildsaas/status/2047825608030494758" TargetMode="External"/><Relationship Id="rId9" Type="http://schemas.openxmlformats.org/officeDocument/2006/relationships/hyperlink" Target="https://x.com/NickB2005/status/2095121648710037913" TargetMode="External"/><Relationship Id="rId10" Type="http://schemas.openxmlformats.org/officeDocument/2006/relationships/hyperlink" Target="https://x.com/TheMattBerman/status/2024678503598235963" TargetMode="External"/><Relationship Id="rId11" Type="http://schemas.openxmlformats.org/officeDocument/2006/relationships/hyperlink" Target="https://x.com/theroborourke/status/1990376468736618997" TargetMode="External"/><Relationship Id="rId12" Type="http://schemas.openxmlformats.org/officeDocument/2006/relationships/hyperlink" Target="https://www.linkedin.com/feed/update/urn:li:activity:7422654796735807491" TargetMode="External"/><Relationship Id="rId13" Type="http://schemas.openxmlformats.org/officeDocument/2006/relationships/hyperlink" Target="https://x.com/theroborourke/status/2016436919505146264" TargetMode="External"/><Relationship Id="rId14" Type="http://schemas.openxmlformats.org/officeDocument/2006/relationships/hyperlink" Target="https://www.instagram.com/reel/DWb9bMukmwe/" TargetMode="External"/><Relationship Id="rId15" Type="http://schemas.openxmlformats.org/officeDocument/2006/relationships/hyperlink" Target="https://x.com/fromzerotomill/status/2015743611237785804" TargetMode="External"/><Relationship Id="rId16" Type="http://schemas.openxmlformats.org/officeDocument/2006/relationships/hyperlink" Target="https://x.com/MichLieben/status/2039432665078923529" TargetMode="External"/><Relationship Id="rId17" Type="http://schemas.openxmlformats.org/officeDocument/2006/relationships/hyperlink" Target="https://x.com/MarketingMax/status/2019410776201506904" TargetMode="External"/><Relationship Id="rId18" Type="http://schemas.openxmlformats.org/officeDocument/2006/relationships/hyperlink" Target="https://www.instagram.com/reel/DcGk3BOI4_r/" TargetMode="External"/><Relationship Id="rId19" Type="http://schemas.openxmlformats.org/officeDocument/2006/relationships/hyperlink" Target="https://www.instagram.com/reel/Dcy173UgAVR/" TargetMode="External"/><Relationship Id="rId20" Type="http://schemas.openxmlformats.org/officeDocument/2006/relationships/hyperlink" Target="https://x.com/fin465/status/2055137077868814804" TargetMode="External"/><Relationship Id="rId21" Type="http://schemas.openxmlformats.org/officeDocument/2006/relationships/hyperlink" Target="https://www.instagram.com/reel/DYE9F6qN8uX/" TargetMode="External"/><Relationship Id="rId22" Type="http://schemas.openxmlformats.org/officeDocument/2006/relationships/hyperlink" Target="https://x.com/boomerrbryan/status/2105927263208570959" TargetMode="External"/><Relationship Id="rId23" Type="http://schemas.openxmlformats.org/officeDocument/2006/relationships/hyperlink" Target="https://x.com/ecomchigga/status/2014040307755528491" TargetMode="External"/><Relationship Id="rId24" Type="http://schemas.openxmlformats.org/officeDocument/2006/relationships/hyperlink" Target="https://www.linkedin.com/feed/update/urn:li:activity:7421567657579196416" TargetMode="External"/><Relationship Id="rId25" Type="http://schemas.openxmlformats.org/officeDocument/2006/relationships/hyperlink" Target="https://www.instagram.com/reel/DeNIahOMks5/" TargetMode="External"/><Relationship Id="rId26" Type="http://schemas.openxmlformats.org/officeDocument/2006/relationships/hyperlink" Target="https://x.com/Hartdrawss/status/2029852118723551289" TargetMode="External"/><Relationship Id="rId27" Type="http://schemas.openxmlformats.org/officeDocument/2006/relationships/hyperlink" Target="https://www.instagram.com/reel/Db58c4nCOXN/" TargetMode="External"/><Relationship Id="rId28" Type="http://schemas.openxmlformats.org/officeDocument/2006/relationships/hyperlink" Target="https://www.instagram.com/reel/Db8S4BmJlfM/" TargetMode="External"/><Relationship Id="rId29" Type="http://schemas.openxmlformats.org/officeDocument/2006/relationships/hyperlink" Target="https://x.com/TimStodz/status/2108161648506609947" TargetMode="External"/><Relationship Id="rId30" Type="http://schemas.openxmlformats.org/officeDocument/2006/relationships/hyperlink" Target="https://x.com/imsehej/status/2007850577326456879" TargetMode="External"/><Relationship Id="rId31" Type="http://schemas.openxmlformats.org/officeDocument/2006/relationships/hyperlink" Target="https://x.com/theroborourke/status/2000523290205364430" TargetMode="External"/><Relationship Id="rId32" Type="http://schemas.openxmlformats.org/officeDocument/2006/relationships/hyperlink" Target="https://x.com/theroborourke/status/1984891228635255217" TargetMode="External"/><Relationship Id="rId33" Type="http://schemas.openxmlformats.org/officeDocument/2006/relationships/hyperlink" Target="https://www.instagram.com/reel/DWQxe0VjcyN/" TargetMode="External"/><Relationship Id="rId34" Type="http://schemas.openxmlformats.org/officeDocument/2006/relationships/hyperlink" Target="https://www.instagram.com/reel/DZpxfcdhO3g/" TargetMode="External"/><Relationship Id="rId35" Type="http://schemas.openxmlformats.org/officeDocument/2006/relationships/hyperlink" Target="https://www.instagram.com/reel/Dbl6NsgSR9R/" TargetMode="External"/><Relationship Id="rId36" Type="http://schemas.openxmlformats.org/officeDocument/2006/relationships/hyperlink" Target="https://x.com/marlowxbt/status/2059288973101486502" TargetMode="External"/><Relationship Id="rId37" Type="http://schemas.openxmlformats.org/officeDocument/2006/relationships/hyperlink" Target="https://www.linkedin.com/feed/update/urn:li:activity:7385915021148438528" TargetMode="External"/><Relationship Id="rId38" Type="http://schemas.openxmlformats.org/officeDocument/2006/relationships/hyperlink" Target="https://x.com/FinancialPhys/status/2079933243650982238" TargetMode="External"/><Relationship Id="rId39" Type="http://schemas.openxmlformats.org/officeDocument/2006/relationships/hyperlink" Target="https://x.com/scott_bair/status/2043596395580670401" TargetMode="External"/><Relationship Id="rId40" Type="http://schemas.openxmlformats.org/officeDocument/2006/relationships/hyperlink" Target="https://www.instagram.com/reel/DRbhwTODVM1/" TargetMode="External"/><Relationship Id="rId41" Type="http://schemas.openxmlformats.org/officeDocument/2006/relationships/hyperlink" Target="https://www.linkedin.com/feed/update/urn:li:activity:7396917745914781696" TargetMode="External"/><Relationship Id="rId42" Type="http://schemas.openxmlformats.org/officeDocument/2006/relationships/hyperlink" Target="https://www.linkedin.com/feed/update/urn:li:activity:7447674013230841856" TargetMode="External"/><Relationship Id="rId43" Type="http://schemas.openxmlformats.org/officeDocument/2006/relationships/hyperlink" Target="https://x.com/RetentionAdam/status/2016190513251287229" TargetMode="External"/><Relationship Id="rId44" Type="http://schemas.openxmlformats.org/officeDocument/2006/relationships/hyperlink" Target="https://x.com/marlowxbt/status/2064014528401277174" TargetMode="External"/><Relationship Id="rId45" Type="http://schemas.openxmlformats.org/officeDocument/2006/relationships/hyperlink" Target="https://www.instagram.com/reel/DblbBF0gJ8g/" TargetMode="External"/><Relationship Id="rId46" Type="http://schemas.openxmlformats.org/officeDocument/2006/relationships/hyperlink" Target="https://www.instagram.com/reel/Ddr6DBaRrL7/" TargetMode="External"/><Relationship Id="rId47" Type="http://schemas.openxmlformats.org/officeDocument/2006/relationships/hyperlink" Target="https://www.instagram.com/reel/DV2q3zoErC3/" TargetMode="External"/><Relationship Id="rId48" Type="http://schemas.openxmlformats.org/officeDocument/2006/relationships/hyperlink" Target="https://www.instagram.com/reel/DXwmJB0S7TG/" TargetMode="External"/><Relationship Id="rId49" Type="http://schemas.openxmlformats.org/officeDocument/2006/relationships/hyperlink" Target="https://x.com/TheMattBerman/status/2027220216409723296" TargetMode="External"/><Relationship Id="rId50" Type="http://schemas.openxmlformats.org/officeDocument/2006/relationships/hyperlink" Target="https://x.com/parsedpatterns/status/2006786675741962478" TargetMode="External"/><Relationship Id="rId51" Type="http://schemas.openxmlformats.org/officeDocument/2006/relationships/hyperlink" Target="https://www.instagram.com/reel/DcriHRDS7Gt/" TargetMode="External"/><Relationship Id="rId52" Type="http://schemas.openxmlformats.org/officeDocument/2006/relationships/hyperlink" Target="https://www.instagram.com/reel/DZMEp61IK8J/" TargetMode="External"/><Relationship Id="rId53" Type="http://schemas.openxmlformats.org/officeDocument/2006/relationships/hyperlink" Target="https://www.linkedin.com/feed/update/urn:li:activity:7470938105974362112" TargetMode="External"/><Relationship Id="rId54" Type="http://schemas.openxmlformats.org/officeDocument/2006/relationships/hyperlink" Target="https://www.instagram.com/reel/DdL7H1QFDHh/" TargetMode="External"/><Relationship Id="rId55" Type="http://schemas.openxmlformats.org/officeDocument/2006/relationships/hyperlink" Target="https://x.com/TechSalesGuy/status/2092971899659681881" TargetMode="External"/><Relationship Id="rId56" Type="http://schemas.openxmlformats.org/officeDocument/2006/relationships/hyperlink" Target="https://x.com/CartuneNetwerk/status/2063291410049065307" TargetMode="External"/><Relationship Id="rId57" Type="http://schemas.openxmlformats.org/officeDocument/2006/relationships/hyperlink" Target="https://x.com/theo_jil/status/2040494043713425822" TargetMode="External"/><Relationship Id="rId58" Type="http://schemas.openxmlformats.org/officeDocument/2006/relationships/hyperlink" Target="https://x.com/scaling_shields/status/2014306814054244421" TargetMode="External"/><Relationship Id="rId59" Type="http://schemas.openxmlformats.org/officeDocument/2006/relationships/hyperlink" Target="https://x.com/cailynyongyong/status/2043832596304670749" TargetMode="External"/><Relationship Id="rId60" Type="http://schemas.openxmlformats.org/officeDocument/2006/relationships/hyperlink" Target="https://x.com/om_patel5/status/2040295631793635465" TargetMode="External"/><Relationship Id="rId61" Type="http://schemas.openxmlformats.org/officeDocument/2006/relationships/hyperlink" Target="https://www.instagram.com/reel/Dcbe_AuOO3L/" TargetMode="External"/><Relationship Id="rId62" Type="http://schemas.openxmlformats.org/officeDocument/2006/relationships/hyperlink" Target="https://www.instagram.com/reel/Ddl5gR1xz9b/" TargetMode="External"/><Relationship Id="rId63" Type="http://schemas.openxmlformats.org/officeDocument/2006/relationships/hyperlink" Target="https://www.instagram.com/reel/DbOTspij6yZ/" TargetMode="External"/><Relationship Id="rId64" Type="http://schemas.openxmlformats.org/officeDocument/2006/relationships/hyperlink" Target="https://www.instagram.com/reel/DclVkO-ym1J/" TargetMode="External"/><Relationship Id="rId65" Type="http://schemas.openxmlformats.org/officeDocument/2006/relationships/hyperlink" Target="https://www.instagram.com/reel/DbpURTwRL_W/" TargetMode="External"/><Relationship Id="rId66" Type="http://schemas.openxmlformats.org/officeDocument/2006/relationships/hyperlink" Target="https://www.instagram.com/reel/DbYHkLmtIBv/" TargetMode="External"/><Relationship Id="rId67" Type="http://schemas.openxmlformats.org/officeDocument/2006/relationships/hyperlink" Target="https://x.com/jonnym1ller/status/2096786649149825058" TargetMode="External"/><Relationship Id="rId68" Type="http://schemas.openxmlformats.org/officeDocument/2006/relationships/hyperlink" Target="https://x.com/WorkflowWhisper/status/2012590119929172319" TargetMode="External"/><Relationship Id="rId69" Type="http://schemas.openxmlformats.org/officeDocument/2006/relationships/hyperlink" Target="https://www.instagram.com/reel/Db_hVF_P5lF/" TargetMode="External"/><Relationship Id="rId70" Type="http://schemas.openxmlformats.org/officeDocument/2006/relationships/hyperlink" Target="https://x.com/theroborourke/status/2097222027950125427" TargetMode="External"/><Relationship Id="rId71" Type="http://schemas.openxmlformats.org/officeDocument/2006/relationships/hyperlink" Target="https://x.com/MichLieben/status/2109690075546329232" TargetMode="External"/><Relationship Id="rId72" Type="http://schemas.openxmlformats.org/officeDocument/2006/relationships/hyperlink" Target="https://www.instagram.com/reel/DdcS_4aiYdH/" TargetMode="External"/><Relationship Id="rId73" Type="http://schemas.openxmlformats.org/officeDocument/2006/relationships/hyperlink" Target="https://x.com/ianwong_/status/2090454226011091033" TargetMode="External"/><Relationship Id="rId74" Type="http://schemas.openxmlformats.org/officeDocument/2006/relationships/hyperlink" Target="https://x.com/ecomchigga/status/1994132401853722732" TargetMode="External"/><Relationship Id="rId75" Type="http://schemas.openxmlformats.org/officeDocument/2006/relationships/hyperlink" Target="https://x.com/freddiexpott/status/2108739030569361744" TargetMode="External"/><Relationship Id="rId76" Type="http://schemas.openxmlformats.org/officeDocument/2006/relationships/hyperlink" Target="https://x.com/danielfazio/status/2092685995686666242" TargetMode="External"/><Relationship Id="rId77" Type="http://schemas.openxmlformats.org/officeDocument/2006/relationships/hyperlink" Target="https://x.com/ConnorAbene/status/2101380828399882659" TargetMode="External"/><Relationship Id="rId78" Type="http://schemas.openxmlformats.org/officeDocument/2006/relationships/hyperlink" Target="https://www.linkedin.com/feed/update/urn:li:activity:7434606028261892096" TargetMode="External"/><Relationship Id="rId79" Type="http://schemas.openxmlformats.org/officeDocument/2006/relationships/hyperlink" Target="https://x.com/WifiMoneyPlant/status/1982521712475316314" TargetMode="External"/><Relationship Id="rId80" Type="http://schemas.openxmlformats.org/officeDocument/2006/relationships/hyperlink" Target="https://x.com/JamesEbringer/status/1993780615901003863" TargetMode="External"/><Relationship Id="rId81" Type="http://schemas.openxmlformats.org/officeDocument/2006/relationships/hyperlink" Target="https://x.com/lochan_twt/status/2101990918002012357" TargetMode="External"/><Relationship Id="rId82" Type="http://schemas.openxmlformats.org/officeDocument/2006/relationships/hyperlink" Target="https://x.com/ecomchigga/status/1990191674086039953" TargetMode="External"/><Relationship Id="rId83" Type="http://schemas.openxmlformats.org/officeDocument/2006/relationships/hyperlink" Target="https://x.com/paolo_scales/status/2012583400318574774" TargetMode="External"/><Relationship Id="rId84" Type="http://schemas.openxmlformats.org/officeDocument/2006/relationships/hyperlink" Target="https://x.com/jasoncfox/status/2005610481969504723" TargetMode="External"/><Relationship Id="rId85" Type="http://schemas.openxmlformats.org/officeDocument/2006/relationships/hyperlink" Target="https://x.com/ItsMeBenChan/status/2095894359766118712" TargetMode="External"/><Relationship Id="rId86" Type="http://schemas.openxmlformats.org/officeDocument/2006/relationships/hyperlink" Target="https://www.linkedin.com/feed/update/urn:li:activity:7505943146720165888" TargetMode="External"/><Relationship Id="rId87" Type="http://schemas.openxmlformats.org/officeDocument/2006/relationships/hyperlink" Target="https://x.com/ConnorAbene/status/2100260277967081695" TargetMode="External"/><Relationship Id="rId88" Type="http://schemas.openxmlformats.org/officeDocument/2006/relationships/hyperlink" Target="https://www.instagram.com/reel/DbDrqpnDu9d/" TargetMode="External"/><Relationship Id="rId89" Type="http://schemas.openxmlformats.org/officeDocument/2006/relationships/hyperlink" Target="https://x.com/dimitarangg/status/2022410074593939657" TargetMode="External"/><Relationship Id="rId90" Type="http://schemas.openxmlformats.org/officeDocument/2006/relationships/hyperlink" Target="https://x.com/levikmunneke/status/2035123865463267798" TargetMode="External"/><Relationship Id="rId91" Type="http://schemas.openxmlformats.org/officeDocument/2006/relationships/hyperlink" Target="https://x.com/paolo_scales/status/2097335350930588073" TargetMode="External"/><Relationship Id="rId92" Type="http://schemas.openxmlformats.org/officeDocument/2006/relationships/hyperlink" Target="https://x.com/romanbuildsaas/status/2017670516719432131" TargetMode="External"/><Relationship Id="rId93" Type="http://schemas.openxmlformats.org/officeDocument/2006/relationships/hyperlink" Target="https://www.linkedin.com/feed/update/urn:li:activity:7511422825266688001" TargetMode="External"/><Relationship Id="rId94" Type="http://schemas.openxmlformats.org/officeDocument/2006/relationships/hyperlink" Target="https://x.com/dangreenheck/status/2102137910921240807" TargetMode="External"/><Relationship Id="rId95" Type="http://schemas.openxmlformats.org/officeDocument/2006/relationships/hyperlink" Target="https://www.instagram.com/reel/DW9CNBigZnZ/" TargetMode="External"/><Relationship Id="rId96" Type="http://schemas.openxmlformats.org/officeDocument/2006/relationships/hyperlink" Target="https://x.com/bryantchou/status/2067246888231866803" TargetMode="External"/><Relationship Id="rId97" Type="http://schemas.openxmlformats.org/officeDocument/2006/relationships/hyperlink" Target="https://x.com/mustufa4socials/status/2054258775222284442" TargetMode="External"/><Relationship Id="rId98" Type="http://schemas.openxmlformats.org/officeDocument/2006/relationships/hyperlink" Target="https://x.com/mustufa4socials/status/2016885450863169982" TargetMode="External"/><Relationship Id="rId99" Type="http://schemas.openxmlformats.org/officeDocument/2006/relationships/hyperlink" Target="https://x.com/sammarelich/status/2021341379839000663" TargetMode="External"/><Relationship Id="rId100" Type="http://schemas.openxmlformats.org/officeDocument/2006/relationships/hyperlink" Target="https://x.com/fin465/status/2056468083271926258" TargetMode="External"/><Relationship Id="rId101" Type="http://schemas.openxmlformats.org/officeDocument/2006/relationships/hyperlink" Target="https://www.instagram.com/reel/Db59Qt3ztrJ/" TargetMode="External"/><Relationship Id="rId102" Type="http://schemas.openxmlformats.org/officeDocument/2006/relationships/hyperlink" Target="https://www.instagram.com/reel/DctTCKgO6JQ/" TargetMode="External"/><Relationship Id="rId103" Type="http://schemas.openxmlformats.org/officeDocument/2006/relationships/hyperlink" Target="https://www.instagram.com/reel/Dbw5GydgGij/" TargetMode="External"/><Relationship Id="rId104" Type="http://schemas.openxmlformats.org/officeDocument/2006/relationships/hyperlink" Target="https://www.instagram.com/reel/DeDwgVQhW9c/" TargetMode="External"/><Relationship Id="rId105" Type="http://schemas.openxmlformats.org/officeDocument/2006/relationships/hyperlink" Target="https://www.instagram.com/reel/DbYjVyLuzzP/" TargetMode="External"/><Relationship Id="rId106" Type="http://schemas.openxmlformats.org/officeDocument/2006/relationships/hyperlink" Target="https://x.com/lukepierceops/status/2110899653717737517" TargetMode="External"/><Relationship Id="rId107" Type="http://schemas.openxmlformats.org/officeDocument/2006/relationships/hyperlink" Target="https://www.linkedin.com/feed/update/urn:li:activity:7424882262791598080" TargetMode="External"/><Relationship Id="rId108" Type="http://schemas.openxmlformats.org/officeDocument/2006/relationships/hyperlink" Target="https://x.com/scaling_shields/status/2011801978087633235" TargetMode="External"/><Relationship Id="rId109" Type="http://schemas.openxmlformats.org/officeDocument/2006/relationships/hyperlink" Target="https://www.instagram.com/reel/DciGZoSIpME/" TargetMode="External"/><Relationship Id="rId110" Type="http://schemas.openxmlformats.org/officeDocument/2006/relationships/hyperlink" Target="https://www.linkedin.com/feed/update/urn:li:activity:7432431813991538688" TargetMode="External"/><Relationship Id="rId111" Type="http://schemas.openxmlformats.org/officeDocument/2006/relationships/hyperlink" Target="https://www.linkedin.com/feed/update/urn:li:activity:7419725664758693888" TargetMode="External"/><Relationship Id="rId112" Type="http://schemas.openxmlformats.org/officeDocument/2006/relationships/hyperlink" Target="https://www.instagram.com/reel/Dbsxb8IhIXA/" TargetMode="External"/><Relationship Id="rId113" Type="http://schemas.openxmlformats.org/officeDocument/2006/relationships/hyperlink" Target="https://www.instagram.com/reel/DcJW1_5OCmB/" TargetMode="External"/><Relationship Id="rId114" Type="http://schemas.openxmlformats.org/officeDocument/2006/relationships/hyperlink" Target="https://x.com/AlfieJCarter/status/2057848330902745536" TargetMode="External"/><Relationship Id="rId115" Type="http://schemas.openxmlformats.org/officeDocument/2006/relationships/hyperlink" Target="https://x.com/NickB2005/status/2090770944356733366" TargetMode="External"/><Relationship Id="rId116" Type="http://schemas.openxmlformats.org/officeDocument/2006/relationships/hyperlink" Target="https://www.instagram.com/reel/DbwWMyFCT2n/" TargetMode="External"/><Relationship Id="rId117" Type="http://schemas.openxmlformats.org/officeDocument/2006/relationships/hyperlink" Target="https://x.com/WifiMoneyPlant/status/2016608038711407000" TargetMode="External"/><Relationship Id="rId118" Type="http://schemas.openxmlformats.org/officeDocument/2006/relationships/hyperlink" Target="https://www.instagram.com/reel/DbY84VUgCRz/" TargetMode="External"/><Relationship Id="rId119" Type="http://schemas.openxmlformats.org/officeDocument/2006/relationships/hyperlink" Target="https://www.instagram.com/reel/DchttGrpIa6/" TargetMode="External"/><Relationship Id="rId120" Type="http://schemas.openxmlformats.org/officeDocument/2006/relationships/hyperlink" Target="https://www.linkedin.com/feed/update/urn:li:activity:7499119006935617536" TargetMode="External"/><Relationship Id="rId121" Type="http://schemas.openxmlformats.org/officeDocument/2006/relationships/hyperlink" Target="https://www.linkedin.com/feed/update/urn:li:activity:7483506353366515712" TargetMode="External"/><Relationship Id="rId122" Type="http://schemas.openxmlformats.org/officeDocument/2006/relationships/hyperlink" Target="https://www.instagram.com/reel/DcUL4NTSnZA/" TargetMode="External"/><Relationship Id="rId123" Type="http://schemas.openxmlformats.org/officeDocument/2006/relationships/hyperlink" Target="https://x.com/sourfraser/status/2035454870204100810" TargetMode="External"/><Relationship Id="rId124" Type="http://schemas.openxmlformats.org/officeDocument/2006/relationships/hyperlink" Target="https://www.linkedin.com/feed/update/urn:li:activity:7507859803386511361" TargetMode="External"/><Relationship Id="rId125" Type="http://schemas.openxmlformats.org/officeDocument/2006/relationships/hyperlink" Target="https://x.com/ecomchigga/status/2011933685008781359" TargetMode="External"/><Relationship Id="rId126" Type="http://schemas.openxmlformats.org/officeDocument/2006/relationships/hyperlink" Target="https://www.linkedin.com/feed/update/urn:li:activity:7510089893650321408" TargetMode="External"/><Relationship Id="rId127" Type="http://schemas.openxmlformats.org/officeDocument/2006/relationships/hyperlink" Target="https://x.com/francesafetytra/status/2091815041586856396" TargetMode="External"/><Relationship Id="rId128" Type="http://schemas.openxmlformats.org/officeDocument/2006/relationships/hyperlink" Target="https://www.instagram.com/reel/DdYuYOjTZnS/" TargetMode="External"/><Relationship Id="rId129" Type="http://schemas.openxmlformats.org/officeDocument/2006/relationships/hyperlink" Target="https://x.com/CAronitpereira/status/2010993908382343528" TargetMode="External"/><Relationship Id="rId130" Type="http://schemas.openxmlformats.org/officeDocument/2006/relationships/hyperlink" Target="https://x.com/CAronitpereira/status/2054862822564364779" TargetMode="External"/><Relationship Id="rId131" Type="http://schemas.openxmlformats.org/officeDocument/2006/relationships/hyperlink" Target="https://x.com/mustufa4socials/status/2049518414377480218" TargetMode="External"/><Relationship Id="rId132" Type="http://schemas.openxmlformats.org/officeDocument/2006/relationships/hyperlink" Target="https://www.instagram.com/reel/DdAftEkumIU/" TargetMode="External"/><Relationship Id="rId133" Type="http://schemas.openxmlformats.org/officeDocument/2006/relationships/hyperlink" Target="https://x.com/dimitarangg/status/2022896228493627606" TargetMode="External"/><Relationship Id="rId134" Type="http://schemas.openxmlformats.org/officeDocument/2006/relationships/hyperlink" Target="https://x.com/hyojun_at/status/1986236078999900277" TargetMode="External"/><Relationship Id="rId135" Type="http://schemas.openxmlformats.org/officeDocument/2006/relationships/hyperlink" Target="https://www.instagram.com/reel/DctXXS8DjnA/" TargetMode="External"/><Relationship Id="rId136" Type="http://schemas.openxmlformats.org/officeDocument/2006/relationships/hyperlink" Target="https://www.instagram.com/reel/DbL3kepRXBz/" TargetMode="External"/><Relationship Id="rId137" Type="http://schemas.openxmlformats.org/officeDocument/2006/relationships/hyperlink" Target="https://www.instagram.com/reel/DcFoz5ch63i/" TargetMode="External"/><Relationship Id="rId138" Type="http://schemas.openxmlformats.org/officeDocument/2006/relationships/hyperlink" Target="https://www.instagram.com/reel/DdEKK0ThxVu/" TargetMode="External"/><Relationship Id="rId139" Type="http://schemas.openxmlformats.org/officeDocument/2006/relationships/hyperlink" Target="https://www.instagram.com/reel/DbYPh8AxEoP/" TargetMode="External"/><Relationship Id="rId140" Type="http://schemas.openxmlformats.org/officeDocument/2006/relationships/hyperlink" Target="https://www.instagram.com/reel/DcD3bofMQF1/" TargetMode="External"/><Relationship Id="rId141" Type="http://schemas.openxmlformats.org/officeDocument/2006/relationships/hyperlink" Target="https://www.instagram.com/reel/DbPCpZvzM0l/" TargetMode="External"/><Relationship Id="rId142" Type="http://schemas.openxmlformats.org/officeDocument/2006/relationships/hyperlink" Target="https://www.instagram.com/reel/Db0WCUkOUwe/" TargetMode="External"/><Relationship Id="rId143" Type="http://schemas.openxmlformats.org/officeDocument/2006/relationships/hyperlink" Target="https://www.instagram.com/reel/Dbaj1-HI7r5/" TargetMode="External"/><Relationship Id="rId144" Type="http://schemas.openxmlformats.org/officeDocument/2006/relationships/hyperlink" Target="https://www.instagram.com/reel/DbLnqZTDHNd/" TargetMode="External"/><Relationship Id="rId145" Type="http://schemas.openxmlformats.org/officeDocument/2006/relationships/hyperlink" Target="https://www.instagram.com/reel/DbAzTiqSg8j/" TargetMode="External"/><Relationship Id="rId146" Type="http://schemas.openxmlformats.org/officeDocument/2006/relationships/hyperlink" Target="https://www.instagram.com/reel/Db73Km_sekv/" TargetMode="External"/><Relationship Id="rId147" Type="http://schemas.openxmlformats.org/officeDocument/2006/relationships/hyperlink" Target="https://www.instagram.com/reel/DdeQ4Ndq_h_/" TargetMode="External"/><Relationship Id="rId148" Type="http://schemas.openxmlformats.org/officeDocument/2006/relationships/hyperlink" Target="https://x.com/georgeclem/status/2013251109268418603" TargetMode="External"/><Relationship Id="rId149" Type="http://schemas.openxmlformats.org/officeDocument/2006/relationships/hyperlink" Target="https://www.linkedin.com/feed/update/urn:li:activity:7455938006865297408" TargetMode="External"/><Relationship Id="rId150" Type="http://schemas.openxmlformats.org/officeDocument/2006/relationships/hyperlink" Target="https://www.linkedin.com/feed/update/urn:li:activity:7462731940933193728" TargetMode="External"/><Relationship Id="rId151" Type="http://schemas.openxmlformats.org/officeDocument/2006/relationships/hyperlink" Target="https://www.instagram.com/reel/DbJYp_OP6M1/" TargetMode="External"/><Relationship Id="rId152" Type="http://schemas.openxmlformats.org/officeDocument/2006/relationships/hyperlink" Target="https://www.linkedin.com/feed/update/urn:li:activity:7434874964790644738" TargetMode="External"/><Relationship Id="rId153" Type="http://schemas.openxmlformats.org/officeDocument/2006/relationships/hyperlink" Target="https://www.instagram.com/reel/DbHIs-aSgsS/" TargetMode="External"/><Relationship Id="rId154" Type="http://schemas.openxmlformats.org/officeDocument/2006/relationships/hyperlink" Target="https://x.com/NickB2005/status/2105326872758235176" TargetMode="External"/><Relationship Id="rId155" Type="http://schemas.openxmlformats.org/officeDocument/2006/relationships/hyperlink" Target="https://x.com/WorkflowWhisper/status/2020557627416023335" TargetMode="External"/><Relationship Id="rId156" Type="http://schemas.openxmlformats.org/officeDocument/2006/relationships/hyperlink" Target="https://www.instagram.com/reel/DbjoFw9xS8R/" TargetMode="External"/><Relationship Id="rId157" Type="http://schemas.openxmlformats.org/officeDocument/2006/relationships/hyperlink" Target="https://x.com/draprints/status/2095133643182322119" TargetMode="External"/><Relationship Id="rId158" Type="http://schemas.openxmlformats.org/officeDocument/2006/relationships/hyperlink" Target="https://www.instagram.com/reel/DbTSnDZBQGM/" TargetMode="External"/><Relationship Id="rId159" Type="http://schemas.openxmlformats.org/officeDocument/2006/relationships/hyperlink" Target="https://x.com/EliXPampa/status/2100548320964096222" TargetMode="External"/><Relationship Id="rId160" Type="http://schemas.openxmlformats.org/officeDocument/2006/relationships/hyperlink" Target="https://www.linkedin.com/feed/update/urn:li:activity:7508299114216968193" TargetMode="External"/><Relationship Id="rId161" Type="http://schemas.openxmlformats.org/officeDocument/2006/relationships/hyperlink" Target="https://www.instagram.com/reel/Db_AqZjoN_r/" TargetMode="External"/><Relationship Id="rId162" Type="http://schemas.openxmlformats.org/officeDocument/2006/relationships/hyperlink" Target="https://www.linkedin.com/feed/update/urn:li:activity:7507034368746508288" TargetMode="External"/><Relationship Id="rId163" Type="http://schemas.openxmlformats.org/officeDocument/2006/relationships/hyperlink" Target="https://www.linkedin.com/feed/update/urn:li:activity:7507787563672317953" TargetMode="External"/><Relationship Id="rId164" Type="http://schemas.openxmlformats.org/officeDocument/2006/relationships/hyperlink" Target="https://www.linkedin.com/feed/update/urn:li:activity:7430219623037407232" TargetMode="External"/><Relationship Id="rId165" Type="http://schemas.openxmlformats.org/officeDocument/2006/relationships/hyperlink" Target="https://x.com/paolo_scales/status/2032000149744984176" TargetMode="External"/><Relationship Id="rId166" Type="http://schemas.openxmlformats.org/officeDocument/2006/relationships/hyperlink" Target="https://www.instagram.com/reel/Dcgp5WGs_H9/" TargetMode="External"/><Relationship Id="rId167" Type="http://schemas.openxmlformats.org/officeDocument/2006/relationships/hyperlink" Target="https://www.linkedin.com/feed/update/urn:li:activity:7454831538892099584" TargetMode="External"/><Relationship Id="rId168" Type="http://schemas.openxmlformats.org/officeDocument/2006/relationships/hyperlink" Target="https://x.com/maverickecom/status/2035008437910675748" TargetMode="External"/><Relationship Id="rId169" Type="http://schemas.openxmlformats.org/officeDocument/2006/relationships/hyperlink" Target="https://x.com/0xmitsurii/status/2038156449088749889" TargetMode="External"/><Relationship Id="rId170" Type="http://schemas.openxmlformats.org/officeDocument/2006/relationships/hyperlink" Target="https://www.instagram.com/reel/DUps_9Ak1Ld/" TargetMode="External"/><Relationship Id="rId171" Type="http://schemas.openxmlformats.org/officeDocument/2006/relationships/hyperlink" Target="https://x.com/TechnicalBben/status/2003721429435445579" TargetMode="External"/><Relationship Id="rId172" Type="http://schemas.openxmlformats.org/officeDocument/2006/relationships/hyperlink" Target="https://www.instagram.com/p/DThOGx3gZ6T/" TargetMode="External"/><Relationship Id="rId173" Type="http://schemas.openxmlformats.org/officeDocument/2006/relationships/hyperlink" Target="https://www.instagram.com/reel/Dbep7NPO3Zg/" TargetMode="External"/><Relationship Id="rId174" Type="http://schemas.openxmlformats.org/officeDocument/2006/relationships/hyperlink" Target="https://www.instagram.com/reel/DcSBJPCogrr/" TargetMode="External"/><Relationship Id="rId175" Type="http://schemas.openxmlformats.org/officeDocument/2006/relationships/hyperlink" Target="https://www.instagram.com/reel/DbT8pmksSud/" TargetMode="External"/><Relationship Id="rId176" Type="http://schemas.openxmlformats.org/officeDocument/2006/relationships/hyperlink" Target="https://www.instagram.com/reel/DcaHgBHkv8z/" TargetMode="External"/><Relationship Id="rId177" Type="http://schemas.openxmlformats.org/officeDocument/2006/relationships/hyperlink" Target="https://x.com/coreyhainesco/status/2025592984927150367" TargetMode="External"/><Relationship Id="rId178" Type="http://schemas.openxmlformats.org/officeDocument/2006/relationships/hyperlink" Target="https://www.instagram.com/reel/DYN1ENyPIMJ/" TargetMode="External"/><Relationship Id="rId179" Type="http://schemas.openxmlformats.org/officeDocument/2006/relationships/hyperlink" Target="https://www.linkedin.com/feed/update/urn:li:activity:7432775956957663232" TargetMode="External"/><Relationship Id="rId180" Type="http://schemas.openxmlformats.org/officeDocument/2006/relationships/hyperlink" Target="https://www.instagram.com/reel/DVqcT1hiKHL/" TargetMode="External"/><Relationship Id="rId181" Type="http://schemas.openxmlformats.org/officeDocument/2006/relationships/hyperlink" Target="https://www.instagram.com/reel/DbTmJ_UAr7z/" TargetMode="External"/><Relationship Id="rId182" Type="http://schemas.openxmlformats.org/officeDocument/2006/relationships/hyperlink" Target="https://x.com/JosephKChoi/status/2054606103778898391" TargetMode="External"/><Relationship Id="rId183" Type="http://schemas.openxmlformats.org/officeDocument/2006/relationships/hyperlink" Target="https://www.instagram.com/reel/Dc1XYcNNBio/" TargetMode="External"/><Relationship Id="rId184" Type="http://schemas.openxmlformats.org/officeDocument/2006/relationships/hyperlink" Target="https://x.com/ZyMazza/status/2042651604092956786" TargetMode="External"/><Relationship Id="rId185" Type="http://schemas.openxmlformats.org/officeDocument/2006/relationships/hyperlink" Target="https://www.instagram.com/reel/DZClftTpxeV/" TargetMode="External"/><Relationship Id="rId186" Type="http://schemas.openxmlformats.org/officeDocument/2006/relationships/hyperlink" Target="https://x.com/frederickjames/status/2091503229146194334" TargetMode="External"/><Relationship Id="rId187" Type="http://schemas.openxmlformats.org/officeDocument/2006/relationships/hyperlink" Target="https://www.instagram.com/reel/DcQ-uJJMWqf/" TargetMode="External"/><Relationship Id="rId188" Type="http://schemas.openxmlformats.org/officeDocument/2006/relationships/hyperlink" Target="https://x.com/ujjwalscript/status/2010221244646666335" TargetMode="External"/><Relationship Id="rId189" Type="http://schemas.openxmlformats.org/officeDocument/2006/relationships/hyperlink" Target="https://x.com/DeepStarts/status/2055143109194068017" TargetMode="External"/><Relationship Id="rId190" Type="http://schemas.openxmlformats.org/officeDocument/2006/relationships/hyperlink" Target="https://www.linkedin.com/feed/update/urn:li:activity:7445862326324572160" TargetMode="External"/><Relationship Id="rId191" Type="http://schemas.openxmlformats.org/officeDocument/2006/relationships/hyperlink" Target="https://www.linkedin.com/feed/update/urn:li:activity:7389341155429117952" TargetMode="External"/><Relationship Id="rId192" Type="http://schemas.openxmlformats.org/officeDocument/2006/relationships/hyperlink" Target="https://www.linkedin.com/feed/update/urn:li:activity:7389273564430000128" TargetMode="External"/><Relationship Id="rId193" Type="http://schemas.openxmlformats.org/officeDocument/2006/relationships/hyperlink" Target="https://www.instagram.com/reel/Da8ZPqps4rM/" TargetMode="External"/><Relationship Id="rId194" Type="http://schemas.openxmlformats.org/officeDocument/2006/relationships/hyperlink" Target="https://x.com/evanseech/status/2031345968122134799" TargetMode="External"/><Relationship Id="rId195" Type="http://schemas.openxmlformats.org/officeDocument/2006/relationships/hyperlink" Target="https://www.linkedin.com/feed/update/urn:li:activity:7416127189055922176" TargetMode="External"/><Relationship Id="rId196" Type="http://schemas.openxmlformats.org/officeDocument/2006/relationships/hyperlink" Target="https://www.instagram.com/reel/DcKTVQWu47A/" TargetMode="External"/><Relationship Id="rId197" Type="http://schemas.openxmlformats.org/officeDocument/2006/relationships/hyperlink" Target="https://x.com/linkedin_legend/status/2097108920611307803" TargetMode="External"/><Relationship Id="rId198" Type="http://schemas.openxmlformats.org/officeDocument/2006/relationships/hyperlink" Target="https://www.instagram.com/reel/DSDONxmCDsS/" TargetMode="External"/><Relationship Id="rId199" Type="http://schemas.openxmlformats.org/officeDocument/2006/relationships/hyperlink" Target="https://www.instagram.com/reel/DQzhXXHjyja/" TargetMode="External"/><Relationship Id="rId200" Type="http://schemas.openxmlformats.org/officeDocument/2006/relationships/hyperlink" Target="https://x.com/denohawari/status/2073135200968859772" TargetMode="External"/><Relationship Id="rId201" Type="http://schemas.openxmlformats.org/officeDocument/2006/relationships/hyperlink" Target="https://www.linkedin.com/feed/update/urn:li:activity:7500925185454170113" TargetMode="External"/><Relationship Id="rId202" Type="http://schemas.openxmlformats.org/officeDocument/2006/relationships/hyperlink" Target="https://www.linkedin.com/feed/update/urn:li:activity:7402364824510230529" TargetMode="External"/><Relationship Id="rId203" Type="http://schemas.openxmlformats.org/officeDocument/2006/relationships/hyperlink" Target="https://www.instagram.com/reel/DZF1FpUvcRk/" TargetMode="External"/><Relationship Id="rId204" Type="http://schemas.openxmlformats.org/officeDocument/2006/relationships/hyperlink" Target="https://x.com/paolo_scales/status/2057828308625002733" TargetMode="External"/><Relationship Id="rId205" Type="http://schemas.openxmlformats.org/officeDocument/2006/relationships/hyperlink" Target="https://x.com/VibeMarketer_/status/2010413892380373256" TargetMode="External"/><Relationship Id="rId206" Type="http://schemas.openxmlformats.org/officeDocument/2006/relationships/hyperlink" Target="https://www.instagram.com/reel/DXzcVckxl22/" TargetMode="External"/><Relationship Id="rId207" Type="http://schemas.openxmlformats.org/officeDocument/2006/relationships/hyperlink" Target="https://www.linkedin.com/feed/update/urn:li:activity:7416894034755084289" TargetMode="External"/><Relationship Id="rId208" Type="http://schemas.openxmlformats.org/officeDocument/2006/relationships/hyperlink" Target="https://x.com/ihtesham2005/status/2035035410758619428" TargetMode="External"/><Relationship Id="rId209" Type="http://schemas.openxmlformats.org/officeDocument/2006/relationships/hyperlink" Target="https://x.com/itsalexvacca/status/2044502868556992937" TargetMode="External"/><Relationship Id="rId210" Type="http://schemas.openxmlformats.org/officeDocument/2006/relationships/hyperlink" Target="https://www.linkedin.com/feed/update/urn:li:activity:7422338418170572801" TargetMode="External"/><Relationship Id="rId211" Type="http://schemas.openxmlformats.org/officeDocument/2006/relationships/hyperlink" Target="https://www.linkedin.com/feed/update/urn:li:activity:7388844603602280448" TargetMode="External"/><Relationship Id="rId212" Type="http://schemas.openxmlformats.org/officeDocument/2006/relationships/hyperlink" Target="https://x.com/JesseTinsley/status/2103926975794679825" TargetMode="External"/><Relationship Id="rId213" Type="http://schemas.openxmlformats.org/officeDocument/2006/relationships/hyperlink" Target="https://www.instagram.com/reel/DcfEmr4OVFZ/" TargetMode="External"/><Relationship Id="rId214" Type="http://schemas.openxmlformats.org/officeDocument/2006/relationships/hyperlink" Target="https://www.instagram.com/reel/DctmTH7MbZ9/" TargetMode="External"/><Relationship Id="rId215" Type="http://schemas.openxmlformats.org/officeDocument/2006/relationships/hyperlink" Target="https://www.instagram.com/reel/Dc1PFXUKyCi/" TargetMode="External"/><Relationship Id="rId216" Type="http://schemas.openxmlformats.org/officeDocument/2006/relationships/hyperlink" Target="https://www.instagram.com/reel/DbP2AbTh_tk/" TargetMode="External"/><Relationship Id="rId217" Type="http://schemas.openxmlformats.org/officeDocument/2006/relationships/hyperlink" Target="https://www.instagram.com/reel/Dba0dm-CK7Y/" TargetMode="External"/><Relationship Id="rId218" Type="http://schemas.openxmlformats.org/officeDocument/2006/relationships/hyperlink" Target="https://www.instagram.com/reel/DcjOceDKj52/" TargetMode="External"/><Relationship Id="rId219" Type="http://schemas.openxmlformats.org/officeDocument/2006/relationships/hyperlink" Target="https://x.com/dimitarangg/status/2048044038209654934" TargetMode="External"/><Relationship Id="rId220" Type="http://schemas.openxmlformats.org/officeDocument/2006/relationships/hyperlink" Target="https://www.linkedin.com/feed/update/urn:li:activity:7446973018553233408" TargetMode="External"/><Relationship Id="rId221" Type="http://schemas.openxmlformats.org/officeDocument/2006/relationships/hyperlink" Target="https://www.instagram.com/reel/DYj-FLTxrLH/" TargetMode="External"/><Relationship Id="rId222" Type="http://schemas.openxmlformats.org/officeDocument/2006/relationships/hyperlink" Target="https://www.instagram.com/reel/DbqZgYdC3Th/" TargetMode="External"/><Relationship Id="rId223" Type="http://schemas.openxmlformats.org/officeDocument/2006/relationships/hyperlink" Target="https://www.linkedin.com/feed/update/urn:li:activity:7500522995900256257" TargetMode="External"/><Relationship Id="rId224" Type="http://schemas.openxmlformats.org/officeDocument/2006/relationships/hyperlink" Target="https://x.com/mikefutia/status/2047019993439850631" TargetMode="External"/><Relationship Id="rId225" Type="http://schemas.openxmlformats.org/officeDocument/2006/relationships/hyperlink" Target="https://www.linkedin.com/feed/update/urn:li:activity:7434655206426042368" TargetMode="External"/><Relationship Id="rId226" Type="http://schemas.openxmlformats.org/officeDocument/2006/relationships/hyperlink" Target="https://www.linkedin.com/feed/update/urn:li:activity:7419636145778688000" TargetMode="External"/><Relationship Id="rId227" Type="http://schemas.openxmlformats.org/officeDocument/2006/relationships/hyperlink" Target="https://www.linkedin.com/feed/update/urn:li:activity:7419332970752344064" TargetMode="External"/><Relationship Id="rId228" Type="http://schemas.openxmlformats.org/officeDocument/2006/relationships/hyperlink" Target="https://www.instagram.com/reel/DU_mBxxDPDR/" TargetMode="External"/><Relationship Id="rId229" Type="http://schemas.openxmlformats.org/officeDocument/2006/relationships/hyperlink" Target="https://www.instagram.com/reel/DQjmVyqDKPa/" TargetMode="External"/><Relationship Id="rId230" Type="http://schemas.openxmlformats.org/officeDocument/2006/relationships/hyperlink" Target="https://www.linkedin.com/feed/update/urn:li:activity:7454205178427232257" TargetMode="External"/><Relationship Id="rId231" Type="http://schemas.openxmlformats.org/officeDocument/2006/relationships/hyperlink" Target="https://www.instagram.com/reel/DbpmEFEzK1d/" TargetMode="External"/><Relationship Id="rId232" Type="http://schemas.openxmlformats.org/officeDocument/2006/relationships/hyperlink" Target="https://www.linkedin.com/feed/update/urn:li:activity:7422213698724724736" TargetMode="External"/><Relationship Id="rId233" Type="http://schemas.openxmlformats.org/officeDocument/2006/relationships/hyperlink" Target="https://www.linkedin.com/feed/update/urn:li:activity:7436383989508190209" TargetMode="External"/><Relationship Id="rId234" Type="http://schemas.openxmlformats.org/officeDocument/2006/relationships/hyperlink" Target="https://www.linkedin.com/feed/update/urn:li:activity:7436484542821187584" TargetMode="External"/><Relationship Id="rId235" Type="http://schemas.openxmlformats.org/officeDocument/2006/relationships/hyperlink" Target="https://www.instagram.com/reel/DeZn1JCB8_i/" TargetMode="External"/><Relationship Id="rId236" Type="http://schemas.openxmlformats.org/officeDocument/2006/relationships/hyperlink" Target="https://www.linkedin.com/feed/update/urn:li:activity:7513146223147687936" TargetMode="External"/><Relationship Id="rId237" Type="http://schemas.openxmlformats.org/officeDocument/2006/relationships/hyperlink" Target="https://x.com/leonabboud/status/2094147135109275896" TargetMode="External"/><Relationship Id="rId238" Type="http://schemas.openxmlformats.org/officeDocument/2006/relationships/hyperlink" Target="https://www.instagram.com/reel/Da8ffLGDnlv/" TargetMode="External"/><Relationship Id="rId239" Type="http://schemas.openxmlformats.org/officeDocument/2006/relationships/hyperlink" Target="https://www.instagram.com/reel/DctEm8ugamJ/" TargetMode="External"/><Relationship Id="rId240" Type="http://schemas.openxmlformats.org/officeDocument/2006/relationships/hyperlink" Target="https://www.instagram.com/reel/DZFimmrsrsc/" TargetMode="External"/><Relationship Id="rId241" Type="http://schemas.openxmlformats.org/officeDocument/2006/relationships/hyperlink" Target="https://www.linkedin.com/feed/update/urn:li:activity:7404843326744453121" TargetMode="External"/><Relationship Id="rId242" Type="http://schemas.openxmlformats.org/officeDocument/2006/relationships/hyperlink" Target="https://www.linkedin.com/feed/update/urn:li:activity:7394664828847525889" TargetMode="External"/><Relationship Id="rId243" Type="http://schemas.openxmlformats.org/officeDocument/2006/relationships/hyperlink" Target="https://www.instagram.com/reel/DcC-2k8zJqP/" TargetMode="External"/><Relationship Id="rId244" Type="http://schemas.openxmlformats.org/officeDocument/2006/relationships/hyperlink" Target="https://www.linkedin.com/feed/update/urn:li:activity:7497619778023428096" TargetMode="External"/><Relationship Id="rId245" Type="http://schemas.openxmlformats.org/officeDocument/2006/relationships/hyperlink" Target="https://www.linkedin.com/feed/update/urn:li:activity:7499200540862599183" TargetMode="External"/><Relationship Id="rId246" Type="http://schemas.openxmlformats.org/officeDocument/2006/relationships/hyperlink" Target="https://www.linkedin.com/feed/update/urn:li:activity:7453041354718220288" TargetMode="External"/><Relationship Id="rId247" Type="http://schemas.openxmlformats.org/officeDocument/2006/relationships/hyperlink" Target="https://www.instagram.com/reel/DdmDn6_A8wu/" TargetMode="External"/><Relationship Id="rId248" Type="http://schemas.openxmlformats.org/officeDocument/2006/relationships/hyperlink" Target="https://www.instagram.com/reel/Ddlxo8YBwPN/" TargetMode="External"/><Relationship Id="rId249" Type="http://schemas.openxmlformats.org/officeDocument/2006/relationships/hyperlink" Target="https://x.com/andreysuperior/status/2059992370414796888" TargetMode="External"/><Relationship Id="rId250" Type="http://schemas.openxmlformats.org/officeDocument/2006/relationships/hyperlink" Target="https://www.instagram.com/reel/DbNU9a9BHK8/" TargetMode="External"/><Relationship Id="rId251" Type="http://schemas.openxmlformats.org/officeDocument/2006/relationships/hyperlink" Target="https://www.linkedin.com/feed/update/urn:li:activity:7406713660355751936" TargetMode="External"/><Relationship Id="rId252" Type="http://schemas.openxmlformats.org/officeDocument/2006/relationships/hyperlink" Target="https://www.instagram.com/reel/DcR2EJ_Rmbp/" TargetMode="External"/><Relationship Id="rId253" Type="http://schemas.openxmlformats.org/officeDocument/2006/relationships/hyperlink" Target="https://www.instagram.com/reel/Dbrbk8Kxw4w/" TargetMode="External"/><Relationship Id="rId254" Type="http://schemas.openxmlformats.org/officeDocument/2006/relationships/hyperlink" Target="https://www.instagram.com/reel/DdmrqTOiOtL/" TargetMode="External"/><Relationship Id="rId255" Type="http://schemas.openxmlformats.org/officeDocument/2006/relationships/hyperlink" Target="https://www.linkedin.com/feed/update/urn:li:activity:7507790049237897216" TargetMode="External"/><Relationship Id="rId256" Type="http://schemas.openxmlformats.org/officeDocument/2006/relationships/hyperlink" Target="https://www.linkedin.com/feed/update/urn:li:activity:7509580159440596992" TargetMode="External"/><Relationship Id="rId257" Type="http://schemas.openxmlformats.org/officeDocument/2006/relationships/hyperlink" Target="https://www.instagram.com/reel/Dbrc-YJxo-b/" TargetMode="External"/><Relationship Id="rId258" Type="http://schemas.openxmlformats.org/officeDocument/2006/relationships/hyperlink" Target="https://www.linkedin.com/feed/update/urn:li:activity:7458476240354660352" TargetMode="External"/><Relationship Id="rId259" Type="http://schemas.openxmlformats.org/officeDocument/2006/relationships/hyperlink" Target="https://x.com/emilios_eth/status/2015877389411037492" TargetMode="External"/><Relationship Id="rId260" Type="http://schemas.openxmlformats.org/officeDocument/2006/relationships/hyperlink" Target="https://www.instagram.com/reel/Dc_7i_1D0_c/" TargetMode="External"/><Relationship Id="rId261" Type="http://schemas.openxmlformats.org/officeDocument/2006/relationships/hyperlink" Target="https://www.linkedin.com/feed/update/urn:li:activity:7406591175941435392" TargetMode="External"/><Relationship Id="rId262" Type="http://schemas.openxmlformats.org/officeDocument/2006/relationships/hyperlink" Target="https://www.linkedin.com/feed/update/urn:li:activity:7437108781827821568" TargetMode="External"/><Relationship Id="rId263" Type="http://schemas.openxmlformats.org/officeDocument/2006/relationships/hyperlink" Target="https://x.com/Zephyr_hg/status/2046201083916161190" TargetMode="External"/><Relationship Id="rId264" Type="http://schemas.openxmlformats.org/officeDocument/2006/relationships/hyperlink" Target="https://www.linkedin.com/feed/update/urn:li:activity:7403793290204180480" TargetMode="External"/><Relationship Id="rId265" Type="http://schemas.openxmlformats.org/officeDocument/2006/relationships/hyperlink" Target="https://www.instagram.com/reel/Db26XzEMB3d/" TargetMode="External"/><Relationship Id="rId266" Type="http://schemas.openxmlformats.org/officeDocument/2006/relationships/hyperlink" Target="https://www.instagram.com/reel/DclCob7Bb6g/" TargetMode="External"/><Relationship Id="rId267" Type="http://schemas.openxmlformats.org/officeDocument/2006/relationships/hyperlink" Target="https://x.com/NoahEpstein_/status/2001668932495868139" TargetMode="External"/><Relationship Id="rId268" Type="http://schemas.openxmlformats.org/officeDocument/2006/relationships/hyperlink" Target="https://www.instagram.com/reel/DR9c83XjQ-q/" TargetMode="External"/><Relationship Id="rId269" Type="http://schemas.openxmlformats.org/officeDocument/2006/relationships/hyperlink" Target="https://www.instagram.com/reel/Dbe5HgRM2L4/" TargetMode="External"/><Relationship Id="rId270" Type="http://schemas.openxmlformats.org/officeDocument/2006/relationships/hyperlink" Target="https://www.linkedin.com/feed/update/urn:li:activity:7425667505383280640" TargetMode="External"/><Relationship Id="rId271" Type="http://schemas.openxmlformats.org/officeDocument/2006/relationships/hyperlink" Target="https://www.linkedin.com/feed/update/urn:li:activity:7510284697445466112" TargetMode="External"/><Relationship Id="rId272" Type="http://schemas.openxmlformats.org/officeDocument/2006/relationships/hyperlink" Target="https://x.com/LostMyHats/status/2029976966275944883" TargetMode="External"/><Relationship Id="rId273" Type="http://schemas.openxmlformats.org/officeDocument/2006/relationships/hyperlink" Target="https://x.com/imsehej/status/2029235992339828761" TargetMode="External"/><Relationship Id="rId274" Type="http://schemas.openxmlformats.org/officeDocument/2006/relationships/hyperlink" Target="https://www.instagram.com/reel/DcQ_MXYB4Z1/" TargetMode="External"/><Relationship Id="rId275" Type="http://schemas.openxmlformats.org/officeDocument/2006/relationships/hyperlink" Target="https://www.linkedin.com/feed/update/urn:li:activity:7462864777107800064" TargetMode="External"/><Relationship Id="rId276" Type="http://schemas.openxmlformats.org/officeDocument/2006/relationships/hyperlink" Target="https://www.linkedin.com/feed/update/urn:li:activity:7504070681752576000" TargetMode="External"/><Relationship Id="rId277" Type="http://schemas.openxmlformats.org/officeDocument/2006/relationships/hyperlink" Target="https://www.linkedin.com/feed/update/urn:li:activity:7474789546497544192" TargetMode="External"/><Relationship Id="rId278" Type="http://schemas.openxmlformats.org/officeDocument/2006/relationships/hyperlink" Target="https://www.linkedin.com/feed/update/urn:li:activity:7414298455659167744" TargetMode="External"/><Relationship Id="rId279" Type="http://schemas.openxmlformats.org/officeDocument/2006/relationships/hyperlink" Target="https://www.linkedin.com/feed/update/urn:li:activity:7495181952933715969" TargetMode="External"/><Relationship Id="rId280" Type="http://schemas.openxmlformats.org/officeDocument/2006/relationships/hyperlink" Target="https://www.instagram.com/reel/DdMX_byhlDb/" TargetMode="External"/><Relationship Id="rId281" Type="http://schemas.openxmlformats.org/officeDocument/2006/relationships/hyperlink" Target="https://www.linkedin.com/feed/update/urn:li:activity:7448015639690129408" TargetMode="External"/><Relationship Id="rId282" Type="http://schemas.openxmlformats.org/officeDocument/2006/relationships/hyperlink" Target="https://x.com/imsehej/status/2003285922935374258" TargetMode="External"/><Relationship Id="rId283" Type="http://schemas.openxmlformats.org/officeDocument/2006/relationships/hyperlink" Target="https://x.com/dan__rosenthal/status/2076013236646736214" TargetMode="External"/><Relationship Id="rId284" Type="http://schemas.openxmlformats.org/officeDocument/2006/relationships/hyperlink" Target="https://www.linkedin.com/feed/update/urn:li:activity:7448349913706508288" TargetMode="External"/><Relationship Id="rId285" Type="http://schemas.openxmlformats.org/officeDocument/2006/relationships/hyperlink" Target="https://www.instagram.com/reel/DbnvEmaR1L5/" TargetMode="External"/><Relationship Id="rId286" Type="http://schemas.openxmlformats.org/officeDocument/2006/relationships/hyperlink" Target="https://x.com/sheilatebra/status/2048980174742368547" TargetMode="External"/><Relationship Id="rId287" Type="http://schemas.openxmlformats.org/officeDocument/2006/relationships/hyperlink" Target="https://www.linkedin.com/feed/update/urn:li:activity:7396769690724995072" TargetMode="External"/><Relationship Id="rId288" Type="http://schemas.openxmlformats.org/officeDocument/2006/relationships/hyperlink" Target="https://www.linkedin.com/feed/update/urn:li:activity:7416823658507296768" TargetMode="External"/><Relationship Id="rId289" Type="http://schemas.openxmlformats.org/officeDocument/2006/relationships/hyperlink" Target="https://x.com/qwenwork/status/2054934477483471041" TargetMode="External"/><Relationship Id="rId290" Type="http://schemas.openxmlformats.org/officeDocument/2006/relationships/hyperlink" Target="https://x.com/BrendanFoody/status/2109838645339607285" TargetMode="External"/><Relationship Id="rId291" Type="http://schemas.openxmlformats.org/officeDocument/2006/relationships/hyperlink" Target="https://www.linkedin.com/feed/update/urn:li:activity:7388938270853935104" TargetMode="External"/><Relationship Id="rId292" Type="http://schemas.openxmlformats.org/officeDocument/2006/relationships/hyperlink" Target="https://www.instagram.com/reel/Da75WdaRCFL/" TargetMode="External"/><Relationship Id="rId293" Type="http://schemas.openxmlformats.org/officeDocument/2006/relationships/hyperlink" Target="https://x.com/blvckledge/status/2021035814713762132" TargetMode="External"/><Relationship Id="rId294" Type="http://schemas.openxmlformats.org/officeDocument/2006/relationships/hyperlink" Target="https://www.linkedin.com/feed/update/urn:li:activity:7499099421587021825" TargetMode="External"/><Relationship Id="rId295" Type="http://schemas.openxmlformats.org/officeDocument/2006/relationships/hyperlink" Target="https://www.linkedin.com/feed/update/urn:li:activity:7505869737239691264" TargetMode="External"/><Relationship Id="rId296" Type="http://schemas.openxmlformats.org/officeDocument/2006/relationships/hyperlink" Target="https://www.linkedin.com/feed/update/urn:li:activity:7424089544221966337" TargetMode="External"/><Relationship Id="rId297" Type="http://schemas.openxmlformats.org/officeDocument/2006/relationships/hyperlink" Target="https://www.instagram.com/reel/DWYKDicNvHM/" TargetMode="External"/><Relationship Id="rId298" Type="http://schemas.openxmlformats.org/officeDocument/2006/relationships/hyperlink" Target="https://www.linkedin.com/feed/update/urn:li:activity:7511137849216278528" TargetMode="External"/><Relationship Id="rId299" Type="http://schemas.openxmlformats.org/officeDocument/2006/relationships/hyperlink" Target="https://www.instagram.com/reel/DbnGvDJJMIb/" TargetMode="External"/><Relationship Id="rId300" Type="http://schemas.openxmlformats.org/officeDocument/2006/relationships/hyperlink" Target="https://x.com/anuhariharan/status/1988453584099221689" TargetMode="External"/><Relationship Id="rId301" Type="http://schemas.openxmlformats.org/officeDocument/2006/relationships/hyperlink" Target="https://x.com/andreysuperior/status/2058539604391735714" TargetMode="External"/><Relationship Id="rId302" Type="http://schemas.openxmlformats.org/officeDocument/2006/relationships/hyperlink" Target="https://www.instagram.com/reel/DbfyZjwvktr/" TargetMode="External"/><Relationship Id="rId303" Type="http://schemas.openxmlformats.org/officeDocument/2006/relationships/hyperlink" Target="https://x.com/paolo_scales/status/2091961906210967746" TargetMode="External"/><Relationship Id="rId304" Type="http://schemas.openxmlformats.org/officeDocument/2006/relationships/hyperlink" Target="https://www.linkedin.com/feed/update/urn:li:activity:7388231071840038912" TargetMode="External"/><Relationship Id="rId305" Type="http://schemas.openxmlformats.org/officeDocument/2006/relationships/hyperlink" Target="https://x.com/0xHvdes/status/2094075106096009695" TargetMode="External"/><Relationship Id="rId306" Type="http://schemas.openxmlformats.org/officeDocument/2006/relationships/hyperlink" Target="https://x.com/WifiMoneyPlant/status/2051143077645988068" TargetMode="External"/><Relationship Id="rId307" Type="http://schemas.openxmlformats.org/officeDocument/2006/relationships/hyperlink" Target="https://www.linkedin.com/feed/update/urn:li:activity:7437170220391264257" TargetMode="External"/><Relationship Id="rId308" Type="http://schemas.openxmlformats.org/officeDocument/2006/relationships/hyperlink" Target="https://x.com/CynthiaOzumba/status/2094869216767750399" TargetMode="External"/><Relationship Id="rId309" Type="http://schemas.openxmlformats.org/officeDocument/2006/relationships/hyperlink" Target="https://x.com/levikmunneke/status/2046355512741310930" TargetMode="External"/><Relationship Id="rId310" Type="http://schemas.openxmlformats.org/officeDocument/2006/relationships/hyperlink" Target="https://www.linkedin.com/feed/update/urn:li:activity:7396226068027969537" TargetMode="External"/><Relationship Id="rId311" Type="http://schemas.openxmlformats.org/officeDocument/2006/relationships/hyperlink" Target="https://www.instagram.com/reel/Dc9onC7h9pS/" TargetMode="External"/><Relationship Id="rId312" Type="http://schemas.openxmlformats.org/officeDocument/2006/relationships/hyperlink" Target="https://www.instagram.com/p/DZFmEMhEd97/" TargetMode="External"/><Relationship Id="rId313" Type="http://schemas.openxmlformats.org/officeDocument/2006/relationships/hyperlink" Target="https://www.instagram.com/reel/DdJAnS2iDma/" TargetMode="External"/><Relationship Id="rId314" Type="http://schemas.openxmlformats.org/officeDocument/2006/relationships/hyperlink" Target="https://www.linkedin.com/feed/update/urn:li:activity:7386811934878302208" TargetMode="External"/><Relationship Id="rId315" Type="http://schemas.openxmlformats.org/officeDocument/2006/relationships/hyperlink" Target="https://www.instagram.com/reel/Ddin5MfRj-4/" TargetMode="External"/><Relationship Id="rId316" Type="http://schemas.openxmlformats.org/officeDocument/2006/relationships/hyperlink" Target="https://www.instagram.com/reel/DYe6edOCC-l/" TargetMode="External"/><Relationship Id="rId317" Type="http://schemas.openxmlformats.org/officeDocument/2006/relationships/hyperlink" Target="https://x.com/IwuezeAmarachi/status/2018653428776419719" TargetMode="External"/><Relationship Id="rId318" Type="http://schemas.openxmlformats.org/officeDocument/2006/relationships/hyperlink" Target="https://www.instagram.com/reel/DbYt14LMoeA/" TargetMode="External"/><Relationship Id="rId319" Type="http://schemas.openxmlformats.org/officeDocument/2006/relationships/hyperlink" Target="https://www.linkedin.com/feed/update/urn:li:activity:7510670104469278721" TargetMode="External"/><Relationship Id="rId320" Type="http://schemas.openxmlformats.org/officeDocument/2006/relationships/hyperlink" Target="https://x.com/TheVictorOkafor/status/2079952564271899091" TargetMode="External"/><Relationship Id="rId321" Type="http://schemas.openxmlformats.org/officeDocument/2006/relationships/hyperlink" Target="https://www.linkedin.com/feed/update/urn:li:activity:7391096862537314305" TargetMode="External"/><Relationship Id="rId322" Type="http://schemas.openxmlformats.org/officeDocument/2006/relationships/hyperlink" Target="https://x.com/MediaKing/status/2097384485520024026" TargetMode="External"/><Relationship Id="rId323" Type="http://schemas.openxmlformats.org/officeDocument/2006/relationships/hyperlink" Target="https://www.instagram.com/reel/Dc8rALrxP22/" TargetMode="External"/><Relationship Id="rId324" Type="http://schemas.openxmlformats.org/officeDocument/2006/relationships/hyperlink" Target="https://www.linkedin.com/feed/update/urn:li:activity:7475212160911101952" TargetMode="External"/><Relationship Id="rId325" Type="http://schemas.openxmlformats.org/officeDocument/2006/relationships/hyperlink" Target="https://www.linkedin.com/feed/update/urn:li:activity:7450797252274585600" TargetMode="External"/><Relationship Id="rId326" Type="http://schemas.openxmlformats.org/officeDocument/2006/relationships/hyperlink" Target="https://www.linkedin.com/feed/update/urn:li:activity:7449772931653701634" TargetMode="External"/><Relationship Id="rId327" Type="http://schemas.openxmlformats.org/officeDocument/2006/relationships/hyperlink" Target="https://www.linkedin.com/feed/update/urn:li:activity:7455289380643954689" TargetMode="External"/><Relationship Id="rId328" Type="http://schemas.openxmlformats.org/officeDocument/2006/relationships/hyperlink" Target="https://www.linkedin.com/feed/update/urn:li:activity:7467904169933324291" TargetMode="External"/><Relationship Id="rId329" Type="http://schemas.openxmlformats.org/officeDocument/2006/relationships/hyperlink" Target="https://www.linkedin.com/feed/update/urn:li:activity:7446893248779927552" TargetMode="External"/><Relationship Id="rId330" Type="http://schemas.openxmlformats.org/officeDocument/2006/relationships/hyperlink" Target="https://www.linkedin.com/feed/update/urn:li:activity:7472340499320827904" TargetMode="External"/><Relationship Id="rId331" Type="http://schemas.openxmlformats.org/officeDocument/2006/relationships/hyperlink" Target="https://www.instagram.com/reel/DcG4JWWN7nd/" TargetMode="External"/><Relationship Id="rId332" Type="http://schemas.openxmlformats.org/officeDocument/2006/relationships/hyperlink" Target="https://www.instagram.com/reel/DcJTeGCvjdA/" TargetMode="External"/><Relationship Id="rId333" Type="http://schemas.openxmlformats.org/officeDocument/2006/relationships/hyperlink" Target="https://www.linkedin.com/feed/update/urn:li:activity:7485808173090750464" TargetMode="External"/><Relationship Id="rId334" Type="http://schemas.openxmlformats.org/officeDocument/2006/relationships/hyperlink" Target="https://www.linkedin.com/feed/update/urn:li:activity:7452393142810611712" TargetMode="External"/><Relationship Id="rId335" Type="http://schemas.openxmlformats.org/officeDocument/2006/relationships/hyperlink" Target="https://x.com/leonabboud/status/2008556160962752656" TargetMode="External"/><Relationship Id="rId336" Type="http://schemas.openxmlformats.org/officeDocument/2006/relationships/hyperlink" Target="https://www.linkedin.com/feed/update/urn:li:activity:7406898483078586368" TargetMode="External"/><Relationship Id="rId337" Type="http://schemas.openxmlformats.org/officeDocument/2006/relationships/hyperlink" Target="https://www.linkedin.com/feed/update/urn:li:activity:7395815562926374912" TargetMode="External"/><Relationship Id="rId338" Type="http://schemas.openxmlformats.org/officeDocument/2006/relationships/hyperlink" Target="https://www.linkedin.com/feed/update/urn:li:activity:7458835851985268736" TargetMode="External"/><Relationship Id="rId339" Type="http://schemas.openxmlformats.org/officeDocument/2006/relationships/hyperlink" Target="https://www.linkedin.com/feed/update/urn:li:activity:7438256242487332864" TargetMode="External"/><Relationship Id="rId340" Type="http://schemas.openxmlformats.org/officeDocument/2006/relationships/hyperlink" Target="https://x.com/coreyganim/status/2022689786339774481" TargetMode="External"/><Relationship Id="rId341" Type="http://schemas.openxmlformats.org/officeDocument/2006/relationships/hyperlink" Target="https://x.com/itsalexvacca/status/2048486401105358933" TargetMode="External"/><Relationship Id="rId342" Type="http://schemas.openxmlformats.org/officeDocument/2006/relationships/hyperlink" Target="https://www.linkedin.com/feed/update/urn:li:activity:7486039850291208192" TargetMode="External"/><Relationship Id="rId343" Type="http://schemas.openxmlformats.org/officeDocument/2006/relationships/hyperlink" Target="https://www.instagram.com/reel/Dbn4LzlRYgo/" TargetMode="External"/><Relationship Id="rId344" Type="http://schemas.openxmlformats.org/officeDocument/2006/relationships/hyperlink" Target="https://www.instagram.com/reel/DYg_tflu09q/" TargetMode="External"/><Relationship Id="rId345" Type="http://schemas.openxmlformats.org/officeDocument/2006/relationships/hyperlink" Target="https://www.instagram.com/reel/DWEsYaiDrsm/" TargetMode="External"/><Relationship Id="rId346" Type="http://schemas.openxmlformats.org/officeDocument/2006/relationships/hyperlink" Target="https://www.instagram.com/reel/DXyeKQSxbr5/" TargetMode="External"/><Relationship Id="rId347" Type="http://schemas.openxmlformats.org/officeDocument/2006/relationships/hyperlink" Target="https://www.linkedin.com/feed/update/urn:li:activity:7509208477894975488" TargetMode="External"/><Relationship Id="rId348" Type="http://schemas.openxmlformats.org/officeDocument/2006/relationships/hyperlink" Target="https://www.linkedin.com/feed/update/urn:li:activity:7442555894313172993" TargetMode="External"/><Relationship Id="rId349" Type="http://schemas.openxmlformats.org/officeDocument/2006/relationships/hyperlink" Target="https://www.linkedin.com/feed/update/urn:li:activity:7448340675936550913" TargetMode="External"/><Relationship Id="rId350" Type="http://schemas.openxmlformats.org/officeDocument/2006/relationships/hyperlink" Target="https://x.com/daniellgoldstei/status/2090417094546334148" TargetMode="External"/><Relationship Id="rId351" Type="http://schemas.openxmlformats.org/officeDocument/2006/relationships/hyperlink" Target="https://www.linkedin.com/feed/update/urn:li:activity:7511726925615116289" TargetMode="External"/><Relationship Id="rId352" Type="http://schemas.openxmlformats.org/officeDocument/2006/relationships/hyperlink" Target="https://www.instagram.com/reel/DbKiMvsPtRE/" TargetMode="External"/><Relationship Id="rId353" Type="http://schemas.openxmlformats.org/officeDocument/2006/relationships/hyperlink" Target="https://x.com/codyschneider/status/2094893065202803014" TargetMode="External"/><Relationship Id="rId354" Type="http://schemas.openxmlformats.org/officeDocument/2006/relationships/hyperlink" Target="https://www.linkedin.com/feed/update/urn:li:activity:7467169699005579264" TargetMode="External"/><Relationship Id="rId355" Type="http://schemas.openxmlformats.org/officeDocument/2006/relationships/hyperlink" Target="https://x.com/vovudebosh/status/2098020150788104653" TargetMode="External"/><Relationship Id="rId356" Type="http://schemas.openxmlformats.org/officeDocument/2006/relationships/hyperlink" Target="https://www.instagram.com/reel/DZ4b5KaNr-x/" TargetMode="External"/><Relationship Id="rId357" Type="http://schemas.openxmlformats.org/officeDocument/2006/relationships/hyperlink" Target="https://x.com/noisyb0y1/status/2057472925826007430" TargetMode="External"/><Relationship Id="rId358" Type="http://schemas.openxmlformats.org/officeDocument/2006/relationships/hyperlink" Target="https://www.linkedin.com/feed/update/urn:li:activity:7434301889170653184" TargetMode="External"/><Relationship Id="rId359" Type="http://schemas.openxmlformats.org/officeDocument/2006/relationships/hyperlink" Target="https://www.linkedin.com/feed/update/urn:li:activity:7434209658816434176" TargetMode="External"/><Relationship Id="rId360" Type="http://schemas.openxmlformats.org/officeDocument/2006/relationships/hyperlink" Target="https://www.linkedin.com/feed/update/urn:li:activity:7496545928720551937" TargetMode="External"/><Relationship Id="rId361" Type="http://schemas.openxmlformats.org/officeDocument/2006/relationships/hyperlink" Target="https://www.linkedin.com/feed/update/urn:li:activity:7422187161350840320" TargetMode="External"/><Relationship Id="rId362" Type="http://schemas.openxmlformats.org/officeDocument/2006/relationships/hyperlink" Target="https://x.com/JaceEngland1/status/2093741553453814191" TargetMode="External"/><Relationship Id="rId363" Type="http://schemas.openxmlformats.org/officeDocument/2006/relationships/hyperlink" Target="https://www.linkedin.com/feed/update/urn:li:activity:7478766175548702721" TargetMode="External"/><Relationship Id="rId364" Type="http://schemas.openxmlformats.org/officeDocument/2006/relationships/hyperlink" Target="https://www.linkedin.com/feed/update/urn:li:activity:7436087872346267648" TargetMode="External"/><Relationship Id="rId365" Type="http://schemas.openxmlformats.org/officeDocument/2006/relationships/hyperlink" Target="https://x.com/codyschneider/status/2093005637965787317" TargetMode="External"/><Relationship Id="rId366" Type="http://schemas.openxmlformats.org/officeDocument/2006/relationships/hyperlink" Target="https://www.linkedin.com/feed/update/urn:li:activity:7386812819234795520" TargetMode="External"/><Relationship Id="rId367" Type="http://schemas.openxmlformats.org/officeDocument/2006/relationships/hyperlink" Target="https://www.linkedin.com/feed/update/urn:li:activity:7451966659919167488" TargetMode="External"/><Relationship Id="rId368" Type="http://schemas.openxmlformats.org/officeDocument/2006/relationships/hyperlink" Target="https://www.linkedin.com/feed/update/urn:li:activity:7503345290075250688" TargetMode="External"/><Relationship Id="rId369" Type="http://schemas.openxmlformats.org/officeDocument/2006/relationships/hyperlink" Target="https://www.instagram.com/reel/DT8emAViXDw/" TargetMode="External"/><Relationship Id="rId370" Type="http://schemas.openxmlformats.org/officeDocument/2006/relationships/hyperlink" Target="https://www.linkedin.com/feed/update/urn:li:activity:7433779064005562368" TargetMode="External"/><Relationship Id="rId371" Type="http://schemas.openxmlformats.org/officeDocument/2006/relationships/hyperlink" Target="https://www.instagram.com/reel/DdT6E3pyk6z/" TargetMode="External"/><Relationship Id="rId372" Type="http://schemas.openxmlformats.org/officeDocument/2006/relationships/hyperlink" Target="https://www.linkedin.com/feed/update/urn:li:activity:7514652222589210624" TargetMode="External"/><Relationship Id="rId373" Type="http://schemas.openxmlformats.org/officeDocument/2006/relationships/hyperlink" Target="https://www.linkedin.com/feed/update/urn:li:activity:7499435718050549761" TargetMode="External"/><Relationship Id="rId374" Type="http://schemas.openxmlformats.org/officeDocument/2006/relationships/hyperlink" Target="https://www.linkedin.com/feed/update/urn:li:activity:7432726203574259712" TargetMode="External"/><Relationship Id="rId375" Type="http://schemas.openxmlformats.org/officeDocument/2006/relationships/hyperlink" Target="https://www.linkedin.com/feed/update/urn:li:activity:7452038823129305089" TargetMode="External"/><Relationship Id="rId376" Type="http://schemas.openxmlformats.org/officeDocument/2006/relationships/hyperlink" Target="https://www.instagram.com/reel/DQ4dMvcDuKF/" TargetMode="External"/><Relationship Id="rId377" Type="http://schemas.openxmlformats.org/officeDocument/2006/relationships/hyperlink" Target="https://www.linkedin.com/feed/update/urn:li:activity:7457503997646561282" TargetMode="External"/><Relationship Id="rId378" Type="http://schemas.openxmlformats.org/officeDocument/2006/relationships/hyperlink" Target="https://www.instagram.com/reel/DcHlScBsKq8/" TargetMode="External"/><Relationship Id="rId379" Type="http://schemas.openxmlformats.org/officeDocument/2006/relationships/hyperlink" Target="https://www.linkedin.com/feed/update/urn:li:activity:7414238930080030720" TargetMode="External"/><Relationship Id="rId380" Type="http://schemas.openxmlformats.org/officeDocument/2006/relationships/hyperlink" Target="https://x.com/eeelistar/status/1998700772968534271" TargetMode="External"/><Relationship Id="rId381" Type="http://schemas.openxmlformats.org/officeDocument/2006/relationships/hyperlink" Target="https://www.instagram.com/p/DYe45o5kVGc/" TargetMode="External"/><Relationship Id="rId382" Type="http://schemas.openxmlformats.org/officeDocument/2006/relationships/hyperlink" Target="https://www.linkedin.com/feed/update/urn:li:activity:7468995130784624640" TargetMode="External"/><Relationship Id="rId383" Type="http://schemas.openxmlformats.org/officeDocument/2006/relationships/hyperlink" Target="https://www.instagram.com/reel/Da_QphVxjth/" TargetMode="External"/><Relationship Id="rId384" Type="http://schemas.openxmlformats.org/officeDocument/2006/relationships/hyperlink" Target="https://www.linkedin.com/feed/update/urn:li:activity:7503679138965360640" TargetMode="External"/><Relationship Id="rId385" Type="http://schemas.openxmlformats.org/officeDocument/2006/relationships/hyperlink" Target="https://www.linkedin.com/feed/update/urn:li:activity:7456311365390057472" TargetMode="External"/><Relationship Id="rId386" Type="http://schemas.openxmlformats.org/officeDocument/2006/relationships/hyperlink" Target="https://www.linkedin.com/feed/update/urn:li:activity:7395155406257332224" TargetMode="External"/><Relationship Id="rId387" Type="http://schemas.openxmlformats.org/officeDocument/2006/relationships/hyperlink" Target="https://www.linkedin.com/feed/update/urn:li:activity:7395077394367361024" TargetMode="External"/><Relationship Id="rId388" Type="http://schemas.openxmlformats.org/officeDocument/2006/relationships/hyperlink" Target="https://x.com/blvckledge/status/2023652418916135293" TargetMode="External"/><Relationship Id="rId389" Type="http://schemas.openxmlformats.org/officeDocument/2006/relationships/hyperlink" Target="https://www.linkedin.com/feed/update/urn:li:activity:7459935411025469441" TargetMode="External"/><Relationship Id="rId390" Type="http://schemas.openxmlformats.org/officeDocument/2006/relationships/hyperlink" Target="https://www.linkedin.com/feed/update/urn:li:activity:7452413251805462528" TargetMode="External"/><Relationship Id="rId391" Type="http://schemas.openxmlformats.org/officeDocument/2006/relationships/hyperlink" Target="https://www.linkedin.com/feed/update/urn:li:activity:7396861477669928960" TargetMode="External"/><Relationship Id="rId392" Type="http://schemas.openxmlformats.org/officeDocument/2006/relationships/hyperlink" Target="https://www.linkedin.com/feed/update/urn:li:activity:7503076408601100290" TargetMode="External"/><Relationship Id="rId393" Type="http://schemas.openxmlformats.org/officeDocument/2006/relationships/hyperlink" Target="https://www.linkedin.com/feed/update/urn:li:activity:7419281864298872832" TargetMode="External"/><Relationship Id="rId394" Type="http://schemas.openxmlformats.org/officeDocument/2006/relationships/hyperlink" Target="https://www.linkedin.com/feed/update/urn:li:activity:7510246670568181760" TargetMode="External"/><Relationship Id="rId395" Type="http://schemas.openxmlformats.org/officeDocument/2006/relationships/hyperlink" Target="https://x.com/higgsfield/status/2061520692756332677" TargetMode="External"/><Relationship Id="rId396" Type="http://schemas.openxmlformats.org/officeDocument/2006/relationships/hyperlink" Target="https://x.com/jasonlk/status/2088013357014241330" TargetMode="External"/><Relationship Id="rId397" Type="http://schemas.openxmlformats.org/officeDocument/2006/relationships/drawing" Target="../drawings/drawing1.xml"/><Relationship Id="rId398"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hyperlink" Target="https://x.com/theo_jil/status/2040494043713425822" TargetMode="External"/><Relationship Id="rId2" Type="http://schemas.openxmlformats.org/officeDocument/2006/relationships/hyperlink" Target="https://www.linkedin.com/feed/update/urn:li:activity:7447674013230841856" TargetMode="External"/><Relationship Id="rId3" Type="http://schemas.openxmlformats.org/officeDocument/2006/relationships/hyperlink" Target="https://x.com/MichLieben/status/2039432665078923529" TargetMode="External"/><Relationship Id="rId4" Type="http://schemas.openxmlformats.org/officeDocument/2006/relationships/hyperlink" Target="https://x.com/NickB2005/status/2095121648710037913" TargetMode="External"/><Relationship Id="rId5" Type="http://schemas.openxmlformats.org/officeDocument/2006/relationships/hyperlink" Target="https://x.com/Hartdrawss/status/2029852118723551289" TargetMode="External"/><Relationship Id="rId6" Type="http://schemas.openxmlformats.org/officeDocument/2006/relationships/hyperlink" Target="https://www.instagram.com/reel/DWb9bMukmwe/" TargetMode="External"/><Relationship Id="rId7" Type="http://schemas.openxmlformats.org/officeDocument/2006/relationships/hyperlink" Target="https://x.com/MarketingMax/status/2019410776201506904" TargetMode="External"/><Relationship Id="rId8" Type="http://schemas.openxmlformats.org/officeDocument/2006/relationships/hyperlink" Target="https://www.instagram.com/reel/Db58c4nCOXN/" TargetMode="External"/><Relationship Id="rId9" Type="http://schemas.openxmlformats.org/officeDocument/2006/relationships/hyperlink" Target="https://www.linkedin.com/feed/update/urn:li:activity:7421567657579196416" TargetMode="External"/><Relationship Id="rId10" Type="http://schemas.openxmlformats.org/officeDocument/2006/relationships/hyperlink" Target="https://www.instagram.com/reel/DctXXS8DjnA/" TargetMode="External"/><Relationship Id="rId11" Type="http://schemas.openxmlformats.org/officeDocument/2006/relationships/hyperlink" Target="https://www.instagram.com/reel/Dcy173UgAVR/" TargetMode="External"/><Relationship Id="rId12" Type="http://schemas.openxmlformats.org/officeDocument/2006/relationships/hyperlink" Target="https://x.com/theroborourke/status/1990343987148775791" TargetMode="External"/><Relationship Id="rId13" Type="http://schemas.openxmlformats.org/officeDocument/2006/relationships/hyperlink" Target="https://x.com/theroborourke/status/1990376468736618997" TargetMode="External"/><Relationship Id="rId14" Type="http://schemas.openxmlformats.org/officeDocument/2006/relationships/hyperlink" Target="https://www.linkedin.com/feed/update/urn:li:activity:7422654796735807491" TargetMode="External"/><Relationship Id="rId15" Type="http://schemas.openxmlformats.org/officeDocument/2006/relationships/hyperlink" Target="https://x.com/TimStodz/status/2108161648506609947" TargetMode="External"/><Relationship Id="rId16" Type="http://schemas.openxmlformats.org/officeDocument/2006/relationships/hyperlink" Target="https://x.com/theroborourke/status/2000523290205364430" TargetMode="External"/><Relationship Id="rId17" Type="http://schemas.openxmlformats.org/officeDocument/2006/relationships/hyperlink" Target="https://x.com/theroborourke/status/2016436919505146264" TargetMode="External"/><Relationship Id="rId18" Type="http://schemas.openxmlformats.org/officeDocument/2006/relationships/hyperlink" Target="https://www.instagram.com/reel/DcjOceDKj52/" TargetMode="External"/><Relationship Id="rId19" Type="http://schemas.openxmlformats.org/officeDocument/2006/relationships/hyperlink" Target="https://x.com/theroborourke/status/1984891228635255217" TargetMode="External"/><Relationship Id="rId20" Type="http://schemas.openxmlformats.org/officeDocument/2006/relationships/hyperlink" Target="https://x.com/fin465/status/2055137077868814804" TargetMode="External"/><Relationship Id="rId21" Type="http://schemas.openxmlformats.org/officeDocument/2006/relationships/hyperlink" Target="https://www.linkedin.com/feed/update/urn:li:activity:7507859803386511361" TargetMode="External"/><Relationship Id="rId22" Type="http://schemas.openxmlformats.org/officeDocument/2006/relationships/hyperlink" Target="https://www.instagram.com/reel/DZpxfcdhO3g/" TargetMode="External"/><Relationship Id="rId23" Type="http://schemas.openxmlformats.org/officeDocument/2006/relationships/hyperlink" Target="https://www.linkedin.com/feed/update/urn:li:activity:7483506353366515712" TargetMode="External"/><Relationship Id="rId24" Type="http://schemas.openxmlformats.org/officeDocument/2006/relationships/hyperlink" Target="https://www.instagram.com/reel/DV2q3zoErC3/" TargetMode="External"/><Relationship Id="rId25" Type="http://schemas.openxmlformats.org/officeDocument/2006/relationships/hyperlink" Target="https://x.com/MichLieben/status/2109690075546329232" TargetMode="External"/><Relationship Id="rId26" Type="http://schemas.openxmlformats.org/officeDocument/2006/relationships/hyperlink" Target="https://x.com/draprints/status/2095133643182322119" TargetMode="External"/><Relationship Id="rId27" Type="http://schemas.openxmlformats.org/officeDocument/2006/relationships/hyperlink" Target="https://x.com/ConnorAbene/status/2101380828399882659" TargetMode="External"/><Relationship Id="rId28" Type="http://schemas.openxmlformats.org/officeDocument/2006/relationships/hyperlink" Target="https://www.linkedin.com/feed/update/urn:li:activity:7505943146720165888" TargetMode="External"/><Relationship Id="rId29" Type="http://schemas.openxmlformats.org/officeDocument/2006/relationships/hyperlink" Target="https://x.com/paolo_scales/status/2032000149744984176" TargetMode="External"/><Relationship Id="rId30" Type="http://schemas.openxmlformats.org/officeDocument/2006/relationships/hyperlink" Target="https://www.linkedin.com/feed/update/urn:li:activity:7454831538892099584" TargetMode="External"/><Relationship Id="rId3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hyperlink" Target="https://www.instagram.com/reel/DeKt5O_Sz9_/" TargetMode="External"/><Relationship Id="rId2" Type="http://schemas.openxmlformats.org/officeDocument/2006/relationships/hyperlink" Target="https://www.instagram.com/reel/DYo8Da5PPe3/" TargetMode="External"/><Relationship Id="rId3" Type="http://schemas.openxmlformats.org/officeDocument/2006/relationships/hyperlink" Target="https://x.com/fromzerotomill/status/1992916088544256502" TargetMode="External"/><Relationship Id="rId4" Type="http://schemas.openxmlformats.org/officeDocument/2006/relationships/hyperlink" Target="https://www.instagram.com/reel/DeIN6T6zB0G/" TargetMode="External"/><Relationship Id="rId5" Type="http://schemas.openxmlformats.org/officeDocument/2006/relationships/hyperlink" Target="https://www.instagram.com/reel/DW8TbCSDWOZ/" TargetMode="External"/><Relationship Id="rId6" Type="http://schemas.openxmlformats.org/officeDocument/2006/relationships/hyperlink" Target="https://x.com/theroborourke/status/1990343987148775791" TargetMode="External"/><Relationship Id="rId7" Type="http://schemas.openxmlformats.org/officeDocument/2006/relationships/hyperlink" Target="https://x.com/romanbuildsaas/status/2047825608030494758" TargetMode="External"/><Relationship Id="rId8" Type="http://schemas.openxmlformats.org/officeDocument/2006/relationships/hyperlink" Target="https://x.com/theroborourke/status/2016436919505146264" TargetMode="External"/><Relationship Id="rId9" Type="http://schemas.openxmlformats.org/officeDocument/2006/relationships/hyperlink" Target="https://x.com/fin465/status/2055137077868814804" TargetMode="External"/><Relationship Id="rId10" Type="http://schemas.openxmlformats.org/officeDocument/2006/relationships/hyperlink" Target="https://x.com/imsehej/status/2007850577326456879" TargetMode="External"/><Relationship Id="rId11" Type="http://schemas.openxmlformats.org/officeDocument/2006/relationships/hyperlink" Target="https://www.instagram.com/reel/DWQxe0VjcyN/" TargetMode="External"/><Relationship Id="rId12" Type="http://schemas.openxmlformats.org/officeDocument/2006/relationships/hyperlink" Target="https://www.instagram.com/reel/DZpxfcdhO3g/" TargetMode="External"/><Relationship Id="rId13" Type="http://schemas.openxmlformats.org/officeDocument/2006/relationships/hyperlink" Target="https://www.instagram.com/reel/Ddr6DBaRrL7/" TargetMode="External"/><Relationship Id="rId14" Type="http://schemas.openxmlformats.org/officeDocument/2006/relationships/hyperlink" Target="https://www.instagram.com/reel/DV2q3zoErC3/" TargetMode="External"/><Relationship Id="rId15" Type="http://schemas.openxmlformats.org/officeDocument/2006/relationships/hyperlink" Target="https://www.instagram.com/reel/DXwmJB0S7TG/" TargetMode="External"/><Relationship Id="rId16" Type="http://schemas.openxmlformats.org/officeDocument/2006/relationships/hyperlink" Target="https://www.instagram.com/reel/DcriHRDS7Gt/" TargetMode="External"/><Relationship Id="rId17" Type="http://schemas.openxmlformats.org/officeDocument/2006/relationships/hyperlink" Target="https://x.com/theroborourke/status/2097222027950125427" TargetMode="External"/><Relationship Id="rId18" Type="http://schemas.openxmlformats.org/officeDocument/2006/relationships/hyperlink" Target="https://x.com/MichLieben/status/2109690075546329232" TargetMode="External"/><Relationship Id="rId19" Type="http://schemas.openxmlformats.org/officeDocument/2006/relationships/hyperlink" Target="https://x.com/lukepierceops/status/2110899653717737517" TargetMode="External"/><Relationship Id="rId20" Type="http://schemas.openxmlformats.org/officeDocument/2006/relationships/hyperlink" Target="https://x.com/NickB2005/status/2095121648710037913" TargetMode="External"/><Relationship Id="rId21" Type="http://schemas.openxmlformats.org/officeDocument/2006/relationships/hyperlink" Target="https://x.com/theroborourke/status/1990376468736618997" TargetMode="External"/><Relationship Id="rId22" Type="http://schemas.openxmlformats.org/officeDocument/2006/relationships/hyperlink" Target="https://www.linkedin.com/feed/update/urn:li:activity:7422654796735807491" TargetMode="External"/><Relationship Id="rId23" Type="http://schemas.openxmlformats.org/officeDocument/2006/relationships/hyperlink" Target="https://x.com/theroborourke/status/1984891228635255217" TargetMode="External"/><Relationship Id="rId24" Type="http://schemas.openxmlformats.org/officeDocument/2006/relationships/hyperlink" Target="https://x.com/TheMattBerman/status/2024678503598235963" TargetMode="External"/><Relationship Id="rId25" Type="http://schemas.openxmlformats.org/officeDocument/2006/relationships/hyperlink" Target="https://x.com/fromzerotomill/status/2015743611237785804" TargetMode="External"/><Relationship Id="rId26" Type="http://schemas.openxmlformats.org/officeDocument/2006/relationships/hyperlink" Target="https://x.com/MichLieben/status/2039432665078923529" TargetMode="External"/><Relationship Id="rId27" Type="http://schemas.openxmlformats.org/officeDocument/2006/relationships/hyperlink" Target="https://www.instagram.com/reel/DcGk3BOI4_r/" TargetMode="External"/><Relationship Id="rId28" Type="http://schemas.openxmlformats.org/officeDocument/2006/relationships/hyperlink" Target="https://x.com/theroborourke/status/2000523290205364430" TargetMode="External"/><Relationship Id="rId29" Type="http://schemas.openxmlformats.org/officeDocument/2006/relationships/hyperlink" Target="https://www.instagram.com/reel/DZMEp61IK8J/" TargetMode="External"/><Relationship Id="rId30" Type="http://schemas.openxmlformats.org/officeDocument/2006/relationships/hyperlink" Target="https://x.com/jasoncfox/status/2005610481969504723" TargetMode="External"/><Relationship Id="rId31" Type="http://schemas.openxmlformats.org/officeDocument/2006/relationships/hyperlink" Target="https://www.instagram.com/reel/DbDrqpnDu9d/" TargetMode="External"/><Relationship Id="rId32" Type="http://schemas.openxmlformats.org/officeDocument/2006/relationships/hyperlink" Target="https://www.instagram.com/reel/DchttGrpIa6/" TargetMode="External"/><Relationship Id="rId33" Type="http://schemas.openxmlformats.org/officeDocument/2006/relationships/hyperlink" Target="https://x.com/draprints/status/2095133643182322119" TargetMode="External"/><Relationship Id="rId34" Type="http://schemas.openxmlformats.org/officeDocument/2006/relationships/hyperlink" Target="https://www.instagram.com/reel/Db8S4BmJlfM/" TargetMode="External"/><Relationship Id="rId35" Type="http://schemas.openxmlformats.org/officeDocument/2006/relationships/hyperlink" Target="https://x.com/Hartdrawss/status/2029852118723551289" TargetMode="External"/><Relationship Id="rId36" Type="http://schemas.openxmlformats.org/officeDocument/2006/relationships/hyperlink" Target="https://www.linkedin.com/feed/update/urn:li:activity:7421567657579196416" TargetMode="External"/><Relationship Id="rId37" Type="http://schemas.openxmlformats.org/officeDocument/2006/relationships/hyperlink" Target="https://www.linkedin.com/feed/update/urn:li:activity:7434606028261892096" TargetMode="External"/><Relationship Id="rId38" Type="http://schemas.openxmlformats.org/officeDocument/2006/relationships/hyperlink" Target="https://www.linkedin.com/feed/update/urn:li:activity:7432431813991538688" TargetMode="External"/><Relationship Id="rId39" Type="http://schemas.openxmlformats.org/officeDocument/2006/relationships/hyperlink" Target="https://www.instagram.com/reel/DcJW1_5OCmB/" TargetMode="External"/><Relationship Id="rId40" Type="http://schemas.openxmlformats.org/officeDocument/2006/relationships/hyperlink" Target="https://www.linkedin.com/feed/update/urn:li:activity:7483506353366515712" TargetMode="External"/><Relationship Id="rId41" Type="http://schemas.openxmlformats.org/officeDocument/2006/relationships/hyperlink" Target="https://www.linkedin.com/feed/update/urn:li:activity:7508299114216968193" TargetMode="External"/><Relationship Id="rId42" Type="http://schemas.openxmlformats.org/officeDocument/2006/relationships/hyperlink" Target="https://www.instagram.com/reel/Dcgp5WGs_H9/" TargetMode="External"/><Relationship Id="rId43" Type="http://schemas.openxmlformats.org/officeDocument/2006/relationships/hyperlink" Target="https://www.instagram.com/reel/DYN1ENyPIMJ/" TargetMode="External"/><Relationship Id="rId44" Type="http://schemas.openxmlformats.org/officeDocument/2006/relationships/hyperlink" Target="https://www.instagram.com/reel/DZClftTpxeV/" TargetMode="External"/><Relationship Id="rId45" Type="http://schemas.openxmlformats.org/officeDocument/2006/relationships/hyperlink" Target="https://x.com/romanbuildsaas/status/2017670516719432131" TargetMode="External"/><Relationship Id="rId46" Type="http://schemas.openxmlformats.org/officeDocument/2006/relationships/hyperlink" Target="https://www.instagram.com/reel/Dbl6NsgSR9R/" TargetMode="External"/><Relationship Id="rId47" Type="http://schemas.openxmlformats.org/officeDocument/2006/relationships/hyperlink" Target="https://x.com/denohawari/status/2073135200968859772" TargetMode="External"/><Relationship Id="rId48" Type="http://schemas.openxmlformats.org/officeDocument/2006/relationships/hyperlink" Target="https://x.com/marlowxbt/status/2064014528401277174" TargetMode="External"/><Relationship Id="rId49" Type="http://schemas.openxmlformats.org/officeDocument/2006/relationships/hyperlink" Target="https://x.com/scott_bair/status/2043596395580670401" TargetMode="External"/><Relationship Id="rId50" Type="http://schemas.openxmlformats.org/officeDocument/2006/relationships/hyperlink" Target="https://x.com/RetentionAdam/status/2016190513251287229" TargetMode="External"/><Relationship Id="rId51" Type="http://schemas.openxmlformats.org/officeDocument/2006/relationships/hyperlink" Target="https://www.linkedin.com/feed/update/urn:li:activity:7385915021148438528" TargetMode="External"/><Relationship Id="rId52" Type="http://schemas.openxmlformats.org/officeDocument/2006/relationships/hyperlink" Target="https://www.linkedin.com/feed/update/urn:li:activity:7396917745914781696" TargetMode="External"/><Relationship Id="rId53" Type="http://schemas.openxmlformats.org/officeDocument/2006/relationships/hyperlink" Target="https://www.instagram.com/reel/DblbBF0gJ8g/" TargetMode="External"/><Relationship Id="rId54" Type="http://schemas.openxmlformats.org/officeDocument/2006/relationships/hyperlink" Target="https://x.com/ianwong_/status/2090454226011091033" TargetMode="External"/><Relationship Id="rId55" Type="http://schemas.openxmlformats.org/officeDocument/2006/relationships/hyperlink" Target="https://www.linkedin.com/feed/update/urn:li:activity:7511422825266688001" TargetMode="External"/><Relationship Id="rId56" Type="http://schemas.openxmlformats.org/officeDocument/2006/relationships/hyperlink" Target="https://www.linkedin.com/feed/update/urn:li:activity:7419725664758693888" TargetMode="External"/><Relationship Id="rId57" Type="http://schemas.openxmlformats.org/officeDocument/2006/relationships/hyperlink" Target="https://www.linkedin.com/feed/update/urn:li:activity:7507859803386511361" TargetMode="External"/><Relationship Id="rId58" Type="http://schemas.openxmlformats.org/officeDocument/2006/relationships/hyperlink" Target="https://www.instagram.com/reel/Db_AqZjoN_r/" TargetMode="External"/><Relationship Id="rId59" Type="http://schemas.openxmlformats.org/officeDocument/2006/relationships/hyperlink" Target="https://www.linkedin.com/feed/update/urn:li:activity:7430219623037407232" TargetMode="External"/><Relationship Id="rId60" Type="http://schemas.openxmlformats.org/officeDocument/2006/relationships/hyperlink" Target="https://www.instagram.com/reel/Da8ZPqps4rM/" TargetMode="External"/><Relationship Id="rId61" Type="http://schemas.openxmlformats.org/officeDocument/2006/relationships/hyperlink" Target="https://www.linkedin.com/feed/update/urn:li:activity:7454205178427232257" TargetMode="External"/><Relationship Id="rId62" Type="http://schemas.openxmlformats.org/officeDocument/2006/relationships/hyperlink" Target="https://www.instagram.com/reel/DeZn1JCB8_i/" TargetMode="External"/><Relationship Id="rId63" Type="http://schemas.openxmlformats.org/officeDocument/2006/relationships/hyperlink" Target="https://www.instagram.com/reel/DZFimmrsrsc/" TargetMode="External"/><Relationship Id="rId64" Type="http://schemas.openxmlformats.org/officeDocument/2006/relationships/hyperlink" Target="https://www.instagram.com/reel/Dbsxb8IhIXA/" TargetMode="External"/><Relationship Id="rId65" Type="http://schemas.openxmlformats.org/officeDocument/2006/relationships/hyperlink" Target="https://www.instagram.com/reel/DXzcVckxl22/" TargetMode="External"/><Relationship Id="rId66" Type="http://schemas.openxmlformats.org/officeDocument/2006/relationships/hyperlink" Target="https://x.com/dimitarangg/status/2048044038209654934" TargetMode="External"/><Relationship Id="rId67" Type="http://schemas.openxmlformats.org/officeDocument/2006/relationships/hyperlink" Target="https://x.com/andreysuperior/status/2059992370414796888" TargetMode="External"/><Relationship Id="rId68" Type="http://schemas.openxmlformats.org/officeDocument/2006/relationships/hyperlink" Target="https://x.com/TheMattBerman/status/2027220216409723296" TargetMode="External"/><Relationship Id="rId69" Type="http://schemas.openxmlformats.org/officeDocument/2006/relationships/hyperlink" Target="https://x.com/parsedpatterns/status/2006786675741962478" TargetMode="External"/><Relationship Id="rId70" Type="http://schemas.openxmlformats.org/officeDocument/2006/relationships/hyperlink" Target="https://x.com/CartuneNetwerk/status/2063291410049065307" TargetMode="External"/><Relationship Id="rId71" Type="http://schemas.openxmlformats.org/officeDocument/2006/relationships/hyperlink" Target="https://www.instagram.com/reel/DbOTspij6yZ/" TargetMode="External"/><Relationship Id="rId72" Type="http://schemas.openxmlformats.org/officeDocument/2006/relationships/hyperlink" Target="https://www.instagram.com/reel/DbpURTwRL_W/" TargetMode="External"/><Relationship Id="rId73" Type="http://schemas.openxmlformats.org/officeDocument/2006/relationships/hyperlink" Target="https://x.com/om_patel5/status/2040295631793635465" TargetMode="External"/><Relationship Id="rId74" Type="http://schemas.openxmlformats.org/officeDocument/2006/relationships/hyperlink" Target="https://x.com/scaling_shields/status/2014306814054244421" TargetMode="External"/><Relationship Id="rId75" Type="http://schemas.openxmlformats.org/officeDocument/2006/relationships/hyperlink" Target="https://www.linkedin.com/feed/update/urn:li:activity:7470938105974362112" TargetMode="External"/><Relationship Id="rId76" Type="http://schemas.openxmlformats.org/officeDocument/2006/relationships/hyperlink" Target="https://www.instagram.com/reel/Dcbe_AuOO3L/" TargetMode="External"/><Relationship Id="rId77" Type="http://schemas.openxmlformats.org/officeDocument/2006/relationships/hyperlink" Target="https://www.instagram.com/reel/DclVkO-ym1J/" TargetMode="External"/><Relationship Id="rId78" Type="http://schemas.openxmlformats.org/officeDocument/2006/relationships/hyperlink" Target="https://www.instagram.com/reel/DdL7H1QFDHh/" TargetMode="External"/><Relationship Id="rId79" Type="http://schemas.openxmlformats.org/officeDocument/2006/relationships/hyperlink" Target="https://x.com/cailynyongyong/status/2043832596304670749" TargetMode="External"/><Relationship Id="rId80" Type="http://schemas.openxmlformats.org/officeDocument/2006/relationships/hyperlink" Target="https://x.com/TechSalesGuy/status/2092971899659681881" TargetMode="External"/><Relationship Id="rId81" Type="http://schemas.openxmlformats.org/officeDocument/2006/relationships/hyperlink" Target="https://www.instagram.com/reel/DbYHkLmtIBv/" TargetMode="External"/><Relationship Id="rId82" Type="http://schemas.openxmlformats.org/officeDocument/2006/relationships/hyperlink" Target="https://www.instagram.com/reel/DbHIs-aSgsS/" TargetMode="External"/><Relationship Id="rId83" Type="http://schemas.openxmlformats.org/officeDocument/2006/relationships/hyperlink" Target="https://x.com/frederickjames/status/2091503229146194334" TargetMode="External"/><Relationship Id="rId84" Type="http://schemas.openxmlformats.org/officeDocument/2006/relationships/hyperlink" Target="https://www.instagram.com/reel/DcQ-uJJMWqf/" TargetMode="External"/><Relationship Id="rId85" Type="http://schemas.openxmlformats.org/officeDocument/2006/relationships/hyperlink" Target="https://www.instagram.com/reel/DcKTVQWu47A/" TargetMode="External"/><Relationship Id="rId86" Type="http://schemas.openxmlformats.org/officeDocument/2006/relationships/hyperlink" Target="https://www.instagram.com/reel/DSDONxmCDsS/" TargetMode="External"/><Relationship Id="rId87" Type="http://schemas.openxmlformats.org/officeDocument/2006/relationships/hyperlink" Target="https://www.instagram.com/reel/DZF1FpUvcRk/" TargetMode="External"/><Relationship Id="rId88" Type="http://schemas.openxmlformats.org/officeDocument/2006/relationships/hyperlink" Target="https://www.instagram.com/reel/DcC-2k8zJqP/" TargetMode="External"/><Relationship Id="rId89" Type="http://schemas.openxmlformats.org/officeDocument/2006/relationships/hyperlink" Target="https://x.com/emilios_eth/status/2015877389411037492" TargetMode="External"/><Relationship Id="rId90" Type="http://schemas.openxmlformats.org/officeDocument/2006/relationships/hyperlink" Target="https://www.linkedin.com/feed/update/urn:li:activity:7406591175941435392" TargetMode="External"/><Relationship Id="rId91" Type="http://schemas.openxmlformats.org/officeDocument/2006/relationships/hyperlink" Target="https://x.com/qwenwork/status/2054934477483471041" TargetMode="External"/><Relationship Id="rId92" Type="http://schemas.openxmlformats.org/officeDocument/2006/relationships/hyperlink" Target="https://x.com/BrendanFoody/status/2109838645339607285" TargetMode="External"/><Relationship Id="rId93" Type="http://schemas.openxmlformats.org/officeDocument/2006/relationships/hyperlink" Target="https://x.com/WorkflowWhisper/status/2012590119929172319" TargetMode="External"/><Relationship Id="rId94" Type="http://schemas.openxmlformats.org/officeDocument/2006/relationships/hyperlink" Target="https://www.instagram.com/reel/Db_hVF_P5lF/" TargetMode="External"/><Relationship Id="rId95" Type="http://schemas.openxmlformats.org/officeDocument/2006/relationships/hyperlink" Target="https://x.com/jonnym1ller/status/2096786649149825058" TargetMode="External"/><Relationship Id="rId96" Type="http://schemas.openxmlformats.org/officeDocument/2006/relationships/hyperlink" Target="https://x.com/WorkflowWhisper/status/2020557627416023335" TargetMode="External"/><Relationship Id="rId97" Type="http://schemas.openxmlformats.org/officeDocument/2006/relationships/hyperlink" Target="https://x.com/dimitarangg/status/2022410074593939657" TargetMode="External"/><Relationship Id="rId98" Type="http://schemas.openxmlformats.org/officeDocument/2006/relationships/hyperlink" Target="https://x.com/levikmunneke/status/2035123865463267798" TargetMode="External"/><Relationship Id="rId99" Type="http://schemas.openxmlformats.org/officeDocument/2006/relationships/hyperlink" Target="https://x.com/fin465/status/2056468083271926258" TargetMode="External"/><Relationship Id="rId100" Type="http://schemas.openxmlformats.org/officeDocument/2006/relationships/hyperlink" Target="https://x.com/mustufa4socials/status/2016885450863169982" TargetMode="External"/><Relationship Id="rId101" Type="http://schemas.openxmlformats.org/officeDocument/2006/relationships/hyperlink" Target="https://www.instagram.com/reel/DeDwgVQhW9c/" TargetMode="External"/><Relationship Id="rId102" Type="http://schemas.openxmlformats.org/officeDocument/2006/relationships/hyperlink" Target="https://www.instagram.com/reel/DbYjVyLuzzP/" TargetMode="External"/><Relationship Id="rId103" Type="http://schemas.openxmlformats.org/officeDocument/2006/relationships/hyperlink" Target="https://www.instagram.com/reel/Dbw5GydgGij/" TargetMode="External"/><Relationship Id="rId104" Type="http://schemas.openxmlformats.org/officeDocument/2006/relationships/hyperlink" Target="https://www.instagram.com/reel/DW9CNBigZnZ/" TargetMode="External"/><Relationship Id="rId105" Type="http://schemas.openxmlformats.org/officeDocument/2006/relationships/hyperlink" Target="https://www.instagram.com/reel/DctTCKgO6JQ/" TargetMode="External"/><Relationship Id="rId106" Type="http://schemas.openxmlformats.org/officeDocument/2006/relationships/hyperlink" Target="https://x.com/bryantchou/status/2067246888231866803" TargetMode="External"/><Relationship Id="rId107" Type="http://schemas.openxmlformats.org/officeDocument/2006/relationships/hyperlink" Target="https://www.instagram.com/reel/Db59Qt3ztrJ/" TargetMode="External"/><Relationship Id="rId108" Type="http://schemas.openxmlformats.org/officeDocument/2006/relationships/hyperlink" Target="https://x.com/mustufa4socials/status/2054258775222284442" TargetMode="External"/><Relationship Id="rId109" Type="http://schemas.openxmlformats.org/officeDocument/2006/relationships/hyperlink" Target="https://x.com/dangreenheck/status/2102137910921240807" TargetMode="External"/><Relationship Id="rId110" Type="http://schemas.openxmlformats.org/officeDocument/2006/relationships/hyperlink" Target="https://x.com/scaling_shields/status/2011801978087633235" TargetMode="External"/><Relationship Id="rId111" Type="http://schemas.openxmlformats.org/officeDocument/2006/relationships/hyperlink" Target="https://www.instagram.com/reel/DciGZoSIpME/" TargetMode="External"/><Relationship Id="rId112" Type="http://schemas.openxmlformats.org/officeDocument/2006/relationships/hyperlink" Target="https://x.com/EliXPampa/status/2100548320964096222" TargetMode="External"/><Relationship Id="rId113" Type="http://schemas.openxmlformats.org/officeDocument/2006/relationships/hyperlink" Target="https://www.instagram.com/reel/DcaHgBHkv8z/" TargetMode="External"/><Relationship Id="rId114" Type="http://schemas.openxmlformats.org/officeDocument/2006/relationships/hyperlink" Target="https://www.linkedin.com/feed/update/urn:li:activity:7432775956957663232" TargetMode="External"/><Relationship Id="rId115" Type="http://schemas.openxmlformats.org/officeDocument/2006/relationships/hyperlink" Target="https://x.com/DeepStarts/status/2055143109194068017" TargetMode="External"/><Relationship Id="rId116" Type="http://schemas.openxmlformats.org/officeDocument/2006/relationships/hyperlink" Target="https://www.instagram.com/reel/DbqZgYdC3Th/" TargetMode="External"/><Relationship Id="rId117" Type="http://schemas.openxmlformats.org/officeDocument/2006/relationships/hyperlink" Target="https://www.instagram.com/reel/DctEm8ugamJ/" TargetMode="External"/><Relationship Id="rId118" Type="http://schemas.openxmlformats.org/officeDocument/2006/relationships/hyperlink" Target="https://www.linkedin.com/feed/update/urn:li:activity:7394664828847525889" TargetMode="External"/><Relationship Id="rId119" Type="http://schemas.openxmlformats.org/officeDocument/2006/relationships/hyperlink" Target="https://x.com/imsehej/status/2029235992339828761" TargetMode="External"/><Relationship Id="rId120" Type="http://schemas.openxmlformats.org/officeDocument/2006/relationships/hyperlink" Target="https://www.linkedin.com/feed/update/urn:li:activity:7462864777107800064" TargetMode="External"/><Relationship Id="rId121" Type="http://schemas.openxmlformats.org/officeDocument/2006/relationships/hyperlink" Target="https://x.com/dan__rosenthal/status/2076013236646736214" TargetMode="External"/><Relationship Id="rId122" Type="http://schemas.openxmlformats.org/officeDocument/2006/relationships/hyperlink" Target="https://x.com/levikmunneke/status/2046355512741310930" TargetMode="External"/><Relationship Id="rId123" Type="http://schemas.openxmlformats.org/officeDocument/2006/relationships/hyperlink" Target="https://x.com/IwuezeAmarachi/status/2018653428776419719" TargetMode="External"/><Relationship Id="rId124" Type="http://schemas.openxmlformats.org/officeDocument/2006/relationships/hyperlink" Target="https://www.linkedin.com/feed/update/urn:li:activity:7475212160911101952" TargetMode="External"/><Relationship Id="rId125" Type="http://schemas.openxmlformats.org/officeDocument/2006/relationships/hyperlink" Target="https://www.linkedin.com/feed/update/urn:li:activity:7472340499320827904" TargetMode="External"/><Relationship Id="rId126" Type="http://schemas.openxmlformats.org/officeDocument/2006/relationships/hyperlink" Target="https://x.com/AlfieJCarter/status/2057848330902745536" TargetMode="External"/><Relationship Id="rId127" Type="http://schemas.openxmlformats.org/officeDocument/2006/relationships/hyperlink" Target="https://www.linkedin.com/feed/update/urn:li:activity:7434655206426042368" TargetMode="External"/><Relationship Id="rId128" Type="http://schemas.openxmlformats.org/officeDocument/2006/relationships/hyperlink" Target="https://www.instagram.com/reel/DcG4JWWN7nd/" TargetMode="External"/><Relationship Id="rId129" Type="http://schemas.openxmlformats.org/officeDocument/2006/relationships/hyperlink" Target="https://www.linkedin.com/feed/update/urn:li:activity:7485808173090750464" TargetMode="External"/><Relationship Id="rId130" Type="http://schemas.openxmlformats.org/officeDocument/2006/relationships/hyperlink" Target="https://www.instagram.com/reel/DdeQ4Ndq_h_/" TargetMode="External"/><Relationship Id="rId131" Type="http://schemas.openxmlformats.org/officeDocument/2006/relationships/hyperlink" Target="https://www.instagram.com/reel/DcFoz5ch63i/" TargetMode="External"/><Relationship Id="rId132" Type="http://schemas.openxmlformats.org/officeDocument/2006/relationships/hyperlink" Target="https://www.instagram.com/reel/DbYPh8AxEoP/" TargetMode="External"/><Relationship Id="rId133" Type="http://schemas.openxmlformats.org/officeDocument/2006/relationships/hyperlink" Target="https://www.instagram.com/reel/DdAftEkumIU/" TargetMode="External"/><Relationship Id="rId134" Type="http://schemas.openxmlformats.org/officeDocument/2006/relationships/hyperlink" Target="https://www.instagram.com/reel/Db0WCUkOUwe/" TargetMode="External"/><Relationship Id="rId135" Type="http://schemas.openxmlformats.org/officeDocument/2006/relationships/hyperlink" Target="https://x.com/francesafetytra/status/2091815041586856396" TargetMode="External"/><Relationship Id="rId136" Type="http://schemas.openxmlformats.org/officeDocument/2006/relationships/hyperlink" Target="https://x.com/hyojun_at/status/1986236078999900277" TargetMode="External"/><Relationship Id="rId137" Type="http://schemas.openxmlformats.org/officeDocument/2006/relationships/hyperlink" Target="https://www.instagram.com/reel/DbL3kepRXBz/" TargetMode="External"/><Relationship Id="rId138" Type="http://schemas.openxmlformats.org/officeDocument/2006/relationships/hyperlink" Target="https://www.instagram.com/reel/DdYuYOjTZnS/" TargetMode="External"/><Relationship Id="rId139" Type="http://schemas.openxmlformats.org/officeDocument/2006/relationships/hyperlink" Target="https://x.com/dimitarangg/status/2022896228493627606" TargetMode="External"/><Relationship Id="rId140" Type="http://schemas.openxmlformats.org/officeDocument/2006/relationships/hyperlink" Target="https://www.instagram.com/reel/Dbaj1-HI7r5/" TargetMode="External"/><Relationship Id="rId141" Type="http://schemas.openxmlformats.org/officeDocument/2006/relationships/hyperlink" Target="https://x.com/CAronitpereira/status/2010993908382343528" TargetMode="External"/><Relationship Id="rId142" Type="http://schemas.openxmlformats.org/officeDocument/2006/relationships/hyperlink" Target="https://www.instagram.com/reel/DbLnqZTDHNd/" TargetMode="External"/><Relationship Id="rId143" Type="http://schemas.openxmlformats.org/officeDocument/2006/relationships/hyperlink" Target="https://www.instagram.com/reel/DdEKK0ThxVu/" TargetMode="External"/><Relationship Id="rId144" Type="http://schemas.openxmlformats.org/officeDocument/2006/relationships/hyperlink" Target="https://www.instagram.com/reel/DbPCpZvzM0l/" TargetMode="External"/><Relationship Id="rId145" Type="http://schemas.openxmlformats.org/officeDocument/2006/relationships/hyperlink" Target="https://www.instagram.com/reel/DbAzTiqSg8j/" TargetMode="External"/><Relationship Id="rId146" Type="http://schemas.openxmlformats.org/officeDocument/2006/relationships/hyperlink" Target="https://www.instagram.com/reel/DctXXS8DjnA/" TargetMode="External"/><Relationship Id="rId147" Type="http://schemas.openxmlformats.org/officeDocument/2006/relationships/hyperlink" Target="https://x.com/CAronitpereira/status/2054862822564364779" TargetMode="External"/><Relationship Id="rId148" Type="http://schemas.openxmlformats.org/officeDocument/2006/relationships/hyperlink" Target="https://www.instagram.com/reel/Db73Km_sekv/" TargetMode="External"/><Relationship Id="rId149" Type="http://schemas.openxmlformats.org/officeDocument/2006/relationships/hyperlink" Target="https://www.instagram.com/reel/DbJYp_OP6M1/" TargetMode="External"/><Relationship Id="rId150" Type="http://schemas.openxmlformats.org/officeDocument/2006/relationships/hyperlink" Target="https://www.instagram.com/reel/DbTSnDZBQGM/" TargetMode="External"/><Relationship Id="rId151" Type="http://schemas.openxmlformats.org/officeDocument/2006/relationships/hyperlink" Target="https://www.instagram.com/reel/DbTmJ_UAr7z/" TargetMode="External"/><Relationship Id="rId152" Type="http://schemas.openxmlformats.org/officeDocument/2006/relationships/hyperlink" Target="https://x.com/ZyMazza/status/2042651604092956786" TargetMode="External"/><Relationship Id="rId153" Type="http://schemas.openxmlformats.org/officeDocument/2006/relationships/hyperlink" Target="https://www.instagram.com/reel/DcjOceDKj52/" TargetMode="External"/><Relationship Id="rId154" Type="http://schemas.openxmlformats.org/officeDocument/2006/relationships/hyperlink" Target="https://www.instagram.com/reel/DbpmEFEzK1d/" TargetMode="External"/><Relationship Id="rId155" Type="http://schemas.openxmlformats.org/officeDocument/2006/relationships/hyperlink" Target="https://www.instagram.com/reel/Da8ffLGDnlv/" TargetMode="External"/><Relationship Id="rId156" Type="http://schemas.openxmlformats.org/officeDocument/2006/relationships/hyperlink" Target="https://www.instagram.com/reel/Db26XzEMB3d/" TargetMode="External"/><Relationship Id="rId157" Type="http://schemas.openxmlformats.org/officeDocument/2006/relationships/hyperlink" Target="https://www.instagram.com/reel/DcQ_MXYB4Z1/" TargetMode="External"/><Relationship Id="rId158" Type="http://schemas.openxmlformats.org/officeDocument/2006/relationships/hyperlink" Target="https://www.linkedin.com/feed/update/urn:li:activity:7504070681752576000" TargetMode="External"/><Relationship Id="rId159" Type="http://schemas.openxmlformats.org/officeDocument/2006/relationships/hyperlink" Target="https://x.com/paolo_scales/status/2091961906210967746" TargetMode="External"/><Relationship Id="rId160" Type="http://schemas.openxmlformats.org/officeDocument/2006/relationships/hyperlink" Target="https://x.com/CynthiaOzumba/status/2094869216767750399" TargetMode="External"/><Relationship Id="rId161" Type="http://schemas.openxmlformats.org/officeDocument/2006/relationships/hyperlink" Target="https://www.instagram.com/reel/DYe6edOCC-l/" TargetMode="External"/><Relationship Id="rId162" Type="http://schemas.openxmlformats.org/officeDocument/2006/relationships/hyperlink" Target="https://x.com/leonabboud/status/2008556160962752656" TargetMode="External"/><Relationship Id="rId163" Type="http://schemas.openxmlformats.org/officeDocument/2006/relationships/hyperlink" Target="https://www.instagram.com/reel/DXyeKQSxbr5/" TargetMode="External"/><Relationship Id="rId164"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hyperlink" Target="https://www.instagram.com/reel/Ddl5gR1xz9b/" TargetMode="External"/><Relationship Id="rId2" Type="http://schemas.openxmlformats.org/officeDocument/2006/relationships/hyperlink" Target="https://www.instagram.com/reel/Db_hVF_P5lF/" TargetMode="External"/><Relationship Id="rId3" Type="http://schemas.openxmlformats.org/officeDocument/2006/relationships/hyperlink" Target="https://www.instagram.com/reel/Db8S4BmJlfM/" TargetMode="External"/><Relationship Id="rId4" Type="http://schemas.openxmlformats.org/officeDocument/2006/relationships/hyperlink" Target="https://www.instagram.com/reel/DbOTspij6yZ/" TargetMode="External"/><Relationship Id="rId5" Type="http://schemas.openxmlformats.org/officeDocument/2006/relationships/hyperlink" Target="https://www.instagram.com/reel/DbpURTwRL_W/" TargetMode="External"/><Relationship Id="rId6" Type="http://schemas.openxmlformats.org/officeDocument/2006/relationships/hyperlink" Target="https://www.instagram.com/reel/Db58c4nCOXN/" TargetMode="External"/><Relationship Id="rId7" Type="http://schemas.openxmlformats.org/officeDocument/2006/relationships/hyperlink" Target="https://www.instagram.com/reel/DeDwgVQhW9c/" TargetMode="External"/><Relationship Id="rId8" Type="http://schemas.openxmlformats.org/officeDocument/2006/relationships/hyperlink" Target="https://www.instagram.com/reel/Dbl6NsgSR9R/" TargetMode="External"/><Relationship Id="rId9" Type="http://schemas.openxmlformats.org/officeDocument/2006/relationships/hyperlink" Target="https://www.instagram.com/reel/DbYjVyLuzzP/" TargetMode="External"/><Relationship Id="rId10" Type="http://schemas.openxmlformats.org/officeDocument/2006/relationships/hyperlink" Target="https://www.instagram.com/reel/DcD3bofMQF1/" TargetMode="External"/><Relationship Id="rId11" Type="http://schemas.openxmlformats.org/officeDocument/2006/relationships/hyperlink" Target="https://www.instagram.com/reel/DcSBJPCogrr/" TargetMode="External"/><Relationship Id="rId12" Type="http://schemas.openxmlformats.org/officeDocument/2006/relationships/hyperlink" Target="https://www.instagram.com/reel/DcGk3BOI4_r/" TargetMode="External"/><Relationship Id="rId13" Type="http://schemas.openxmlformats.org/officeDocument/2006/relationships/hyperlink" Target="https://www.instagram.com/reel/DbT8pmksSud/" TargetMode="External"/><Relationship Id="rId14" Type="http://schemas.openxmlformats.org/officeDocument/2006/relationships/hyperlink" Target="https://www.instagram.com/reel/Dbw5GydgGij/" TargetMode="External"/><Relationship Id="rId15" Type="http://schemas.openxmlformats.org/officeDocument/2006/relationships/hyperlink" Target="https://www.instagram.com/reel/Dcbe_AuOO3L/" TargetMode="External"/><Relationship Id="rId16" Type="http://schemas.openxmlformats.org/officeDocument/2006/relationships/hyperlink" Target="https://www.instagram.com/reel/DclVkO-ym1J/" TargetMode="External"/><Relationship Id="rId17" Type="http://schemas.openxmlformats.org/officeDocument/2006/relationships/hyperlink" Target="https://www.instagram.com/reel/DctTCKgO6JQ/" TargetMode="External"/><Relationship Id="rId18" Type="http://schemas.openxmlformats.org/officeDocument/2006/relationships/hyperlink" Target="https://www.instagram.com/reel/Dbep7NPO3Zg/" TargetMode="External"/><Relationship Id="rId19" Type="http://schemas.openxmlformats.org/officeDocument/2006/relationships/hyperlink" Target="https://www.instagram.com/reel/Db59Qt3ztrJ/" TargetMode="External"/><Relationship Id="rId20" Type="http://schemas.openxmlformats.org/officeDocument/2006/relationships/hyperlink" Target="https://www.instagram.com/reel/DbYHkLmtIBv/" TargetMode="External"/><Relationship Id="rId21" Type="http://schemas.openxmlformats.org/officeDocument/2006/relationships/hyperlink" Target="https://www.instagram.com/reel/DblbBF0gJ8g/" TargetMode="External"/><Relationship Id="rId22" Type="http://schemas.openxmlformats.org/officeDocument/2006/relationships/hyperlink" Target="https://www.instagram.com/reel/DciGZoSIpME/" TargetMode="External"/><Relationship Id="rId23" Type="http://schemas.openxmlformats.org/officeDocument/2006/relationships/hyperlink" Target="https://www.instagram.com/reel/DbY84VUgCRz/" TargetMode="External"/><Relationship Id="rId24" Type="http://schemas.openxmlformats.org/officeDocument/2006/relationships/hyperlink" Target="https://www.instagram.com/reel/DbjoFw9xS8R/" TargetMode="External"/><Relationship Id="rId25" Type="http://schemas.openxmlformats.org/officeDocument/2006/relationships/hyperlink" Target="https://www.instagram.com/reel/DcaHgBHkv8z/" TargetMode="External"/><Relationship Id="rId26" Type="http://schemas.openxmlformats.org/officeDocument/2006/relationships/hyperlink" Target="https://www.instagram.com/reel/Dbsxb8IhIXA/" TargetMode="External"/><Relationship Id="rId27" Type="http://schemas.openxmlformats.org/officeDocument/2006/relationships/hyperlink" Target="https://www.instagram.com/reel/DbHIs-aSgsS/" TargetMode="External"/><Relationship Id="rId28" Type="http://schemas.openxmlformats.org/officeDocument/2006/relationships/hyperlink" Target="https://www.instagram.com/reel/Da75WdaRCFL/" TargetMode="External"/><Relationship Id="rId29" Type="http://schemas.openxmlformats.org/officeDocument/2006/relationships/hyperlink" Target="https://www.instagram.com/reel/DbNU9a9BHK8/" TargetMode="External"/><Relationship Id="rId30" Type="http://schemas.openxmlformats.org/officeDocument/2006/relationships/hyperlink" Target="https://www.instagram.com/reel/Dbrbk8Kxw4w/" TargetMode="External"/><Relationship Id="rId31" Type="http://schemas.openxmlformats.org/officeDocument/2006/relationships/hyperlink" Target="https://www.instagram.com/reel/DbqZgYdC3Th/" TargetMode="External"/><Relationship Id="rId32" Type="http://schemas.openxmlformats.org/officeDocument/2006/relationships/hyperlink" Target="https://www.instagram.com/reel/DcJW1_5OCmB/" TargetMode="External"/><Relationship Id="rId33" Type="http://schemas.openxmlformats.org/officeDocument/2006/relationships/hyperlink" Target="https://www.instagram.com/reel/Db_AqZjoN_r/" TargetMode="External"/><Relationship Id="rId34" Type="http://schemas.openxmlformats.org/officeDocument/2006/relationships/hyperlink" Target="https://www.instagram.com/reel/DcJTeGCvjdA/" TargetMode="External"/><Relationship Id="rId35" Type="http://schemas.openxmlformats.org/officeDocument/2006/relationships/hyperlink" Target="https://www.instagram.com/reel/DcKTVQWu47A/" TargetMode="External"/><Relationship Id="rId36" Type="http://schemas.openxmlformats.org/officeDocument/2006/relationships/hyperlink" Target="https://www.instagram.com/reel/DbDrqpnDu9d/" TargetMode="External"/><Relationship Id="rId37" Type="http://schemas.openxmlformats.org/officeDocument/2006/relationships/hyperlink" Target="https://www.instagram.com/reel/DbnGvDJJMIb/" TargetMode="External"/><Relationship Id="rId38" Type="http://schemas.openxmlformats.org/officeDocument/2006/relationships/hyperlink" Target="https://www.instagram.com/reel/DcC-2k8zJqP/" TargetMode="External"/><Relationship Id="rId39" Type="http://schemas.openxmlformats.org/officeDocument/2006/relationships/hyperlink" Target="https://www.instagram.com/reel/Da8ZPqps4rM/" TargetMode="External"/><Relationship Id="rId40" Type="http://schemas.openxmlformats.org/officeDocument/2006/relationships/hyperlink" Target="https://www.instagram.com/reel/DbYt14LMoeA/" TargetMode="External"/><Relationship Id="rId41" Type="http://schemas.openxmlformats.org/officeDocument/2006/relationships/hyperlink" Target="https://www.instagram.com/reel/Dcsr0stohJb/" TargetMode="External"/><Relationship Id="rId42" Type="http://schemas.openxmlformats.org/officeDocument/2006/relationships/hyperlink" Target="https://www.instagram.com/reel/Dd-nhdoMBoB/" TargetMode="External"/><Relationship Id="rId43" Type="http://schemas.openxmlformats.org/officeDocument/2006/relationships/hyperlink" Target="https://www.instagram.com/reel/DbTB3wQgppY/" TargetMode="External"/><Relationship Id="rId44" Type="http://schemas.openxmlformats.org/officeDocument/2006/relationships/hyperlink" Target="https://www.instagram.com/reel/DdeQ4Ndq_h_/" TargetMode="External"/><Relationship Id="rId45" Type="http://schemas.openxmlformats.org/officeDocument/2006/relationships/hyperlink" Target="https://www.instagram.com/reel/DcFoz5ch63i/" TargetMode="External"/><Relationship Id="rId46" Type="http://schemas.openxmlformats.org/officeDocument/2006/relationships/hyperlink" Target="https://www.instagram.com/reel/DbYPh8AxEoP/" TargetMode="External"/><Relationship Id="rId47" Type="http://schemas.openxmlformats.org/officeDocument/2006/relationships/hyperlink" Target="https://www.instagram.com/reel/DbvYo5hP02-/" TargetMode="External"/><Relationship Id="rId48" Type="http://schemas.openxmlformats.org/officeDocument/2006/relationships/hyperlink" Target="https://www.instagram.com/reel/DcfEmr4OVFZ/" TargetMode="External"/><Relationship Id="rId49" Type="http://schemas.openxmlformats.org/officeDocument/2006/relationships/hyperlink" Target="https://www.instagram.com/reel/Db2z_8uBAfN/" TargetMode="External"/><Relationship Id="rId50" Type="http://schemas.openxmlformats.org/officeDocument/2006/relationships/hyperlink" Target="https://www.instagram.com/reel/DdM6Cb5Izm_/" TargetMode="External"/><Relationship Id="rId51" Type="http://schemas.openxmlformats.org/officeDocument/2006/relationships/hyperlink" Target="https://www.instagram.com/reel/Dba9mtoNCkx/" TargetMode="External"/><Relationship Id="rId52" Type="http://schemas.openxmlformats.org/officeDocument/2006/relationships/hyperlink" Target="https://www.instagram.com/reel/DaFADRqhg61/" TargetMode="External"/><Relationship Id="rId53" Type="http://schemas.openxmlformats.org/officeDocument/2006/relationships/hyperlink" Target="https://www.instagram.com/reel/DbZ6M1POQd8/" TargetMode="External"/><Relationship Id="rId54" Type="http://schemas.openxmlformats.org/officeDocument/2006/relationships/hyperlink" Target="https://www.instagram.com/reel/Db0wqFCR5CY/" TargetMode="External"/><Relationship Id="rId55" Type="http://schemas.openxmlformats.org/officeDocument/2006/relationships/hyperlink" Target="https://www.instagram.com/reel/DbGwmecqr-l/" TargetMode="External"/><Relationship Id="rId56" Type="http://schemas.openxmlformats.org/officeDocument/2006/relationships/hyperlink" Target="https://www.instagram.com/reel/Db5pAbKzcjZ/" TargetMode="External"/><Relationship Id="rId57" Type="http://schemas.openxmlformats.org/officeDocument/2006/relationships/hyperlink" Target="https://www.instagram.com/reel/Db7r2S2hEaF/" TargetMode="External"/><Relationship Id="rId58" Type="http://schemas.openxmlformats.org/officeDocument/2006/relationships/hyperlink" Target="https://www.instagram.com/reel/Dbvp84OT0fl/" TargetMode="External"/><Relationship Id="rId59" Type="http://schemas.openxmlformats.org/officeDocument/2006/relationships/hyperlink" Target="https://www.instagram.com/reel/DcrH-24xJqR/" TargetMode="External"/><Relationship Id="rId60" Type="http://schemas.openxmlformats.org/officeDocument/2006/relationships/hyperlink" Target="https://www.instagram.com/reel/Dbaw8kltc2v/" TargetMode="External"/><Relationship Id="rId61" Type="http://schemas.openxmlformats.org/officeDocument/2006/relationships/hyperlink" Target="https://www.instagram.com/reel/DdCUrHBsS69/" TargetMode="External"/><Relationship Id="rId62" Type="http://schemas.openxmlformats.org/officeDocument/2006/relationships/hyperlink" Target="https://www.instagram.com/reel/Db_O1_Ypj_1/" TargetMode="External"/><Relationship Id="rId63" Type="http://schemas.openxmlformats.org/officeDocument/2006/relationships/hyperlink" Target="https://www.instagram.com/reel/DbDsu4BAPys/" TargetMode="External"/><Relationship Id="rId64" Type="http://schemas.openxmlformats.org/officeDocument/2006/relationships/hyperlink" Target="https://www.instagram.com/reel/DceS_3uCg_K/" TargetMode="External"/><Relationship Id="rId65" Type="http://schemas.openxmlformats.org/officeDocument/2006/relationships/hyperlink" Target="https://www.instagram.com/reel/Dba0dm-CK7Y/" TargetMode="External"/><Relationship Id="rId66" Type="http://schemas.openxmlformats.org/officeDocument/2006/relationships/hyperlink" Target="https://www.instagram.com/reel/Dc9E6jqpda-/" TargetMode="External"/><Relationship Id="rId67" Type="http://schemas.openxmlformats.org/officeDocument/2006/relationships/hyperlink" Target="https://www.instagram.com/reel/Dd5kTbzTdrf/" TargetMode="External"/><Relationship Id="rId68" Type="http://schemas.openxmlformats.org/officeDocument/2006/relationships/hyperlink" Target="https://www.instagram.com/reel/DcgdeTdN89i/" TargetMode="External"/><Relationship Id="rId69" Type="http://schemas.openxmlformats.org/officeDocument/2006/relationships/hyperlink" Target="https://www.instagram.com/reel/Db0WCUkOUwe/" TargetMode="External"/><Relationship Id="rId70" Type="http://schemas.openxmlformats.org/officeDocument/2006/relationships/hyperlink" Target="https://www.instagram.com/reel/DbtNXYjx4U0/" TargetMode="External"/><Relationship Id="rId71" Type="http://schemas.openxmlformats.org/officeDocument/2006/relationships/hyperlink" Target="https://www.instagram.com/reel/DeUUhkvS8SC/" TargetMode="External"/><Relationship Id="rId72" Type="http://schemas.openxmlformats.org/officeDocument/2006/relationships/hyperlink" Target="https://www.instagram.com/reel/Db5tqZmgFZi/" TargetMode="External"/><Relationship Id="rId73" Type="http://schemas.openxmlformats.org/officeDocument/2006/relationships/hyperlink" Target="https://www.instagram.com/reel/DbL3kepRXBz/" TargetMode="External"/><Relationship Id="rId74" Type="http://schemas.openxmlformats.org/officeDocument/2006/relationships/hyperlink" Target="https://www.instagram.com/reel/DbqdYRZNeHC/" TargetMode="External"/><Relationship Id="rId75" Type="http://schemas.openxmlformats.org/officeDocument/2006/relationships/hyperlink" Target="https://www.instagram.com/reel/DbP2AbTh_tk/" TargetMode="External"/><Relationship Id="rId76" Type="http://schemas.openxmlformats.org/officeDocument/2006/relationships/hyperlink" Target="https://www.instagram.com/reel/Dc1PFXUKyCi/" TargetMode="External"/><Relationship Id="rId77" Type="http://schemas.openxmlformats.org/officeDocument/2006/relationships/hyperlink" Target="https://www.instagram.com/reel/DbpS24qhgIU/" TargetMode="External"/><Relationship Id="rId78" Type="http://schemas.openxmlformats.org/officeDocument/2006/relationships/hyperlink" Target="https://www.instagram.com/reel/Ddin5MfRj-4/" TargetMode="External"/><Relationship Id="rId79" Type="http://schemas.openxmlformats.org/officeDocument/2006/relationships/hyperlink" Target="https://www.instagram.com/reel/DcCH5OTxT_L/" TargetMode="External"/><Relationship Id="rId80" Type="http://schemas.openxmlformats.org/officeDocument/2006/relationships/hyperlink" Target="https://www.instagram.com/reel/DcdRb3Hp6fj/" TargetMode="External"/><Relationship Id="rId81" Type="http://schemas.openxmlformats.org/officeDocument/2006/relationships/hyperlink" Target="https://www.instagram.com/reel/DdWUcbhtFO2/" TargetMode="External"/><Relationship Id="rId82" Type="http://schemas.openxmlformats.org/officeDocument/2006/relationships/hyperlink" Target="https://www.instagram.com/reel/DdmHOUduQ5g/" TargetMode="External"/><Relationship Id="rId83" Type="http://schemas.openxmlformats.org/officeDocument/2006/relationships/hyperlink" Target="https://www.instagram.com/reel/Dbaj1-HI7r5/" TargetMode="External"/><Relationship Id="rId84" Type="http://schemas.openxmlformats.org/officeDocument/2006/relationships/hyperlink" Target="https://www.instagram.com/reel/DbYTssJsLln/" TargetMode="External"/><Relationship Id="rId85" Type="http://schemas.openxmlformats.org/officeDocument/2006/relationships/hyperlink" Target="https://www.instagram.com/reel/DbAdtUITIZV/" TargetMode="External"/><Relationship Id="rId86" Type="http://schemas.openxmlformats.org/officeDocument/2006/relationships/hyperlink" Target="https://www.instagram.com/reel/DbGAS1iTlvK/" TargetMode="External"/><Relationship Id="rId87" Type="http://schemas.openxmlformats.org/officeDocument/2006/relationships/hyperlink" Target="https://www.instagram.com/reel/DcumVGviFgS/" TargetMode="External"/><Relationship Id="rId88" Type="http://schemas.openxmlformats.org/officeDocument/2006/relationships/hyperlink" Target="https://www.instagram.com/reel/DcOoPPFTnjj/" TargetMode="External"/><Relationship Id="rId89" Type="http://schemas.openxmlformats.org/officeDocument/2006/relationships/hyperlink" Target="https://www.instagram.com/reel/DclQsMeK7Ed/" TargetMode="External"/><Relationship Id="rId90" Type="http://schemas.openxmlformats.org/officeDocument/2006/relationships/hyperlink" Target="https://www.instagram.com/reel/Dcv4iVHNANs/" TargetMode="External"/><Relationship Id="rId91" Type="http://schemas.openxmlformats.org/officeDocument/2006/relationships/hyperlink" Target="https://www.instagram.com/reel/DbLnqZTDHNd/" TargetMode="External"/><Relationship Id="rId92" Type="http://schemas.openxmlformats.org/officeDocument/2006/relationships/hyperlink" Target="https://www.instagram.com/reel/DdEKK0ThxVu/" TargetMode="External"/><Relationship Id="rId93" Type="http://schemas.openxmlformats.org/officeDocument/2006/relationships/hyperlink" Target="https://www.instagram.com/reel/Dbl44DJyZCB/" TargetMode="External"/><Relationship Id="rId94" Type="http://schemas.openxmlformats.org/officeDocument/2006/relationships/hyperlink" Target="https://www.instagram.com/reel/DbPCpZvzM0l/" TargetMode="External"/><Relationship Id="rId95" Type="http://schemas.openxmlformats.org/officeDocument/2006/relationships/hyperlink" Target="https://www.instagram.com/reel/DbdpWQkKQTH/" TargetMode="External"/><Relationship Id="rId96" Type="http://schemas.openxmlformats.org/officeDocument/2006/relationships/hyperlink" Target="https://www.instagram.com/reel/DbxNbRAtwMP/" TargetMode="External"/><Relationship Id="rId97" Type="http://schemas.openxmlformats.org/officeDocument/2006/relationships/hyperlink" Target="https://www.instagram.com/reel/DbAzTiqSg8j/" TargetMode="External"/><Relationship Id="rId98" Type="http://schemas.openxmlformats.org/officeDocument/2006/relationships/hyperlink" Target="https://www.instagram.com/reel/DctmTH7MbZ9/" TargetMode="External"/><Relationship Id="rId99" Type="http://schemas.openxmlformats.org/officeDocument/2006/relationships/hyperlink" Target="https://www.instagram.com/reel/DctXXS8DjnA/" TargetMode="External"/><Relationship Id="rId100" Type="http://schemas.openxmlformats.org/officeDocument/2006/relationships/hyperlink" Target="https://www.instagram.com/reel/DciQo00otoc/" TargetMode="External"/><Relationship Id="rId101" Type="http://schemas.openxmlformats.org/officeDocument/2006/relationships/hyperlink" Target="https://www.instagram.com/reel/DcCYxwdRpAa/" TargetMode="External"/><Relationship Id="rId102" Type="http://schemas.openxmlformats.org/officeDocument/2006/relationships/hyperlink" Target="https://www.instagram.com/reel/DcCXsWCyYnH/" TargetMode="External"/><Relationship Id="rId103" Type="http://schemas.openxmlformats.org/officeDocument/2006/relationships/hyperlink" Target="https://www.instagram.com/reel/Da7-NClxOE0/" TargetMode="External"/><Relationship Id="rId104" Type="http://schemas.openxmlformats.org/officeDocument/2006/relationships/hyperlink" Target="https://www.instagram.com/reel/Db73Km_sekv/" TargetMode="External"/><Relationship Id="rId105" Type="http://schemas.openxmlformats.org/officeDocument/2006/relationships/hyperlink" Target="https://www.instagram.com/reel/Dck9JK2EwiA/" TargetMode="External"/><Relationship Id="rId106" Type="http://schemas.openxmlformats.org/officeDocument/2006/relationships/hyperlink" Target="https://www.instagram.com/reel/Db9jrnvgMf_/" TargetMode="External"/><Relationship Id="rId107" Type="http://schemas.openxmlformats.org/officeDocument/2006/relationships/hyperlink" Target="https://www.instagram.com/reel/DbBz9sSgkpb/" TargetMode="External"/><Relationship Id="rId108" Type="http://schemas.openxmlformats.org/officeDocument/2006/relationships/hyperlink" Target="https://www.instagram.com/reel/DbTGpCLP7Ov/" TargetMode="External"/><Relationship Id="rId109" Type="http://schemas.openxmlformats.org/officeDocument/2006/relationships/hyperlink" Target="https://www.instagram.com/reel/Db7S0U5qRD8/" TargetMode="External"/><Relationship Id="rId110" Type="http://schemas.openxmlformats.org/officeDocument/2006/relationships/hyperlink" Target="https://www.instagram.com/reel/DclV1inhp1U/" TargetMode="External"/><Relationship Id="rId111" Type="http://schemas.openxmlformats.org/officeDocument/2006/relationships/hyperlink" Target="https://www.instagram.com/reel/DbbEX_9ugvY/" TargetMode="External"/><Relationship Id="rId112" Type="http://schemas.openxmlformats.org/officeDocument/2006/relationships/hyperlink" Target="https://www.instagram.com/reel/Db9u_76yTWJ/" TargetMode="External"/><Relationship Id="rId113" Type="http://schemas.openxmlformats.org/officeDocument/2006/relationships/hyperlink" Target="https://www.instagram.com/reel/DbdHIuwkYYP/" TargetMode="External"/><Relationship Id="rId114" Type="http://schemas.openxmlformats.org/officeDocument/2006/relationships/hyperlink" Target="https://www.instagram.com/reel/DbPT69cBZqK/" TargetMode="External"/><Relationship Id="rId115" Type="http://schemas.openxmlformats.org/officeDocument/2006/relationships/hyperlink" Target="https://www.instagram.com/reel/DbJYp_OP6M1/" TargetMode="External"/><Relationship Id="rId116" Type="http://schemas.openxmlformats.org/officeDocument/2006/relationships/hyperlink" Target="https://www.instagram.com/reel/DbQ0GzriSSw/" TargetMode="External"/><Relationship Id="rId117" Type="http://schemas.openxmlformats.org/officeDocument/2006/relationships/hyperlink" Target="https://www.instagram.com/reel/Db452tJNgAM/" TargetMode="External"/><Relationship Id="rId118" Type="http://schemas.openxmlformats.org/officeDocument/2006/relationships/hyperlink" Target="https://www.instagram.com/reel/DbTSnDZBQGM/" TargetMode="External"/><Relationship Id="rId119" Type="http://schemas.openxmlformats.org/officeDocument/2006/relationships/hyperlink" Target="https://www.instagram.com/reel/DbAloO8uOhI/" TargetMode="External"/><Relationship Id="rId120" Type="http://schemas.openxmlformats.org/officeDocument/2006/relationships/hyperlink" Target="https://www.instagram.com/reel/DbWFuaZA7z7/" TargetMode="External"/><Relationship Id="rId121" Type="http://schemas.openxmlformats.org/officeDocument/2006/relationships/hyperlink" Target="https://www.instagram.com/reel/Db_oIUFphMZ/" TargetMode="External"/><Relationship Id="rId122" Type="http://schemas.openxmlformats.org/officeDocument/2006/relationships/hyperlink" Target="https://www.instagram.com/reel/DbhX36_phx6/" TargetMode="External"/><Relationship Id="rId123" Type="http://schemas.openxmlformats.org/officeDocument/2006/relationships/hyperlink" Target="https://www.instagram.com/reel/Dbrc-YJxo-b/" TargetMode="External"/><Relationship Id="rId124" Type="http://schemas.openxmlformats.org/officeDocument/2006/relationships/hyperlink" Target="https://www.instagram.com/reel/DbQbyPCJQvD/" TargetMode="External"/><Relationship Id="rId125" Type="http://schemas.openxmlformats.org/officeDocument/2006/relationships/hyperlink" Target="https://www.instagram.com/reel/DclCob7Bb6g/" TargetMode="External"/><Relationship Id="rId126" Type="http://schemas.openxmlformats.org/officeDocument/2006/relationships/hyperlink" Target="https://www.instagram.com/reel/DbR_qwxOrf1/" TargetMode="External"/><Relationship Id="rId127" Type="http://schemas.openxmlformats.org/officeDocument/2006/relationships/hyperlink" Target="https://www.instagram.com/reel/DbTmJ_UAr7z/" TargetMode="External"/><Relationship Id="rId128" Type="http://schemas.openxmlformats.org/officeDocument/2006/relationships/hyperlink" Target="https://www.instagram.com/reel/DbatW3Uh2Ve/" TargetMode="External"/><Relationship Id="rId129" Type="http://schemas.openxmlformats.org/officeDocument/2006/relationships/hyperlink" Target="https://www.instagram.com/reel/DbnvEmaR1L5/" TargetMode="External"/><Relationship Id="rId130" Type="http://schemas.openxmlformats.org/officeDocument/2006/relationships/hyperlink" Target="https://www.instagram.com/reel/Dbv6XhYOAcM/" TargetMode="External"/><Relationship Id="rId131" Type="http://schemas.openxmlformats.org/officeDocument/2006/relationships/hyperlink" Target="https://www.instagram.com/reel/DcR_9jdNoxe/" TargetMode="External"/><Relationship Id="rId132" Type="http://schemas.openxmlformats.org/officeDocument/2006/relationships/hyperlink" Target="https://www.instagram.com/reel/DbeYFh4TbkN/" TargetMode="External"/><Relationship Id="rId133" Type="http://schemas.openxmlformats.org/officeDocument/2006/relationships/hyperlink" Target="https://www.instagram.com/reel/Dbh8j_dScO5/" TargetMode="External"/><Relationship Id="rId134" Type="http://schemas.openxmlformats.org/officeDocument/2006/relationships/hyperlink" Target="https://www.instagram.com/reel/DcUsEL2um_S/" TargetMode="External"/><Relationship Id="rId135" Type="http://schemas.openxmlformats.org/officeDocument/2006/relationships/hyperlink" Target="https://www.instagram.com/reel/DcEXXKGiIQ2/" TargetMode="External"/><Relationship Id="rId136" Type="http://schemas.openxmlformats.org/officeDocument/2006/relationships/hyperlink" Target="https://www.instagram.com/reel/DbdkB9ByqRX/" TargetMode="External"/><Relationship Id="rId137" Type="http://schemas.openxmlformats.org/officeDocument/2006/relationships/hyperlink" Target="https://www.instagram.com/reel/Db6MEBPM33k/" TargetMode="External"/><Relationship Id="rId138" Type="http://schemas.openxmlformats.org/officeDocument/2006/relationships/hyperlink" Target="https://www.instagram.com/reel/Da-xRInqAbg/" TargetMode="External"/><Relationship Id="rId139" Type="http://schemas.openxmlformats.org/officeDocument/2006/relationships/hyperlink" Target="https://www.instagram.com/reel/Dbk4MG8ypXT/" TargetMode="External"/><Relationship Id="rId140" Type="http://schemas.openxmlformats.org/officeDocument/2006/relationships/hyperlink" Target="https://www.instagram.com/reel/DcjOceDKj52/" TargetMode="External"/><Relationship Id="rId141" Type="http://schemas.openxmlformats.org/officeDocument/2006/relationships/hyperlink" Target="https://www.instagram.com/reel/DbpmEFEzK1d/" TargetMode="External"/><Relationship Id="rId142" Type="http://schemas.openxmlformats.org/officeDocument/2006/relationships/hyperlink" Target="https://www.instagram.com/reel/DdTG21BN4ve/" TargetMode="External"/><Relationship Id="rId143" Type="http://schemas.openxmlformats.org/officeDocument/2006/relationships/hyperlink" Target="https://www.instagram.com/reel/Dbq5lx_NeIV/" TargetMode="External"/><Relationship Id="rId144" Type="http://schemas.openxmlformats.org/officeDocument/2006/relationships/hyperlink" Target="https://www.instagram.com/reel/DbOc3u_JpJb/" TargetMode="External"/><Relationship Id="rId145" Type="http://schemas.openxmlformats.org/officeDocument/2006/relationships/hyperlink" Target="https://www.instagram.com/reel/DcZGpAbxHNU/" TargetMode="External"/><Relationship Id="rId146" Type="http://schemas.openxmlformats.org/officeDocument/2006/relationships/hyperlink" Target="https://www.instagram.com/reel/Da8ffLGDnlv/" TargetMode="External"/><Relationship Id="rId147" Type="http://schemas.openxmlformats.org/officeDocument/2006/relationships/hyperlink" Target="https://www.instagram.com/reel/DckjTBvP84i/" TargetMode="External"/><Relationship Id="rId148" Type="http://schemas.openxmlformats.org/officeDocument/2006/relationships/hyperlink" Target="https://www.instagram.com/reel/DbdCGYATNfU/" TargetMode="External"/><Relationship Id="rId149" Type="http://schemas.openxmlformats.org/officeDocument/2006/relationships/hyperlink" Target="https://www.instagram.com/reel/DdCBvNZMrOY/" TargetMode="External"/><Relationship Id="rId150" Type="http://schemas.openxmlformats.org/officeDocument/2006/relationships/hyperlink" Target="https://www.instagram.com/reel/DbbOmwGxNis/" TargetMode="External"/><Relationship Id="rId151" Type="http://schemas.openxmlformats.org/officeDocument/2006/relationships/hyperlink" Target="https://www.instagram.com/reel/Db26XzEMB3d/" TargetMode="External"/><Relationship Id="rId152" Type="http://schemas.openxmlformats.org/officeDocument/2006/relationships/hyperlink" Target="https://www.instagram.com/reel/Dbn4LzlRYgo/" TargetMode="External"/><Relationship Id="rId153" Type="http://schemas.openxmlformats.org/officeDocument/2006/relationships/hyperlink" Target="https://www.instagram.com/reel/DcM8TV2sRIT/" TargetMode="External"/><Relationship Id="rId154" Type="http://schemas.openxmlformats.org/officeDocument/2006/relationships/hyperlink" Target="https://www.instagram.com/reel/DcocuiVSB8i/" TargetMode="External"/><Relationship Id="rId155" Type="http://schemas.openxmlformats.org/officeDocument/2006/relationships/hyperlink" Target="https://www.instagram.com/reel/DcpNAu6BJk9/" TargetMode="External"/><Relationship Id="rId156" Type="http://schemas.openxmlformats.org/officeDocument/2006/relationships/hyperlink" Target="https://www.instagram.com/reel/DcQ_MXYB4Z1/" TargetMode="External"/><Relationship Id="rId157" Type="http://schemas.openxmlformats.org/officeDocument/2006/relationships/hyperlink" Target="https://www.instagram.com/reel/Da6x47korYv/" TargetMode="External"/><Relationship Id="rId158" Type="http://schemas.openxmlformats.org/officeDocument/2006/relationships/hyperlink" Target="https://www.instagram.com/reel/DbdUe5MT99a/" TargetMode="External"/><Relationship Id="rId159" Type="http://schemas.openxmlformats.org/officeDocument/2006/relationships/hyperlink" Target="https://www.instagram.com/reel/DbLKg4pBYmD/" TargetMode="External"/><Relationship Id="rId160" Type="http://schemas.openxmlformats.org/officeDocument/2006/relationships/hyperlink" Target="https://www.instagram.com/reel/DbZD762NrkX/" TargetMode="External"/><Relationship Id="rId161" Type="http://schemas.openxmlformats.org/officeDocument/2006/relationships/hyperlink" Target="https://www.instagram.com/reel/Db1W8_XyieC/" TargetMode="External"/><Relationship Id="rId162" Type="http://schemas.openxmlformats.org/officeDocument/2006/relationships/hyperlink" Target="https://www.instagram.com/reel/DcHB39NTuoM/" TargetMode="External"/><Relationship Id="rId163" Type="http://schemas.openxmlformats.org/officeDocument/2006/relationships/hyperlink" Target="https://www.instagram.com/reel/Db7bfJ9TYda/" TargetMode="External"/><Relationship Id="rId164" Type="http://schemas.openxmlformats.org/officeDocument/2006/relationships/hyperlink" Target="https://www.instagram.com/reel/Db0mxi2qxEW/" TargetMode="External"/><Relationship Id="rId165" Type="http://schemas.openxmlformats.org/officeDocument/2006/relationships/hyperlink" Target="https://www.instagram.com/reel/Db4Q1xtReFF/" TargetMode="External"/><Relationship Id="rId166" Type="http://schemas.openxmlformats.org/officeDocument/2006/relationships/hyperlink" Target="https://www.instagram.com/reel/DbAGJJmOeEO/" TargetMode="External"/><Relationship Id="rId167" Type="http://schemas.openxmlformats.org/officeDocument/2006/relationships/hyperlink" Target="https://www.instagram.com/reel/DaKT9OByawu/" TargetMode="External"/><Relationship Id="rId168" Type="http://schemas.openxmlformats.org/officeDocument/2006/relationships/hyperlink" Target="https://www.instagram.com/reel/Db979kMJpCS/" TargetMode="External"/><Relationship Id="rId169" Type="http://schemas.openxmlformats.org/officeDocument/2006/relationships/hyperlink" Target="https://www.instagram.com/reel/DbHQpliFGFk/" TargetMode="External"/><Relationship Id="rId170" Type="http://schemas.openxmlformats.org/officeDocument/2006/relationships/hyperlink" Target="https://www.instagram.com/reel/DcbgeWkASYX/" TargetMode="External"/><Relationship Id="rId171" Type="http://schemas.openxmlformats.org/officeDocument/2006/relationships/hyperlink" Target="https://www.instagram.com/reel/DbUP8kqhxnk/" TargetMode="External"/><Relationship Id="rId172" Type="http://schemas.openxmlformats.org/officeDocument/2006/relationships/hyperlink" Target="https://www.instagram.com/reel/DbdG3_HzAY8/" TargetMode="External"/><Relationship Id="rId173" Type="http://schemas.openxmlformats.org/officeDocument/2006/relationships/hyperlink" Target="https://www.instagram.com/reel/DbKiMvsPtRE/" TargetMode="External"/><Relationship Id="rId174"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hyperlink" Target="https://www.instagram.com/reel/DeKt5O_Sz9_/" TargetMode="External"/><Relationship Id="rId2" Type="http://schemas.openxmlformats.org/officeDocument/2006/relationships/hyperlink" Target="https://x.com/fromzerotomill/status/1992916088544256502" TargetMode="External"/><Relationship Id="rId3" Type="http://schemas.openxmlformats.org/officeDocument/2006/relationships/hyperlink" Target="https://x.com/fromzerotomill/status/2015743611237785804" TargetMode="External"/><Relationship Id="rId4" Type="http://schemas.openxmlformats.org/officeDocument/2006/relationships/hyperlink" Target="https://x.com/scott_bair/status/2043596395580670401" TargetMode="External"/><Relationship Id="rId5" Type="http://schemas.openxmlformats.org/officeDocument/2006/relationships/hyperlink" Target="https://www.instagram.com/reel/DbpURTwRL_W/" TargetMode="External"/><Relationship Id="rId6" Type="http://schemas.openxmlformats.org/officeDocument/2006/relationships/hyperlink" Target="https://www.instagram.com/reel/DYo8Da5PPe3/" TargetMode="External"/><Relationship Id="rId7" Type="http://schemas.openxmlformats.org/officeDocument/2006/relationships/hyperlink" Target="https://x.com/om_patel5/status/2040295631793635465" TargetMode="External"/><Relationship Id="rId8" Type="http://schemas.openxmlformats.org/officeDocument/2006/relationships/hyperlink" Target="https://www.instagram.com/reel/DcD3bofMQF1/" TargetMode="External"/><Relationship Id="rId9" Type="http://schemas.openxmlformats.org/officeDocument/2006/relationships/hyperlink" Target="https://www.linkedin.com/feed/update/urn:li:activity:7455938006865297408" TargetMode="External"/><Relationship Id="rId10" Type="http://schemas.openxmlformats.org/officeDocument/2006/relationships/hyperlink" Target="https://www.instagram.com/reel/DbOTspij6yZ/" TargetMode="External"/><Relationship Id="rId11" Type="http://schemas.openxmlformats.org/officeDocument/2006/relationships/hyperlink" Target="https://www.instagram.com/reel/Db8S4BmJlfM/" TargetMode="External"/><Relationship Id="rId12" Type="http://schemas.openxmlformats.org/officeDocument/2006/relationships/hyperlink" Target="https://www.instagram.com/reel/Ddl5gR1xz9b/" TargetMode="External"/><Relationship Id="rId13" Type="http://schemas.openxmlformats.org/officeDocument/2006/relationships/hyperlink" Target="https://www.instagram.com/reel/DYN1ENyPIMJ/" TargetMode="External"/><Relationship Id="rId14" Type="http://schemas.openxmlformats.org/officeDocument/2006/relationships/hyperlink" Target="https://www.linkedin.com/feed/update/urn:li:activity:7452393142810611712" TargetMode="External"/>
</Relationships>
</file>

<file path=xl/worksheets/_rels/sheet9.xml.rels><?xml version="1.0" encoding="UTF-8"?>
<Relationships xmlns="http://schemas.openxmlformats.org/package/2006/relationships"><Relationship Id="rId1" Type="http://schemas.openxmlformats.org/officeDocument/2006/relationships/hyperlink" Target="https://x.com/fromzerotomill/status/2015743611237785804" TargetMode="External"/><Relationship Id="rId2" Type="http://schemas.openxmlformats.org/officeDocument/2006/relationships/hyperlink" Target="https://www.instagram.com/reel/DWb9bMukmwe/" TargetMode="External"/><Relationship Id="rId3" Type="http://schemas.openxmlformats.org/officeDocument/2006/relationships/hyperlink" Target="https://x.com/MichLieben/status/2039432665078923529" TargetMode="External"/><Relationship Id="rId4" Type="http://schemas.openxmlformats.org/officeDocument/2006/relationships/hyperlink" Target="https://x.com/NickB2005/status/2095121648710037913" TargetMode="External"/><Relationship Id="rId5" Type="http://schemas.openxmlformats.org/officeDocument/2006/relationships/hyperlink" Target="https://www.linkedin.com/feed/update/urn:li:activity:7421567657579196416" TargetMode="External"/><Relationship Id="rId6" Type="http://schemas.openxmlformats.org/officeDocument/2006/relationships/hyperlink" Target="https://x.com/fin465/status/2056468083271926258" TargetMode="External"/><Relationship Id="rId7" Type="http://schemas.openxmlformats.org/officeDocument/2006/relationships/hyperlink" Target="https://x.com/TheMattBerman/status/2027220216409723296" TargetMode="External"/><Relationship Id="rId8" Type="http://schemas.openxmlformats.org/officeDocument/2006/relationships/hyperlink" Target="https://x.com/ecomchigga/status/1990191674086039953" TargetMode="External"/><Relationship Id="rId9" Type="http://schemas.openxmlformats.org/officeDocument/2006/relationships/hyperlink" Target="https://x.com/marlowxbt/status/2064014528401277174" TargetMode="External"/><Relationship Id="rId10" Type="http://schemas.openxmlformats.org/officeDocument/2006/relationships/hyperlink" Target="https://www.instagram.com/reel/Db_hVF_P5lF/" TargetMode="External"/><Relationship Id="rId11" Type="http://schemas.openxmlformats.org/officeDocument/2006/relationships/hyperlink" Target="https://www.instagram.com/reel/DeNIahOMks5/" TargetMode="External"/><Relationship Id="rId12" Type="http://schemas.openxmlformats.org/officeDocument/2006/relationships/hyperlink" Target="https://www.linkedin.com/feed/update/urn:li:activity:7388844603602280448" TargetMode="External"/><Relationship Id="rId13" Type="http://schemas.openxmlformats.org/officeDocument/2006/relationships/hyperlink" Target="https://x.com/WorkflowWhisper/status/2012590119929172319" TargetMode="External"/><Relationship Id="rId14" Type="http://schemas.openxmlformats.org/officeDocument/2006/relationships/hyperlink" Target="https://x.com/theroborourke/status/1990343987148775791" TargetMode="External"/><Relationship Id="rId15" Type="http://schemas.openxmlformats.org/officeDocument/2006/relationships/hyperlink" Target="https://x.com/scaling_shields/status/2014306814054244421" TargetMode="External"/><Relationship Id="rId16" Type="http://schemas.openxmlformats.org/officeDocument/2006/relationships/hyperlink" Target="https://www.instagram.com/reel/Dcy173UgAVR/" TargetMode="External"/><Relationship Id="rId17" Type="http://schemas.openxmlformats.org/officeDocument/2006/relationships/hyperlink" Target="https://www.linkedin.com/feed/update/urn:li:activity:7455938006865297408" TargetMode="External"/><Relationship Id="rId18" Type="http://schemas.openxmlformats.org/officeDocument/2006/relationships/hyperlink" Target="https://x.com/romanbuildsaas/status/2047825608030494758" TargetMode="External"/><Relationship Id="rId19" Type="http://schemas.openxmlformats.org/officeDocument/2006/relationships/hyperlink" Target="https://www.instagram.com/reel/DUps_9Ak1Ld/" TargetMode="External"/><Relationship Id="rId20" Type="http://schemas.openxmlformats.org/officeDocument/2006/relationships/hyperlink" Target="https://www.linkedin.com/feed/update/urn:li:activity:7385915021148438528" TargetMode="External"/><Relationship Id="rId21" Type="http://schemas.openxmlformats.org/officeDocument/2006/relationships/hyperlink" Target="https://www.instagram.com/reel/DbTSnDZBQGM/" TargetMode="External"/><Relationship Id="rId22" Type="http://schemas.openxmlformats.org/officeDocument/2006/relationships/hyperlink" Target="https://www.linkedin.com/feed/update/urn:li:activity:7389341155429117952" TargetMode="External"/><Relationship Id="rId23" Type="http://schemas.openxmlformats.org/officeDocument/2006/relationships/hyperlink" Target="https://www.linkedin.com/feed/update/urn:li:activity:7396226068027969537" TargetMode="External"/><Relationship Id="rId24" Type="http://schemas.openxmlformats.org/officeDocument/2006/relationships/hyperlink" Target="https://www.instagram.com/reel/DV2q3zoErC3/" TargetMode="External"/><Relationship Id="rId25" Type="http://schemas.openxmlformats.org/officeDocument/2006/relationships/hyperlink" Target="https://www.linkedin.com/feed/update/urn:li:activity:7499200540862599183" TargetMode="External"/><Relationship Id="rId26" Type="http://schemas.openxmlformats.org/officeDocument/2006/relationships/hyperlink" Target="https://x.com/imsehej/status/2007850577326456879" TargetMode="External"/><Relationship Id="rId27" Type="http://schemas.openxmlformats.org/officeDocument/2006/relationships/hyperlink" Target="https://x.com/paolo_scales/status/2091961906210967746" TargetMode="External"/><Relationship Id="rId28" Type="http://schemas.openxmlformats.org/officeDocument/2006/relationships/hyperlink" Target="https://www.instagram.com/reel/DYj-FLTxrLH/" TargetMode="External"/><Relationship Id="rId29" Type="http://schemas.openxmlformats.org/officeDocument/2006/relationships/hyperlink" Target="https://www.instagram.com/reel/DcJW1_5OCmB/" TargetMode="External"/><Relationship Id="rId30" Type="http://schemas.openxmlformats.org/officeDocument/2006/relationships/hyperlink" Target="https://www.linkedin.com/feed/update/urn:li:activity:7406713660355751936" TargetMode="External"/><Relationship Id="rId31" Type="http://schemas.openxmlformats.org/officeDocument/2006/relationships/hyperlink" Target="https://www.linkedin.com/feed/update/urn:li:activity:7391096862537314305" TargetMode="External"/><Relationship Id="rId32" Type="http://schemas.openxmlformats.org/officeDocument/2006/relationships/hyperlink" Target="https://www.linkedin.com/feed/update/urn:li:activity:7419636145778688000" TargetMode="External"/><Relationship Id="rId33" Type="http://schemas.openxmlformats.org/officeDocument/2006/relationships/hyperlink" Target="https://www.instagram.com/reel/DdMX_byhlDb/" TargetMode="External"/><Relationship Id="rId34" Type="http://schemas.openxmlformats.org/officeDocument/2006/relationships/hyperlink" Target="https://www.linkedin.com/feed/update/urn:li:activity:7500522995900256257" TargetMode="External"/><Relationship Id="rId35" Type="http://schemas.openxmlformats.org/officeDocument/2006/relationships/hyperlink" Target="https://x.com/ConnorAbene/status/2101380828399882659" TargetMode="External"/><Relationship Id="rId36" Type="http://schemas.openxmlformats.org/officeDocument/2006/relationships/hyperlink" Target="https://x.com/blvckledge/status/2023652418916135293" TargetMode="External"/><Relationship Id="rId37" Type="http://schemas.openxmlformats.org/officeDocument/2006/relationships/hyperlink" Target="https://www.linkedin.com/feed/update/urn:li:activity:7509208477894975488" TargetMode="External"/><Relationship Id="rId38" Type="http://schemas.openxmlformats.org/officeDocument/2006/relationships/hyperlink" Target="https://x.com/leonabboud/status/2008556160962752656" TargetMode="External"/><Relationship Id="rId39" Type="http://schemas.openxmlformats.org/officeDocument/2006/relationships/hyperlink" Target="https://www.linkedin.com/feed/update/urn:li:activity:7503345290075250688" TargetMode="External"/><Relationship Id="rId40" Type="http://schemas.openxmlformats.org/officeDocument/2006/relationships/hyperlink" Target="https://www.linkedin.com/feed/update/urn:li:activity:7404843326744453121" TargetMode="External"/><Relationship Id="rId41" Type="http://schemas.openxmlformats.org/officeDocument/2006/relationships/hyperlink" Target="https://www.linkedin.com/feed/update/urn:li:activity:7422187161350840320" TargetMode="External"/><Relationship Id="rId42" Type="http://schemas.openxmlformats.org/officeDocument/2006/relationships/hyperlink" Target="https://www.linkedin.com/feed/update/urn:li:activity:7478766175548702721" TargetMode="External"/><Relationship Id="rId43" Type="http://schemas.openxmlformats.org/officeDocument/2006/relationships/hyperlink" Target="https://x.com/andreysuperior/status/2059992370414796888" TargetMode="External"/><Relationship Id="rId44" Type="http://schemas.openxmlformats.org/officeDocument/2006/relationships/hyperlink" Target="https://x.com/codyschneider/status/2094893065202803014" TargetMode="External"/><Relationship Id="rId45" Type="http://schemas.openxmlformats.org/officeDocument/2006/relationships/hyperlink" Target="https://www.linkedin.com/feed/update/urn:li:activity:7414238930080030720" TargetMode="External"/><Relationship Id="rId46" Type="http://schemas.openxmlformats.org/officeDocument/2006/relationships/hyperlink" Target="https://www.instagram.com/reel/DeKt5O_Sz9_/" TargetMode="External"/><Relationship Id="rId47" Type="http://schemas.openxmlformats.org/officeDocument/2006/relationships/hyperlink" Target="https://www.instagram.com/reel/DYo8Da5PPe3/" TargetMode="External"/><Relationship Id="rId48" Type="http://schemas.openxmlformats.org/officeDocument/2006/relationships/hyperlink" Target="https://www.instagram.com/reel/DeIN6T6zB0G/" TargetMode="External"/><Relationship Id="rId49" Type="http://schemas.openxmlformats.org/officeDocument/2006/relationships/hyperlink" Target="https://x.com/MarketingMax/status/2019410776201506904" TargetMode="External"/><Relationship Id="rId50" Type="http://schemas.openxmlformats.org/officeDocument/2006/relationships/hyperlink" Target="https://x.com/FinancialPhys/status/2079933243650982238" TargetMode="External"/><Relationship Id="rId51" Type="http://schemas.openxmlformats.org/officeDocument/2006/relationships/hyperlink" Target="https://www.instagram.com/reel/Db58c4nCOXN/" TargetMode="External"/><Relationship Id="rId52" Type="http://schemas.openxmlformats.org/officeDocument/2006/relationships/hyperlink" Target="https://www.instagram.com/reel/DcGk3BOI4_r/" TargetMode="External"/><Relationship Id="rId53" Type="http://schemas.openxmlformats.org/officeDocument/2006/relationships/hyperlink" Target="https://www.linkedin.com/feed/update/urn:li:activity:7447674013230841856" TargetMode="External"/><Relationship Id="rId54" Type="http://schemas.openxmlformats.org/officeDocument/2006/relationships/hyperlink" Target="https://www.instagram.com/reel/DYE9F6qN8uX/" TargetMode="External"/><Relationship Id="rId55" Type="http://schemas.openxmlformats.org/officeDocument/2006/relationships/hyperlink" Target="https://x.com/boomerrbryan/status/2105927263208570959" TargetMode="External"/><Relationship Id="rId56" Type="http://schemas.openxmlformats.org/officeDocument/2006/relationships/hyperlink" Target="https://www.instagram.com/reel/DRbhwTODVM1/" TargetMode="External"/><Relationship Id="rId57" Type="http://schemas.openxmlformats.org/officeDocument/2006/relationships/hyperlink" Target="https://x.com/Hartdrawss/status/2029852118723551289" TargetMode="External"/><Relationship Id="rId58" Type="http://schemas.openxmlformats.org/officeDocument/2006/relationships/hyperlink" Target="https://www.instagram.com/reel/Db8S4BmJlfM/" TargetMode="External"/><Relationship Id="rId59" Type="http://schemas.openxmlformats.org/officeDocument/2006/relationships/hyperlink" Target="https://x.com/theo_jil/status/2040494043713425822" TargetMode="External"/><Relationship Id="rId60" Type="http://schemas.openxmlformats.org/officeDocument/2006/relationships/hyperlink" Target="https://www.instagram.com/reel/Ddl5gR1xz9b/" TargetMode="External"/><Relationship Id="rId61" Type="http://schemas.openxmlformats.org/officeDocument/2006/relationships/hyperlink" Target="https://www.instagram.com/reel/DcD3bofMQF1/" TargetMode="External"/><Relationship Id="rId62" Type="http://schemas.openxmlformats.org/officeDocument/2006/relationships/hyperlink" Target="https://www.instagram.com/reel/DW8TbCSDWOZ/" TargetMode="External"/><Relationship Id="rId63" Type="http://schemas.openxmlformats.org/officeDocument/2006/relationships/hyperlink" Target="https://x.com/scott_bair/status/2043596395580670401" TargetMode="External"/><Relationship Id="rId64" Type="http://schemas.openxmlformats.org/officeDocument/2006/relationships/hyperlink" Target="https://www.instagram.com/reel/DcSBJPCogrr/" TargetMode="External"/><Relationship Id="rId65" Type="http://schemas.openxmlformats.org/officeDocument/2006/relationships/hyperlink" Target="https://www.linkedin.com/feed/update/urn:li:activity:7424882262791598080" TargetMode="External"/><Relationship Id="rId66" Type="http://schemas.openxmlformats.org/officeDocument/2006/relationships/hyperlink" Target="https://x.com/sourfraser/status/2035454870204100810" TargetMode="External"/><Relationship Id="rId67" Type="http://schemas.openxmlformats.org/officeDocument/2006/relationships/hyperlink" Target="https://www.linkedin.com/feed/update/urn:li:activity:7470938105974362112" TargetMode="External"/><Relationship Id="rId68" Type="http://schemas.openxmlformats.org/officeDocument/2006/relationships/hyperlink" Target="https://x.com/CartuneNetwerk/status/2063291410049065307" TargetMode="External"/><Relationship Id="rId69" Type="http://schemas.openxmlformats.org/officeDocument/2006/relationships/hyperlink" Target="https://x.com/om_patel5/status/2040295631793635465" TargetMode="External"/><Relationship Id="rId70" Type="http://schemas.openxmlformats.org/officeDocument/2006/relationships/hyperlink" Target="https://www.instagram.com/reel/DbOTspij6yZ/" TargetMode="External"/><Relationship Id="rId71" Type="http://schemas.openxmlformats.org/officeDocument/2006/relationships/hyperlink" Target="https://www.instagram.com/reel/DbpURTwRL_W/" TargetMode="External"/><Relationship Id="rId72" Type="http://schemas.openxmlformats.org/officeDocument/2006/relationships/hyperlink" Target="https://www.instagram.com/reel/Dcbe_AuOO3L/" TargetMode="External"/><Relationship Id="rId73" Type="http://schemas.openxmlformats.org/officeDocument/2006/relationships/hyperlink" Target="https://www.instagram.com/p/DThOGx3gZ6T/" TargetMode="External"/><Relationship Id="rId74" Type="http://schemas.openxmlformats.org/officeDocument/2006/relationships/hyperlink" Target="https://www.instagram.com/reel/DclVkO-ym1J/" TargetMode="External"/><Relationship Id="rId75" Type="http://schemas.openxmlformats.org/officeDocument/2006/relationships/hyperlink" Target="https://x.com/JamesEbringer/status/1993780615901003863" TargetMode="External"/><Relationship Id="rId76" Type="http://schemas.openxmlformats.org/officeDocument/2006/relationships/hyperlink" Target="https://x.com/lochan_twt/status/2101990918002012357" TargetMode="External"/><Relationship Id="rId77" Type="http://schemas.openxmlformats.org/officeDocument/2006/relationships/hyperlink" Target="https://x.com/TimStodz/status/2108161648506609947" TargetMode="External"/><Relationship Id="rId78" Type="http://schemas.openxmlformats.org/officeDocument/2006/relationships/hyperlink" Target="https://x.com/RetentionAdam/status/2016190513251287229" TargetMode="External"/><Relationship Id="rId79" Type="http://schemas.openxmlformats.org/officeDocument/2006/relationships/hyperlink" Target="https://www.linkedin.com/feed/update/urn:li:activity:7396917745914781696" TargetMode="External"/><Relationship Id="rId80" Type="http://schemas.openxmlformats.org/officeDocument/2006/relationships/hyperlink" Target="https://x.com/TechnicalBben/status/2003721429435445579" TargetMode="External"/><Relationship Id="rId81" Type="http://schemas.openxmlformats.org/officeDocument/2006/relationships/hyperlink" Target="https://www.instagram.com/reel/DbjoFw9xS8R/" TargetMode="External"/><Relationship Id="rId82" Type="http://schemas.openxmlformats.org/officeDocument/2006/relationships/hyperlink" Target="https://www.instagram.com/reel/DblbBF0gJ8g/" TargetMode="External"/><Relationship Id="rId83" Type="http://schemas.openxmlformats.org/officeDocument/2006/relationships/hyperlink" Target="https://x.com/jonnym1ller/status/2096786649149825058" TargetMode="External"/><Relationship Id="rId84" Type="http://schemas.openxmlformats.org/officeDocument/2006/relationships/hyperlink" Target="https://www.instagram.com/reel/DdL7H1QFDHh/" TargetMode="External"/><Relationship Id="rId85" Type="http://schemas.openxmlformats.org/officeDocument/2006/relationships/hyperlink" Target="https://x.com/ujjwalscript/status/2010221244646666335" TargetMode="External"/><Relationship Id="rId86" Type="http://schemas.openxmlformats.org/officeDocument/2006/relationships/hyperlink" Target="https://www.instagram.com/reel/DbY84VUgCRz/" TargetMode="External"/><Relationship Id="rId87" Type="http://schemas.openxmlformats.org/officeDocument/2006/relationships/hyperlink" Target="https://x.com/parsedpatterns/status/2006786675741962478" TargetMode="External"/><Relationship Id="rId88" Type="http://schemas.openxmlformats.org/officeDocument/2006/relationships/hyperlink" Target="https://x.com/cailynyongyong/status/2043832596304670749" TargetMode="External"/><Relationship Id="rId89" Type="http://schemas.openxmlformats.org/officeDocument/2006/relationships/hyperlink" Target="https://x.com/TechSalesGuy/status/2092971899659681881" TargetMode="External"/><Relationship Id="rId90" Type="http://schemas.openxmlformats.org/officeDocument/2006/relationships/hyperlink" Target="https://www.instagram.com/reel/DbYHkLmtIBv/" TargetMode="External"/><Relationship Id="rId91" Type="http://schemas.openxmlformats.org/officeDocument/2006/relationships/hyperlink" Target="https://x.com/mikefutia/status/2047019993439850631" TargetMode="External"/><Relationship Id="rId92" Type="http://schemas.openxmlformats.org/officeDocument/2006/relationships/hyperlink" Target="https://www.instagram.com/reel/DWQxe0VjcyN/" TargetMode="External"/><Relationship Id="rId93" Type="http://schemas.openxmlformats.org/officeDocument/2006/relationships/hyperlink" Target="https://x.com/ianwong_/status/2090454226011091033" TargetMode="External"/><Relationship Id="rId94" Type="http://schemas.openxmlformats.org/officeDocument/2006/relationships/hyperlink" Target="https://www.linkedin.com/feed/update/urn:li:activity:7507787563672317953" TargetMode="External"/><Relationship Id="rId95" Type="http://schemas.openxmlformats.org/officeDocument/2006/relationships/hyperlink" Target="https://www.instagram.com/reel/DZMEp61IK8J/" TargetMode="External"/><Relationship Id="rId96" Type="http://schemas.openxmlformats.org/officeDocument/2006/relationships/hyperlink" Target="https://www.instagram.com/reel/DdmrqTOiOtL/" TargetMode="External"/><Relationship Id="rId97" Type="http://schemas.openxmlformats.org/officeDocument/2006/relationships/hyperlink" Target="https://www.linkedin.com/feed/update/urn:li:activity:7507790049237897216" TargetMode="External"/><Relationship Id="rId98" Type="http://schemas.openxmlformats.org/officeDocument/2006/relationships/hyperlink" Target="https://www.linkedin.com/feed/update/urn:li:activity:7511422825266688001" TargetMode="External"/><Relationship Id="rId99" Type="http://schemas.openxmlformats.org/officeDocument/2006/relationships/hyperlink" Target="https://www.instagram.com/reel/DcR2EJ_Rmbp/" TargetMode="External"/><Relationship Id="rId100" Type="http://schemas.openxmlformats.org/officeDocument/2006/relationships/hyperlink" Target="https://www.linkedin.com/feed/update/urn:li:activity:7495181952933715969" TargetMode="External"/><Relationship Id="rId101" Type="http://schemas.openxmlformats.org/officeDocument/2006/relationships/hyperlink" Target="https://www.instagram.com/reel/Dbsxb8IhIXA/" TargetMode="External"/><Relationship Id="rId102" Type="http://schemas.openxmlformats.org/officeDocument/2006/relationships/hyperlink" Target="https://www.instagram.com/reel/Ddr6DBaRrL7/" TargetMode="External"/><Relationship Id="rId103" Type="http://schemas.openxmlformats.org/officeDocument/2006/relationships/hyperlink" Target="https://x.com/jasoncfox/status/2005610481969504723" TargetMode="External"/><Relationship Id="rId104" Type="http://schemas.openxmlformats.org/officeDocument/2006/relationships/hyperlink" Target="https://www.instagram.com/reel/DbDrqpnDu9d/" TargetMode="External"/><Relationship Id="rId105" Type="http://schemas.openxmlformats.org/officeDocument/2006/relationships/hyperlink" Target="https://www.linkedin.com/feed/update/urn:li:activity:7507859803386511361" TargetMode="External"/><Relationship Id="rId106" Type="http://schemas.openxmlformats.org/officeDocument/2006/relationships/hyperlink" Target="https://www.instagram.com/reel/DbHIs-aSgsS/" TargetMode="External"/><Relationship Id="rId107" Type="http://schemas.openxmlformats.org/officeDocument/2006/relationships/hyperlink" Target="https://www.linkedin.com/feed/update/urn:li:activity:7414298455659167744" TargetMode="External"/><Relationship Id="rId108" Type="http://schemas.openxmlformats.org/officeDocument/2006/relationships/hyperlink" Target="https://www.linkedin.com/feed/update/urn:li:activity:7483506353366515712" TargetMode="External"/><Relationship Id="rId109" Type="http://schemas.openxmlformats.org/officeDocument/2006/relationships/hyperlink" Target="https://www.instagram.com/reel/DbNU9a9BHK8/" TargetMode="External"/><Relationship Id="rId110" Type="http://schemas.openxmlformats.org/officeDocument/2006/relationships/hyperlink" Target="https://www.instagram.com/reel/Dbrbk8Kxw4w/" TargetMode="External"/><Relationship Id="rId111" Type="http://schemas.openxmlformats.org/officeDocument/2006/relationships/hyperlink" Target="https://x.com/VibeMarketer_/status/2010413892380373256" TargetMode="External"/><Relationship Id="rId112" Type="http://schemas.openxmlformats.org/officeDocument/2006/relationships/hyperlink" Target="https://www.instagram.com/reel/Db_AqZjoN_r/" TargetMode="External"/><Relationship Id="rId113" Type="http://schemas.openxmlformats.org/officeDocument/2006/relationships/hyperlink" Target="https://www.instagram.com/reel/DcriHRDS7Gt/" TargetMode="External"/><Relationship Id="rId114" Type="http://schemas.openxmlformats.org/officeDocument/2006/relationships/hyperlink" Target="https://www.instagram.com/reel/Dc9onC7h9pS/" TargetMode="External"/><Relationship Id="rId115" Type="http://schemas.openxmlformats.org/officeDocument/2006/relationships/hyperlink" Target="https://www.linkedin.com/feed/update/urn:li:activity:7430219623037407232" TargetMode="External"/><Relationship Id="rId116" Type="http://schemas.openxmlformats.org/officeDocument/2006/relationships/hyperlink" Target="https://www.instagram.com/reel/DU_mBxxDPDR/" TargetMode="External"/><Relationship Id="rId117" Type="http://schemas.openxmlformats.org/officeDocument/2006/relationships/hyperlink" Target="https://x.com/sheilatebra/status/2048980174742368547" TargetMode="External"/><Relationship Id="rId118" Type="http://schemas.openxmlformats.org/officeDocument/2006/relationships/hyperlink" Target="https://www.instagram.com/reel/DchttGrpIa6/" TargetMode="External"/><Relationship Id="rId119" Type="http://schemas.openxmlformats.org/officeDocument/2006/relationships/hyperlink" Target="https://x.com/frederickjames/status/2091503229146194334" TargetMode="External"/><Relationship Id="rId120" Type="http://schemas.openxmlformats.org/officeDocument/2006/relationships/hyperlink" Target="https://www.instagram.com/reel/DcQ-uJJMWqf/" TargetMode="External"/><Relationship Id="rId121" Type="http://schemas.openxmlformats.org/officeDocument/2006/relationships/hyperlink" Target="https://www.instagram.com/reel/DVqcT1hiKHL/" TargetMode="External"/><Relationship Id="rId122" Type="http://schemas.openxmlformats.org/officeDocument/2006/relationships/hyperlink" Target="https://x.com/NoahEpstein_/status/2001668932495868139" TargetMode="External"/><Relationship Id="rId123" Type="http://schemas.openxmlformats.org/officeDocument/2006/relationships/hyperlink" Target="https://www.linkedin.com/feed/update/urn:li:activity:7508299114216968193" TargetMode="External"/><Relationship Id="rId124" Type="http://schemas.openxmlformats.org/officeDocument/2006/relationships/hyperlink" Target="https://x.com/georgeclem/status/2013251109268418603" TargetMode="External"/><Relationship Id="rId125" Type="http://schemas.openxmlformats.org/officeDocument/2006/relationships/hyperlink" Target="https://www.linkedin.com/feed/update/urn:li:activity:7500925185454170113" TargetMode="External"/><Relationship Id="rId126" Type="http://schemas.openxmlformats.org/officeDocument/2006/relationships/hyperlink" Target="https://www.instagram.com/reel/DWEsYaiDrsm/" TargetMode="External"/><Relationship Id="rId127" Type="http://schemas.openxmlformats.org/officeDocument/2006/relationships/hyperlink" Target="https://www.instagram.com/reel/DbnGvDJJMIb/" TargetMode="External"/><Relationship Id="rId128" Type="http://schemas.openxmlformats.org/officeDocument/2006/relationships/hyperlink" Target="https://www.instagram.com/reel/DQjmVyqDKPa/" TargetMode="External"/><Relationship Id="rId129" Type="http://schemas.openxmlformats.org/officeDocument/2006/relationships/hyperlink" Target="https://www.linkedin.com/feed/update/urn:li:activity:7462731940933193728" TargetMode="External"/><Relationship Id="rId130" Type="http://schemas.openxmlformats.org/officeDocument/2006/relationships/hyperlink" Target="https://www.instagram.com/reel/DZF1FpUvcRk/" TargetMode="External"/><Relationship Id="rId131" Type="http://schemas.openxmlformats.org/officeDocument/2006/relationships/hyperlink" Target="https://www.instagram.com/reel/Dcgp5WGs_H9/" TargetMode="External"/><Relationship Id="rId132" Type="http://schemas.openxmlformats.org/officeDocument/2006/relationships/hyperlink" Target="https://www.linkedin.com/feed/update/urn:li:activity:7448349913706508288" TargetMode="External"/><Relationship Id="rId133" Type="http://schemas.openxmlformats.org/officeDocument/2006/relationships/hyperlink" Target="https://www.linkedin.com/feed/update/urn:li:activity:7422213698724724736" TargetMode="External"/><Relationship Id="rId134" Type="http://schemas.openxmlformats.org/officeDocument/2006/relationships/hyperlink" Target="https://www.linkedin.com/feed/update/urn:li:activity:7510284697445466112" TargetMode="External"/><Relationship Id="rId135" Type="http://schemas.openxmlformats.org/officeDocument/2006/relationships/hyperlink" Target="https://www.linkedin.com/feed/update/urn:li:activity:7433779064005562368" TargetMode="External"/><Relationship Id="rId136" Type="http://schemas.openxmlformats.org/officeDocument/2006/relationships/hyperlink" Target="https://www.linkedin.com/feed/update/urn:li:activity:7388938270853935104" TargetMode="External"/><Relationship Id="rId137" Type="http://schemas.openxmlformats.org/officeDocument/2006/relationships/hyperlink" Target="https://www.instagram.com/reel/Da8ZPqps4rM/" TargetMode="External"/><Relationship Id="rId138" Type="http://schemas.openxmlformats.org/officeDocument/2006/relationships/hyperlink" Target="https://x.com/Zephyr_hg/status/2046201083916161190" TargetMode="External"/><Relationship Id="rId139" Type="http://schemas.openxmlformats.org/officeDocument/2006/relationships/hyperlink" Target="https://x.com/TheVictorOkafor/status/2079952564271899091" TargetMode="External"/><Relationship Id="rId140" Type="http://schemas.openxmlformats.org/officeDocument/2006/relationships/hyperlink" Target="https://www.linkedin.com/feed/update/urn:li:activity:7403793290204180480" TargetMode="External"/><Relationship Id="rId141" Type="http://schemas.openxmlformats.org/officeDocument/2006/relationships/hyperlink" Target="https://x.com/coreyganim/status/2022689786339774481" TargetMode="External"/><Relationship Id="rId142" Type="http://schemas.openxmlformats.org/officeDocument/2006/relationships/hyperlink" Target="https://x.com/JosephKChoi/status/2054606103778898391" TargetMode="External"/><Relationship Id="rId143" Type="http://schemas.openxmlformats.org/officeDocument/2006/relationships/hyperlink" Target="https://www.instagram.com/reel/DT8emAViXDw/" TargetMode="External"/><Relationship Id="rId144" Type="http://schemas.openxmlformats.org/officeDocument/2006/relationships/hyperlink" Target="https://www.instagram.com/reel/DbYt14LMoeA/" TargetMode="External"/><Relationship Id="rId145" Type="http://schemas.openxmlformats.org/officeDocument/2006/relationships/hyperlink" Target="https://x.com/lukepierceops/status/2110899653717737517" TargetMode="External"/><Relationship Id="rId146" Type="http://schemas.openxmlformats.org/officeDocument/2006/relationships/hyperlink" Target="https://x.com/freddiexpott/status/2108739030569361744" TargetMode="External"/><Relationship Id="rId147" Type="http://schemas.openxmlformats.org/officeDocument/2006/relationships/hyperlink" Target="https://x.com/danielfazio/status/2092685995686666242" TargetMode="External"/><Relationship Id="rId148" Type="http://schemas.openxmlformats.org/officeDocument/2006/relationships/hyperlink" Target="https://www.instagram.com/reel/DcC-2k8zJqP/" TargetMode="External"/><Relationship Id="rId149" Type="http://schemas.openxmlformats.org/officeDocument/2006/relationships/hyperlink" Target="https://www.linkedin.com/feed/update/urn:li:activity:7513146223147687936" TargetMode="External"/><Relationship Id="rId150" Type="http://schemas.openxmlformats.org/officeDocument/2006/relationships/hyperlink" Target="https://www.linkedin.com/feed/update/urn:li:activity:7445862326324572160" TargetMode="External"/><Relationship Id="rId151" Type="http://schemas.openxmlformats.org/officeDocument/2006/relationships/hyperlink" Target="https://www.linkedin.com/feed/update/urn:li:activity:7497619778023428096" TargetMode="External"/><Relationship Id="rId152" Type="http://schemas.openxmlformats.org/officeDocument/2006/relationships/hyperlink" Target="https://www.instagram.com/reel/DXzcVckxl22/" TargetMode="External"/><Relationship Id="rId153" Type="http://schemas.openxmlformats.org/officeDocument/2006/relationships/hyperlink" Target="https://x.com/MediaKing/status/2097384485520024026" TargetMode="External"/><Relationship Id="rId154" Type="http://schemas.openxmlformats.org/officeDocument/2006/relationships/hyperlink" Target="https://x.com/draprints/status/2095133643182322119" TargetMode="External"/><Relationship Id="rId155" Type="http://schemas.openxmlformats.org/officeDocument/2006/relationships/hyperlink" Target="https://x.com/ItsMeBenChan/status/2095894359766118712" TargetMode="External"/><Relationship Id="rId156" Type="http://schemas.openxmlformats.org/officeDocument/2006/relationships/hyperlink" Target="https://www.instagram.com/reel/DYN1ENyPIMJ/" TargetMode="External"/><Relationship Id="rId157" Type="http://schemas.openxmlformats.org/officeDocument/2006/relationships/hyperlink" Target="https://www.linkedin.com/feed/update/urn:li:activity:7505943146720165888" TargetMode="External"/><Relationship Id="rId158" Type="http://schemas.openxmlformats.org/officeDocument/2006/relationships/hyperlink" Target="https://www.instagram.com/reel/DdmDn6_A8wu/" TargetMode="External"/><Relationship Id="rId159" Type="http://schemas.openxmlformats.org/officeDocument/2006/relationships/hyperlink" Target="https://www.linkedin.com/feed/update/urn:li:activity:7452393142810611712" TargetMode="External"/><Relationship Id="rId160" Type="http://schemas.openxmlformats.org/officeDocument/2006/relationships/hyperlink" Target="https://x.com/denohawari/status/2073135200968859772" TargetMode="External"/><Relationship Id="rId161" Type="http://schemas.openxmlformats.org/officeDocument/2006/relationships/hyperlink" Target="https://www.linkedin.com/feed/update/urn:li:activity:7448015639690129408" TargetMode="External"/><Relationship Id="rId162" Type="http://schemas.openxmlformats.org/officeDocument/2006/relationships/hyperlink" Target="https://www.linkedin.com/feed/update/urn:li:activity:7454831538892099584" TargetMode="External"/><Relationship Id="rId163" Type="http://schemas.openxmlformats.org/officeDocument/2006/relationships/hyperlink" Target="https://www.linkedin.com/feed/update/urn:li:activity:7499119006935617536" TargetMode="External"/><Relationship Id="rId164" Type="http://schemas.openxmlformats.org/officeDocument/2006/relationships/hyperlink" Target="https://x.com/emilios_eth/status/2015877389411037492" TargetMode="External"/><Relationship Id="rId165" Type="http://schemas.openxmlformats.org/officeDocument/2006/relationships/hyperlink" Target="https://www.linkedin.com/feed/update/urn:li:activity:7514652222589210624" TargetMode="External"/><Relationship Id="rId166" Type="http://schemas.openxmlformats.org/officeDocument/2006/relationships/hyperlink" Target="https://www.instagram.com/reel/DZClftTpxeV/" TargetMode="External"/><Relationship Id="rId167" Type="http://schemas.openxmlformats.org/officeDocument/2006/relationships/hyperlink" Target="https://www.linkedin.com/feed/update/urn:li:activity:7406591175941435392" TargetMode="External"/><Relationship Id="rId168" Type="http://schemas.openxmlformats.org/officeDocument/2006/relationships/hyperlink" Target="https://www.linkedin.com/feed/update/urn:li:activity:7453041354718220288" TargetMode="External"/><Relationship Id="rId169" Type="http://schemas.openxmlformats.org/officeDocument/2006/relationships/hyperlink" Target="https://www.linkedin.com/feed/update/urn:li:activity:7454205178427232257" TargetMode="External"/><Relationship Id="rId170" Type="http://schemas.openxmlformats.org/officeDocument/2006/relationships/hyperlink" Target="https://www.linkedin.com/feed/update/urn:li:activity:7509580159440596992" TargetMode="External"/><Relationship Id="rId171" Type="http://schemas.openxmlformats.org/officeDocument/2006/relationships/hyperlink" Target="https://www.instagram.com/reel/Ddlxo8YBwPN/" TargetMode="External"/><Relationship Id="rId172" Type="http://schemas.openxmlformats.org/officeDocument/2006/relationships/hyperlink" Target="https://x.com/evanseech/status/2031345968122134799" TargetMode="External"/><Relationship Id="rId173" Type="http://schemas.openxmlformats.org/officeDocument/2006/relationships/hyperlink" Target="https://www.instagram.com/reel/DZFimmrsrsc/" TargetMode="External"/><Relationship Id="rId174" Type="http://schemas.openxmlformats.org/officeDocument/2006/relationships/hyperlink" Target="https://www.linkedin.com/feed/update/urn:li:activity:7511137849216278528" TargetMode="External"/><Relationship Id="rId175" Type="http://schemas.openxmlformats.org/officeDocument/2006/relationships/hyperlink" Target="https://x.com/linkedin_legend/status/2097108920611307803" TargetMode="External"/><Relationship Id="rId176" Type="http://schemas.openxmlformats.org/officeDocument/2006/relationships/hyperlink" Target="https://www.linkedin.com/feed/update/urn:li:activity:7510089893650321408" TargetMode="External"/><Relationship Id="rId177" Type="http://schemas.openxmlformats.org/officeDocument/2006/relationships/hyperlink" Target="https://www.linkedin.com/feed/update/urn:li:activity:7458476240354660352" TargetMode="External"/><Relationship Id="rId178" Type="http://schemas.openxmlformats.org/officeDocument/2006/relationships/hyperlink" Target="https://x.com/qwenwork/status/2054934477483471041" TargetMode="External"/><Relationship Id="rId179" Type="http://schemas.openxmlformats.org/officeDocument/2006/relationships/hyperlink" Target="https://x.com/BrendanFoody/status/2109838645339607285" TargetMode="External"/><Relationship Id="rId180" Type="http://schemas.openxmlformats.org/officeDocument/2006/relationships/hyperlink" Target="https://www.linkedin.com/feed/update/urn:li:activity:7448340675936550913" TargetMode="External"/><Relationship Id="rId181" Type="http://schemas.openxmlformats.org/officeDocument/2006/relationships/hyperlink" Target="https://www.instagram.com/reel/DZ4b5KaNr-x/" TargetMode="External"/><Relationship Id="rId182" Type="http://schemas.openxmlformats.org/officeDocument/2006/relationships/hyperlink" Target="https://x.com/vovudebosh/status/2098020150788104653" TargetMode="External"/><Relationship Id="rId183" Type="http://schemas.openxmlformats.org/officeDocument/2006/relationships/hyperlink" Target="https://x.com/eeelistar/status/1998700772968534271" TargetMode="External"/><Relationship Id="rId184" Type="http://schemas.openxmlformats.org/officeDocument/2006/relationships/drawing" Target="../drawings/drawing5.xml"/>
</Relationships>
</file>

<file path=xl/worksheets/_rels/sheet11.xml.rels><?xml version="1.0" encoding="UTF-8"?>
<Relationships xmlns="http://schemas.openxmlformats.org/package/2006/relationships"><Relationship Id="rId1" Type="http://schemas.openxmlformats.org/officeDocument/2006/relationships/hyperlink" Target="https://www.linkedin.com/feed/update/urn:li:activity:7447674013230841856" TargetMode="External"/><Relationship Id="rId2" Type="http://schemas.openxmlformats.org/officeDocument/2006/relationships/hyperlink" Target="https://www.linkedin.com/feed/update/urn:li:activity:7447674013230841856" TargetMode="External"/><Relationship Id="rId3" Type="http://schemas.openxmlformats.org/officeDocument/2006/relationships/hyperlink" Target="https://www.instagram.com/reel/Dcy173UgAVR/" TargetMode="External"/><Relationship Id="rId4" Type="http://schemas.openxmlformats.org/officeDocument/2006/relationships/hyperlink" Target="https://www.instagram.com/reel/Dcy173UgAVR/" TargetMode="External"/><Relationship Id="rId5" Type="http://schemas.openxmlformats.org/officeDocument/2006/relationships/hyperlink" Target="https://www.linkedin.com/feed/update/urn:li:activity:7447674013230841856" TargetMode="External"/><Relationship Id="rId6" Type="http://schemas.openxmlformats.org/officeDocument/2006/relationships/hyperlink" Target="https://x.com/theroborourke/status/1990343987148775791" TargetMode="External"/><Relationship Id="rId7" Type="http://schemas.openxmlformats.org/officeDocument/2006/relationships/hyperlink" Target="https://x.com/theroborourke/status/1990343987148775791" TargetMode="External"/><Relationship Id="rId8" Type="http://schemas.openxmlformats.org/officeDocument/2006/relationships/hyperlink" Target="https://www.instagram.com/reel/Dcy173UgAVR/" TargetMode="External"/><Relationship Id="rId9" Type="http://schemas.openxmlformats.org/officeDocument/2006/relationships/hyperlink" Target="https://www.linkedin.com/feed/update/urn:li:activity:7505943146720165888" TargetMode="External"/><Relationship Id="rId10" Type="http://schemas.openxmlformats.org/officeDocument/2006/relationships/hyperlink" Target="https://www.linkedin.com/feed/update/urn:li:activity:7505943146720165888" TargetMode="External"/><Relationship Id="rId11" Type="http://schemas.openxmlformats.org/officeDocument/2006/relationships/hyperlink" Target="https://www.linkedin.com/feed/update/urn:li:activity:7421567657579196416" TargetMode="External"/><Relationship Id="rId12" Type="http://schemas.openxmlformats.org/officeDocument/2006/relationships/hyperlink" Target="https://www.linkedin.com/feed/update/urn:li:activity:7505943146720165888" TargetMode="External"/><Relationship Id="rId13" Type="http://schemas.openxmlformats.org/officeDocument/2006/relationships/hyperlink" Target="https://www.linkedin.com/feed/update/urn:li:activity:7421567657579196416" TargetMode="External"/><Relationship Id="rId14" Type="http://schemas.openxmlformats.org/officeDocument/2006/relationships/hyperlink" Target="https://x.com/paolo_scales/status/2091961906210967746" TargetMode="External"/><Relationship Id="rId15" Type="http://schemas.openxmlformats.org/officeDocument/2006/relationships/hyperlink" Target="https://x.com/paolo_scales/status/2091961906210967746" TargetMode="External"/><Relationship Id="rId16" Type="http://schemas.openxmlformats.org/officeDocument/2006/relationships/hyperlink" Target="https://x.com/Hartdrawss/status/2029852118723551289" TargetMode="External"/><Relationship Id="rId17" Type="http://schemas.openxmlformats.org/officeDocument/2006/relationships/hyperlink" Target="https://x.com/Hartdrawss/status/2029852118723551289" TargetMode="External"/><Relationship Id="rId18" Type="http://schemas.openxmlformats.org/officeDocument/2006/relationships/hyperlink" Target="https://x.com/MichLieben/status/2039432665078923529" TargetMode="External"/><Relationship Id="rId19" Type="http://schemas.openxmlformats.org/officeDocument/2006/relationships/hyperlink" Target="https://x.com/MichLieben/status/2039432665078923529" TargetMode="External"/><Relationship Id="rId20" Type="http://schemas.openxmlformats.org/officeDocument/2006/relationships/hyperlink" Target="https://x.com/Hartdrawss/status/2029852118723551289" TargetMode="External"/><Relationship Id="rId21" Type="http://schemas.openxmlformats.org/officeDocument/2006/relationships/hyperlink" Target="https://x.com/theroborourke/status/1990343987148775791" TargetMode="External"/><Relationship Id="rId22" Type="http://schemas.openxmlformats.org/officeDocument/2006/relationships/hyperlink" Target="https://x.com/theroborourke/status/1990343987148775791" TargetMode="External"/><Relationship Id="rId23" Type="http://schemas.openxmlformats.org/officeDocument/2006/relationships/hyperlink" Target="https://x.com/theo_jil/status/2040494043713425822" TargetMode="External"/><Relationship Id="rId24" Type="http://schemas.openxmlformats.org/officeDocument/2006/relationships/hyperlink" Target="https://x.com/theroborourke/status/1990343987148775791" TargetMode="External"/><Relationship Id="rId25" Type="http://schemas.openxmlformats.org/officeDocument/2006/relationships/hyperlink" Target="https://x.com/theo_jil/status/2040494043713425822" TargetMode="External"/><Relationship Id="rId26" Type="http://schemas.openxmlformats.org/officeDocument/2006/relationships/hyperlink" Target="https://x.com/theo_jil/status/2040494043713425822" TargetMode="External"/><Relationship Id="rId27" Type="http://schemas.openxmlformats.org/officeDocument/2006/relationships/hyperlink" Target="https://x.com/NickB2005/status/2095121648710037913" TargetMode="External"/><Relationship Id="rId28" Type="http://schemas.openxmlformats.org/officeDocument/2006/relationships/hyperlink" Target="https://x.com/NickB2005/status/2095121648710037913" TargetMode="External"/><Relationship Id="rId29" Type="http://schemas.openxmlformats.org/officeDocument/2006/relationships/hyperlink" Target="https://www.linkedin.com/feed/update/urn:li:activity:7507859803386511361" TargetMode="External"/><Relationship Id="rId30" Type="http://schemas.openxmlformats.org/officeDocument/2006/relationships/hyperlink" Target="https://www.linkedin.com/feed/update/urn:li:activity:7507859803386511361" TargetMode="External"/><Relationship Id="rId31" Type="http://schemas.openxmlformats.org/officeDocument/2006/relationships/hyperlink" Target="https://www.instagram.com/reel/DctXXS8DjnA/" TargetMode="External"/><Relationship Id="rId32" Type="http://schemas.openxmlformats.org/officeDocument/2006/relationships/hyperlink" Target="https://www.instagram.com/reel/DctXXS8DjnA/" TargetMode="External"/><Relationship Id="rId33" Type="http://schemas.openxmlformats.org/officeDocument/2006/relationships/hyperlink" Target="https://www.linkedin.com/feed/update/urn:li:activity:7507859803386511361" TargetMode="External"/><Relationship Id="rId34" Type="http://schemas.openxmlformats.org/officeDocument/2006/relationships/hyperlink" Target="https://x.com/theroborourke/status/1990343987148775791" TargetMode="External"/><Relationship Id="rId35" Type="http://schemas.openxmlformats.org/officeDocument/2006/relationships/hyperlink" Target="https://x.com/theroborourke/status/1990343987148775791" TargetMode="External"/><Relationship Id="rId36" Type="http://schemas.openxmlformats.org/officeDocument/2006/relationships/hyperlink" Target="https://www.instagram.com/reel/DctXXS8DjnA/" TargetMode="External"/><Relationship Id="rId37" Type="http://schemas.openxmlformats.org/officeDocument/2006/relationships/hyperlink" Target="https://www.linkedin.com/feed/update/urn:li:activity:7454831538892099584" TargetMode="External"/><Relationship Id="rId38" Type="http://schemas.openxmlformats.org/officeDocument/2006/relationships/hyperlink" Target="https://www.linkedin.com/feed/update/urn:li:activity:7454831538892099584" TargetMode="External"/><Relationship Id="rId39" Type="http://schemas.openxmlformats.org/officeDocument/2006/relationships/hyperlink" Target="https://www.linkedin.com/feed/update/urn:li:activity:7454831538892099584" TargetMode="External"/><Relationship Id="rId40" Type="http://schemas.openxmlformats.org/officeDocument/2006/relationships/hyperlink" Target="https://x.com/theroborourke/status/1990343987148775791" TargetMode="External"/><Relationship Id="rId41" Type="http://schemas.openxmlformats.org/officeDocument/2006/relationships/hyperlink" Target="https://x.com/theroborourke/status/1990343987148775791" TargetMode="External"/><Relationship Id="rId42" Type="http://schemas.openxmlformats.org/officeDocument/2006/relationships/hyperlink" Target="https://x.com/theroborourke/status/1990343987148775791" TargetMode="External"/><Relationship Id="rId43" Type="http://schemas.openxmlformats.org/officeDocument/2006/relationships/hyperlink" Target="https://x.com/theroborourke/status/1990343987148775791" TargetMode="External"/><Relationship Id="rId44" Type="http://schemas.openxmlformats.org/officeDocument/2006/relationships/hyperlink" Target="https://x.com/theroborourke/status/1990343987148775791" TargetMode="External"/><Relationship Id="rId45" Type="http://schemas.openxmlformats.org/officeDocument/2006/relationships/hyperlink" Target="https://x.com/MichLieben/status/2039432665078923529" TargetMode="External"/><Relationship Id="rId46" Type="http://schemas.openxmlformats.org/officeDocument/2006/relationships/hyperlink" Target="https://x.com/MichLieben/status/2039432665078923529" TargetMode="External"/><Relationship Id="rId47" Type="http://schemas.openxmlformats.org/officeDocument/2006/relationships/hyperlink" Target="https://www.instagram.com/reel/Ddl5gR1xz9b/" TargetMode="External"/><Relationship Id="rId48" Type="http://schemas.openxmlformats.org/officeDocument/2006/relationships/hyperlink" Target="https://www.instagram.com/reel/Ddl5gR1xz9b/" TargetMode="External"/><Relationship Id="rId49" Type="http://schemas.openxmlformats.org/officeDocument/2006/relationships/hyperlink" Target="https://www.instagram.com/reel/DWb9bMukmwe/" TargetMode="External"/><Relationship Id="rId50" Type="http://schemas.openxmlformats.org/officeDocument/2006/relationships/hyperlink" Target="https://www.instagram.com/reel/Ddl5gR1xz9b/" TargetMode="External"/><Relationship Id="rId51" Type="http://schemas.openxmlformats.org/officeDocument/2006/relationships/hyperlink" Target="https://www.instagram.com/reel/DWb9bMukmwe/" TargetMode="External"/><Relationship Id="rId52" Type="http://schemas.openxmlformats.org/officeDocument/2006/relationships/hyperlink" Target="https://www.instagram.com/reel/DWb9bMukmwe/" TargetMode="External"/><Relationship Id="rId53" Type="http://schemas.openxmlformats.org/officeDocument/2006/relationships/drawing" Target="../drawings/drawing6.xml"/>
</Relationships>
</file>

<file path=xl/worksheets/_rels/sheet12.xml.rels><?xml version="1.0" encoding="UTF-8"?>
<Relationships xmlns="http://schemas.openxmlformats.org/package/2006/relationships"><Relationship Id="rId1" Type="http://schemas.openxmlformats.org/officeDocument/2006/relationships/hyperlink" Target="https://www.instagram.com/reel/DV2q3zoErC3/" TargetMode="External"/><Relationship Id="rId2" Type="http://schemas.openxmlformats.org/officeDocument/2006/relationships/hyperlink" Target="https://www.instagram.com/reel/DXwmJB0S7TG/" TargetMode="External"/><Relationship Id="rId3" Type="http://schemas.openxmlformats.org/officeDocument/2006/relationships/hyperlink" Target="https://www.instagram.com/reel/DcGk3BOI4_r/" TargetMode="External"/><Relationship Id="rId4" Type="http://schemas.openxmlformats.org/officeDocument/2006/relationships/hyperlink" Target="https://x.com/theroborourke/status/2000523290205364430" TargetMode="External"/><Relationship Id="rId5" Type="http://schemas.openxmlformats.org/officeDocument/2006/relationships/hyperlink" Target="https://www.instagram.com/reel/DbYt14LMoeA/" TargetMode="External"/><Relationship Id="rId6" Type="http://schemas.openxmlformats.org/officeDocument/2006/relationships/hyperlink" Target="https://x.com/Hartdrawss/status/2029852118723551289" TargetMode="External"/><Relationship Id="rId7" Type="http://schemas.openxmlformats.org/officeDocument/2006/relationships/hyperlink" Target="https://www.linkedin.com/feed/update/urn:li:activity:7505869737239691264" TargetMode="External"/><Relationship Id="rId8" Type="http://schemas.openxmlformats.org/officeDocument/2006/relationships/hyperlink" Target="https://www.instagram.com/p/DThOGx3gZ6T/" TargetMode="External"/><Relationship Id="rId9" Type="http://schemas.openxmlformats.org/officeDocument/2006/relationships/hyperlink" Target="https://www.instagram.com/reel/DclVkO-ym1J/" TargetMode="External"/><Relationship Id="rId10" Type="http://schemas.openxmlformats.org/officeDocument/2006/relationships/hyperlink" Target="https://www.instagram.com/reel/DbYHkLmtIBv/" TargetMode="External"/><Relationship Id="rId11" Type="http://schemas.openxmlformats.org/officeDocument/2006/relationships/hyperlink" Target="https://www.instagram.com/reel/DcC-2k8zJqP/" TargetMode="External"/><Relationship Id="rId12" Type="http://schemas.openxmlformats.org/officeDocument/2006/relationships/hyperlink" Target="https://www.instagram.com/reel/DW9CNBigZnZ/" TargetMode="External"/><Relationship Id="rId13" Type="http://schemas.openxmlformats.org/officeDocument/2006/relationships/hyperlink" Target="https://www.instagram.com/reel/DctTCKgO6JQ/" TargetMode="External"/><Relationship Id="rId14" Type="http://schemas.openxmlformats.org/officeDocument/2006/relationships/hyperlink" Target="https://www.linkedin.com/feed/update/urn:li:activity:7396769690724995072" TargetMode="External"/><Relationship Id="rId15" Type="http://schemas.openxmlformats.org/officeDocument/2006/relationships/hyperlink" Target="https://x.com/DeepStarts/status/2055143109194068017" TargetMode="External"/><Relationship Id="rId16" Type="http://schemas.openxmlformats.org/officeDocument/2006/relationships/hyperlink" Target="https://x.com/anuhariharan/status/1988453584099221689" TargetMode="External"/><Relationship Id="rId17" Type="http://schemas.openxmlformats.org/officeDocument/2006/relationships/hyperlink" Target="https://www.instagram.com/reel/DbqZgYdC3Th/" TargetMode="External"/><Relationship Id="rId18" Type="http://schemas.openxmlformats.org/officeDocument/2006/relationships/hyperlink" Target="https://www.instagram.com/reel/DcJTeGCvjdA/" TargetMode="External"/><Relationship Id="rId19" Type="http://schemas.openxmlformats.org/officeDocument/2006/relationships/hyperlink" Target="https://www.instagram.com/reel/DdT6E3pyk6z/" TargetMode="External"/><Relationship Id="rId20" Type="http://schemas.openxmlformats.org/officeDocument/2006/relationships/hyperlink" Target="https://www.instagram.com/reel/Db0WCUkOUwe/" TargetMode="External"/><Relationship Id="rId21" Type="http://schemas.openxmlformats.org/officeDocument/2006/relationships/hyperlink" Target="https://www.instagram.com/reel/DdYuYOjTZnS/" TargetMode="External"/><Relationship Id="rId22" Type="http://schemas.openxmlformats.org/officeDocument/2006/relationships/hyperlink" Target="https://www.instagram.com/reel/Ddin5MfRj-4/" TargetMode="External"/><Relationship Id="rId23" Type="http://schemas.openxmlformats.org/officeDocument/2006/relationships/hyperlink" Target="https://www.instagram.com/reel/Dbaj1-HI7r5/" TargetMode="External"/><Relationship Id="rId24" Type="http://schemas.openxmlformats.org/officeDocument/2006/relationships/hyperlink" Target="https://x.com/CAronitpereira/status/2010993908382343528" TargetMode="External"/><Relationship Id="rId25" Type="http://schemas.openxmlformats.org/officeDocument/2006/relationships/hyperlink" Target="https://x.com/CAronitpereira/status/2054862822564364779" TargetMode="External"/><Relationship Id="rId26" Type="http://schemas.openxmlformats.org/officeDocument/2006/relationships/hyperlink" Target="https://www.instagram.com/reel/DbfyZjwvktr/" TargetMode="External"/><Relationship Id="rId27" Type="http://schemas.openxmlformats.org/officeDocument/2006/relationships/hyperlink" Target="https://www.instagram.com/reel/DbpmEFEzK1d/" TargetMode="External"/><Relationship Id="rId28" Type="http://schemas.openxmlformats.org/officeDocument/2006/relationships/hyperlink" Target="https://www.instagram.com/reel/Db26XzEMB3d/" TargetMode="External"/><Relationship Id="rId29" Type="http://schemas.openxmlformats.org/officeDocument/2006/relationships/hyperlink" Target="https://www.instagram.com/reel/DbKiMvsPtRE/" TargetMode="External"/><Relationship Id="rId30" Type="http://schemas.openxmlformats.org/officeDocument/2006/relationships/hyperlink" Target="https://www.instagram.com/reel/Db2z_8uBAfN/" TargetMode="External"/><Relationship Id="rId31" Type="http://schemas.openxmlformats.org/officeDocument/2006/relationships/hyperlink" Target="https://www.instagram.com/reel/DaFADRqhg61/" TargetMode="External"/><Relationship Id="rId32" Type="http://schemas.openxmlformats.org/officeDocument/2006/relationships/hyperlink" Target="https://www.instagram.com/reel/Db7r2S2hEaF/" TargetMode="External"/><Relationship Id="rId33" Type="http://schemas.openxmlformats.org/officeDocument/2006/relationships/hyperlink" Target="https://www.instagram.com/reel/DbatW3Uh2Ve/" TargetMode="External"/><Relationship Id="rId34" Type="http://schemas.openxmlformats.org/officeDocument/2006/relationships/hyperlink" Target="https://www.linkedin.com/feed/update/urn:li:activity:7443528086735716352" TargetMode="External"/><Relationship Id="rId35" Type="http://schemas.openxmlformats.org/officeDocument/2006/relationships/hyperlink" Target="https://www.linkedin.com/feed/update/urn:li:activity:7443190681994526720" TargetMode="External"/><Relationship Id="rId36" Type="http://schemas.openxmlformats.org/officeDocument/2006/relationships/hyperlink" Target="https://www.instagram.com/reel/Dbv6XhYOAcM/" TargetMode="External"/><Relationship Id="rId37" Type="http://schemas.openxmlformats.org/officeDocument/2006/relationships/hyperlink" Target="https://x.com/DiggingInTheDi1/status/2026311352503943626" TargetMode="External"/><Relationship Id="rId38" Type="http://schemas.openxmlformats.org/officeDocument/2006/relationships/hyperlink" Target="https://www.linkedin.com/feed/update/urn:li:activity:7442759743301066752" TargetMode="External"/><Relationship Id="rId39" Type="http://schemas.openxmlformats.org/officeDocument/2006/relationships/hyperlink" Target="https://www.linkedin.com/feed/update/urn:li:activity:7456985703294337024" TargetMode="External"/><Relationship Id="rId40" Type="http://schemas.openxmlformats.org/officeDocument/2006/relationships/hyperlink" Target="https://www.linkedin.com/feed/update/urn:li:activity:7477548978302033921" TargetMode="External"/><Relationship Id="rId41" Type="http://schemas.openxmlformats.org/officeDocument/2006/relationships/hyperlink" Target="https://www.instagram.com/reel/DeUUhkvS8SC/" TargetMode="External"/><Relationship Id="rId42" Type="http://schemas.openxmlformats.org/officeDocument/2006/relationships/hyperlink" Target="https://www.instagram.com/reel/DbdpWQkKQTH/" TargetMode="External"/><Relationship Id="rId43" Type="http://schemas.openxmlformats.org/officeDocument/2006/relationships/hyperlink" Target="https://www.instagram.com/reel/Dck9JK2EwiA/" TargetMode="External"/><Relationship Id="rId44" Type="http://schemas.openxmlformats.org/officeDocument/2006/relationships/hyperlink" Target="https://www.instagram.com/reel/DVViJW5DLh3/" TargetMode="External"/><Relationship Id="rId45" Type="http://schemas.openxmlformats.org/officeDocument/2006/relationships/hyperlink" Target="https://www.instagram.com/reel/Dcsr0stohJb/" TargetMode="External"/><Relationship Id="rId46" Type="http://schemas.openxmlformats.org/officeDocument/2006/relationships/hyperlink" Target="https://www.instagram.com/reel/Dd-nhdoMBoB/" TargetMode="External"/><Relationship Id="rId47" Type="http://schemas.openxmlformats.org/officeDocument/2006/relationships/hyperlink" Target="https://www.instagram.com/reel/DbvYo5hP02-/" TargetMode="External"/><Relationship Id="rId48" Type="http://schemas.openxmlformats.org/officeDocument/2006/relationships/hyperlink" Target="https://www.instagram.com/reel/Db0wqFCR5CY/" TargetMode="External"/><Relationship Id="rId49" Type="http://schemas.openxmlformats.org/officeDocument/2006/relationships/hyperlink" Target="https://www.instagram.com/reel/Db5pAbKzcjZ/" TargetMode="External"/><Relationship Id="rId50" Type="http://schemas.openxmlformats.org/officeDocument/2006/relationships/hyperlink" Target="https://www.instagram.com/reel/Db_O1_Ypj_1/" TargetMode="External"/><Relationship Id="rId51" Type="http://schemas.openxmlformats.org/officeDocument/2006/relationships/hyperlink" Target="https://www.instagram.com/reel/Dd5kTbzTdrf/" TargetMode="External"/><Relationship Id="rId52" Type="http://schemas.openxmlformats.org/officeDocument/2006/relationships/hyperlink" Target="https://x.com/CAronitpereira/status/2054099226729320836" TargetMode="External"/><Relationship Id="rId53" Type="http://schemas.openxmlformats.org/officeDocument/2006/relationships/hyperlink" Target="https://x.com/rvivek/status/2021843250605437222" TargetMode="External"/><Relationship Id="rId54" Type="http://schemas.openxmlformats.org/officeDocument/2006/relationships/hyperlink" Target="https://www.instagram.com/reel/DbpS24qhgIU/" TargetMode="External"/><Relationship Id="rId55" Type="http://schemas.openxmlformats.org/officeDocument/2006/relationships/hyperlink" Target="https://www.instagram.com/reel/DdWUcbhtFO2/" TargetMode="External"/><Relationship Id="rId56" Type="http://schemas.openxmlformats.org/officeDocument/2006/relationships/hyperlink" Target="https://www.instagram.com/reel/Dbizw94SdJE/" TargetMode="External"/><Relationship Id="rId57" Type="http://schemas.openxmlformats.org/officeDocument/2006/relationships/hyperlink" Target="https://www.instagram.com/reel/DQHCOH5D4za/" TargetMode="External"/><Relationship Id="rId58" Type="http://schemas.openxmlformats.org/officeDocument/2006/relationships/hyperlink" Target="https://www.instagram.com/reel/DbYTssJsLln/" TargetMode="External"/><Relationship Id="rId59" Type="http://schemas.openxmlformats.org/officeDocument/2006/relationships/hyperlink" Target="https://www.instagram.com/reel/DcumVGviFgS/" TargetMode="External"/><Relationship Id="rId60" Type="http://schemas.openxmlformats.org/officeDocument/2006/relationships/hyperlink" Target="https://www.instagram.com/reel/DXuExUikt9F/" TargetMode="External"/><Relationship Id="rId61" Type="http://schemas.openxmlformats.org/officeDocument/2006/relationships/hyperlink" Target="https://x.com/VivanVatsa/status/2004774182207586390" TargetMode="External"/><Relationship Id="rId62" Type="http://schemas.openxmlformats.org/officeDocument/2006/relationships/hyperlink" Target="https://www.instagram.com/reel/Dcv4iVHNANs/" TargetMode="External"/><Relationship Id="rId63" Type="http://schemas.openxmlformats.org/officeDocument/2006/relationships/hyperlink" Target="https://www.instagram.com/reel/Dbl44DJyZCB/" TargetMode="External"/><Relationship Id="rId64" Type="http://schemas.openxmlformats.org/officeDocument/2006/relationships/hyperlink" Target="https://x.com/himanshustwts/status/2024352139162898928" TargetMode="External"/><Relationship Id="rId65" Type="http://schemas.openxmlformats.org/officeDocument/2006/relationships/hyperlink" Target="https://www.instagram.com/reel/DcCXsWCyYnH/" TargetMode="External"/><Relationship Id="rId66" Type="http://schemas.openxmlformats.org/officeDocument/2006/relationships/hyperlink" Target="https://www.instagram.com/reel/DbTGpCLP7Ov/" TargetMode="External"/><Relationship Id="rId67" Type="http://schemas.openxmlformats.org/officeDocument/2006/relationships/hyperlink" Target="https://www.instagram.com/reel/DbPT69cBZqK/" TargetMode="External"/><Relationship Id="rId68" Type="http://schemas.openxmlformats.org/officeDocument/2006/relationships/hyperlink" Target="https://www.instagram.com/reel/DbAloO8uOhI/" TargetMode="External"/><Relationship Id="rId69" Type="http://schemas.openxmlformats.org/officeDocument/2006/relationships/hyperlink" Target="https://www.instagram.com/reel/DbWFuaZA7z7/" TargetMode="External"/><Relationship Id="rId70" Type="http://schemas.openxmlformats.org/officeDocument/2006/relationships/hyperlink" Target="https://www.instagram.com/reel/DbQbyPCJQvD/" TargetMode="External"/><Relationship Id="rId71" Type="http://schemas.openxmlformats.org/officeDocument/2006/relationships/hyperlink" Target="https://www.instagram.com/reel/DbR_qwxOrf1/" TargetMode="External"/><Relationship Id="rId72" Type="http://schemas.openxmlformats.org/officeDocument/2006/relationships/hyperlink" Target="https://www.instagram.com/reel/Dbh8j_dScO5/" TargetMode="External"/><Relationship Id="rId73" Type="http://schemas.openxmlformats.org/officeDocument/2006/relationships/hyperlink" Target="https://www.instagram.com/reel/DbdkB9ByqRX/" TargetMode="External"/><Relationship Id="rId74" Type="http://schemas.openxmlformats.org/officeDocument/2006/relationships/hyperlink" Target="https://www.instagram.com/reel/Dbk4MG8ypXT/" TargetMode="External"/><Relationship Id="rId75" Type="http://schemas.openxmlformats.org/officeDocument/2006/relationships/hyperlink" Target="https://www.linkedin.com/feed/update/urn:li:activity:7443903524800946176" TargetMode="External"/><Relationship Id="rId76" Type="http://schemas.openxmlformats.org/officeDocument/2006/relationships/hyperlink" Target="https://www.instagram.com/reel/DbdCGYATNfU/" TargetMode="External"/><Relationship Id="rId77" Type="http://schemas.openxmlformats.org/officeDocument/2006/relationships/hyperlink" Target="https://www.instagram.com/reel/DbIYTGqxWa0/" TargetMode="External"/><Relationship Id="rId78" Type="http://schemas.openxmlformats.org/officeDocument/2006/relationships/hyperlink" Target="https://www.instagram.com/reel/DdCBvNZMrOY/" TargetMode="External"/><Relationship Id="rId79" Type="http://schemas.openxmlformats.org/officeDocument/2006/relationships/hyperlink" Target="https://www.linkedin.com/feed/update/urn:li:activity:7441813506254979072" TargetMode="External"/><Relationship Id="rId80" Type="http://schemas.openxmlformats.org/officeDocument/2006/relationships/hyperlink" Target="https://www.instagram.com/reel/DbbOmwGxNis/" TargetMode="External"/><Relationship Id="rId81" Type="http://schemas.openxmlformats.org/officeDocument/2006/relationships/hyperlink" Target="https://www.linkedin.com/feed/update/urn:li:activity:7443927333851267073" TargetMode="External"/><Relationship Id="rId82" Type="http://schemas.openxmlformats.org/officeDocument/2006/relationships/hyperlink" Target="https://www.linkedin.com/feed/update/urn:li:activity:7443541136532480000" TargetMode="External"/><Relationship Id="rId83" Type="http://schemas.openxmlformats.org/officeDocument/2006/relationships/hyperlink" Target="https://www.instagram.com/reel/DcocuiVSB8i/" TargetMode="External"/><Relationship Id="rId84" Type="http://schemas.openxmlformats.org/officeDocument/2006/relationships/hyperlink" Target="https://www.instagram.com/reel/Da6x47korYv/" TargetMode="External"/><Relationship Id="rId85" Type="http://schemas.openxmlformats.org/officeDocument/2006/relationships/hyperlink" Target="https://www.instagram.com/reel/DbdUe5MT99a/" TargetMode="External"/><Relationship Id="rId86" Type="http://schemas.openxmlformats.org/officeDocument/2006/relationships/hyperlink" Target="https://www.instagram.com/reel/DYR4yD6IpAy/" TargetMode="External"/><Relationship Id="rId87" Type="http://schemas.openxmlformats.org/officeDocument/2006/relationships/hyperlink" Target="https://www.instagram.com/reel/DbLKg4pBYmD/" TargetMode="External"/><Relationship Id="rId88" Type="http://schemas.openxmlformats.org/officeDocument/2006/relationships/hyperlink" Target="https://www.instagram.com/reel/Db7bfJ9TYda/" TargetMode="External"/><Relationship Id="rId89" Type="http://schemas.openxmlformats.org/officeDocument/2006/relationships/hyperlink" Target="https://www.linkedin.com/feed/update/urn:li:activity:7408558193007783936" TargetMode="External"/><Relationship Id="rId90" Type="http://schemas.openxmlformats.org/officeDocument/2006/relationships/hyperlink" Target="https://www.linkedin.com/feed/update/urn:li:activity:7408468775332933632" TargetMode="External"/><Relationship Id="rId91" Type="http://schemas.openxmlformats.org/officeDocument/2006/relationships/hyperlink" Target="https://www.linkedin.com/feed/update/urn:li:activity:7408376664155389953" TargetMode="External"/><Relationship Id="rId92" Type="http://schemas.openxmlformats.org/officeDocument/2006/relationships/hyperlink" Target="https://www.linkedin.com/feed/update/urn:li:activity:7408344219414618112" TargetMode="External"/><Relationship Id="rId93" Type="http://schemas.openxmlformats.org/officeDocument/2006/relationships/hyperlink" Target="https://x.com/danielfazio/status/2008985587379044439" TargetMode="External"/><Relationship Id="rId94" Type="http://schemas.openxmlformats.org/officeDocument/2006/relationships/hyperlink" Target="https://www.linkedin.com/feed/update/urn:li:activity:7483501350820151296" TargetMode="External"/><Relationship Id="rId95" Type="http://schemas.openxmlformats.org/officeDocument/2006/relationships/hyperlink" Target="https://www.instagram.com/reel/Ddb6C_lhTyK/" TargetMode="External"/><Relationship Id="rId96" Type="http://schemas.openxmlformats.org/officeDocument/2006/relationships/hyperlink" Target="https://www.instagram.com/reel/DbAGJJmOeEO/" TargetMode="External"/><Relationship Id="rId97" Type="http://schemas.openxmlformats.org/officeDocument/2006/relationships/hyperlink" Target="https://www.instagram.com/reel/DaKT9OByawu/" TargetMode="External"/><Relationship Id="rId98" Type="http://schemas.openxmlformats.org/officeDocument/2006/relationships/hyperlink" Target="https://www.instagram.com/reel/DckQPHbKv3O/" TargetMode="External"/><Relationship Id="rId99" Type="http://schemas.openxmlformats.org/officeDocument/2006/relationships/hyperlink" Target="https://www.instagram.com/reel/Db979kMJpCS/" TargetMode="External"/><Relationship Id="rId100" Type="http://schemas.openxmlformats.org/officeDocument/2006/relationships/hyperlink" Target="https://www.linkedin.com/feed/update/urn:li:activity:7406556935870713856" TargetMode="External"/><Relationship Id="rId101" Type="http://schemas.openxmlformats.org/officeDocument/2006/relationships/hyperlink" Target="https://www.linkedin.com/feed/update/urn:li:activity:7411277491014819840" TargetMode="External"/><Relationship Id="rId102" Type="http://schemas.openxmlformats.org/officeDocument/2006/relationships/hyperlink" Target="https://www.instagram.com/reel/DcbgeWkASYX/" TargetMode="External"/><Relationship Id="rId103" Type="http://schemas.openxmlformats.org/officeDocument/2006/relationships/hyperlink" Target="https://www.instagram.com/reel/DdLNmpNydf6/" TargetMode="External"/><Relationship Id="rId104" Type="http://schemas.openxmlformats.org/officeDocument/2006/relationships/hyperlink" Target="https://www.linkedin.com/feed/update/urn:li:activity:7496525271265767424" TargetMode="External"/><Relationship Id="rId105" Type="http://schemas.openxmlformats.org/officeDocument/2006/relationships/hyperlink" Target="https://www.instagram.com/reel/DcxiomEpBzE/" TargetMode="External"/><Relationship Id="rId106" Type="http://schemas.openxmlformats.org/officeDocument/2006/relationships/hyperlink" Target="https://www.linkedin.com/feed/update/urn:li:activity:7468568161349439488" TargetMode="External"/><Relationship Id="rId107" Type="http://schemas.openxmlformats.org/officeDocument/2006/relationships/hyperlink" Target="https://www.instagram.com/reel/DbdG3_HzAY8/" TargetMode="External"/><Relationship Id="rId108" Type="http://schemas.openxmlformats.org/officeDocument/2006/relationships/drawing" Target="../drawings/drawing7.xml"/>
</Relationships>
</file>

<file path=xl/worksheets/_rels/sheet14.xml.rels><?xml version="1.0" encoding="UTF-8"?>
<Relationships xmlns="http://schemas.openxmlformats.org/package/2006/relationships"><Relationship Id="rId1" Type="http://schemas.openxmlformats.org/officeDocument/2006/relationships/hyperlink" Target="https://www.instagram.com/reel/DbTB3wQgppY/" TargetMode="External"/><Relationship Id="rId2" Type="http://schemas.openxmlformats.org/officeDocument/2006/relationships/hyperlink" Target="https://www.instagram.com/reel/DarluGBCixc/" TargetMode="External"/><Relationship Id="rId3" Type="http://schemas.openxmlformats.org/officeDocument/2006/relationships/hyperlink" Target="https://www.instagram.com/reel/DYPHe6BBSJA/" TargetMode="External"/><Relationship Id="rId4" Type="http://schemas.openxmlformats.org/officeDocument/2006/relationships/hyperlink" Target="https://x.com/abhijitwt/status/2009532719408243038" TargetMode="External"/><Relationship Id="rId5" Type="http://schemas.openxmlformats.org/officeDocument/2006/relationships/hyperlink" Target="https://www.instagram.com/reel/DbvYo5hP02-/" TargetMode="External"/><Relationship Id="rId6" Type="http://schemas.openxmlformats.org/officeDocument/2006/relationships/hyperlink" Target="https://www.instagram.com/reel/Db2z_8uBAfN/" TargetMode="External"/><Relationship Id="rId7" Type="http://schemas.openxmlformats.org/officeDocument/2006/relationships/hyperlink" Target="https://www.instagram.com/reel/DdM6Cb5Izm_/" TargetMode="External"/><Relationship Id="rId8" Type="http://schemas.openxmlformats.org/officeDocument/2006/relationships/hyperlink" Target="https://www.instagram.com/reel/Dba9mtoNCkx/" TargetMode="External"/><Relationship Id="rId9" Type="http://schemas.openxmlformats.org/officeDocument/2006/relationships/hyperlink" Target="https://x.com/yasminekho/status/2052004770966352188" TargetMode="External"/><Relationship Id="rId10" Type="http://schemas.openxmlformats.org/officeDocument/2006/relationships/hyperlink" Target="https://www.instagram.com/reel/DaFADRqhg61/" TargetMode="External"/><Relationship Id="rId11" Type="http://schemas.openxmlformats.org/officeDocument/2006/relationships/hyperlink" Target="https://www.instagram.com/reel/DbZ6M1POQd8/" TargetMode="External"/><Relationship Id="rId12" Type="http://schemas.openxmlformats.org/officeDocument/2006/relationships/hyperlink" Target="https://www.instagram.com/reel/Db0wqFCR5CY/" TargetMode="External"/><Relationship Id="rId13" Type="http://schemas.openxmlformats.org/officeDocument/2006/relationships/hyperlink" Target="https://www.instagram.com/reel/DbGwmecqr-l/" TargetMode="External"/><Relationship Id="rId14" Type="http://schemas.openxmlformats.org/officeDocument/2006/relationships/hyperlink" Target="https://www.instagram.com/reel/Db5pAbKzcjZ/" TargetMode="External"/><Relationship Id="rId15" Type="http://schemas.openxmlformats.org/officeDocument/2006/relationships/hyperlink" Target="https://www.instagram.com/reel/Db7r2S2hEaF/" TargetMode="External"/><Relationship Id="rId16" Type="http://schemas.openxmlformats.org/officeDocument/2006/relationships/hyperlink" Target="https://www.instagram.com/reel/DcOm_j4BVmM/" TargetMode="External"/><Relationship Id="rId17" Type="http://schemas.openxmlformats.org/officeDocument/2006/relationships/hyperlink" Target="https://www.linkedin.com/feed/update/urn:li:activity:7448385267477934080" TargetMode="External"/><Relationship Id="rId18" Type="http://schemas.openxmlformats.org/officeDocument/2006/relationships/hyperlink" Target="https://www.linkedin.com/feed/update/urn:li:activity:7448378943121821698" TargetMode="External"/><Relationship Id="rId19" Type="http://schemas.openxmlformats.org/officeDocument/2006/relationships/hyperlink" Target="https://www.linkedin.com/feed/update/urn:li:activity:7429039465710596097" TargetMode="External"/><Relationship Id="rId20" Type="http://schemas.openxmlformats.org/officeDocument/2006/relationships/hyperlink" Target="https://www.instagram.com/reel/Dbvp84OT0fl/" TargetMode="External"/><Relationship Id="rId21" Type="http://schemas.openxmlformats.org/officeDocument/2006/relationships/hyperlink" Target="https://www.instagram.com/reel/DcrH-24xJqR/" TargetMode="External"/><Relationship Id="rId22" Type="http://schemas.openxmlformats.org/officeDocument/2006/relationships/hyperlink" Target="https://www.instagram.com/reel/Dbaw8kltc2v/" TargetMode="External"/><Relationship Id="rId23" Type="http://schemas.openxmlformats.org/officeDocument/2006/relationships/hyperlink" Target="https://x.com/0x_kaize/status/2032527256355221954" TargetMode="External"/><Relationship Id="rId24" Type="http://schemas.openxmlformats.org/officeDocument/2006/relationships/hyperlink" Target="https://www.instagram.com/reel/DdCUrHBsS69/" TargetMode="External"/><Relationship Id="rId25" Type="http://schemas.openxmlformats.org/officeDocument/2006/relationships/hyperlink" Target="https://www.instagram.com/reel/DVvbyk7COiy/" TargetMode="External"/><Relationship Id="rId26" Type="http://schemas.openxmlformats.org/officeDocument/2006/relationships/hyperlink" Target="https://x.com/theonejvo/status/2015401219746128322" TargetMode="External"/><Relationship Id="rId27" Type="http://schemas.openxmlformats.org/officeDocument/2006/relationships/hyperlink" Target="https://www.instagram.com/reel/Db_O1_Ypj_1/" TargetMode="External"/><Relationship Id="rId28" Type="http://schemas.openxmlformats.org/officeDocument/2006/relationships/hyperlink" Target="https://www.instagram.com/reel/DS_B2dhEuGq/" TargetMode="External"/><Relationship Id="rId29" Type="http://schemas.openxmlformats.org/officeDocument/2006/relationships/hyperlink" Target="https://x.com/RianSweetDoris/status/2014076788951961864" TargetMode="External"/><Relationship Id="rId30" Type="http://schemas.openxmlformats.org/officeDocument/2006/relationships/hyperlink" Target="https://x.com/Ric_RTP/status/2037892374928429463" TargetMode="External"/><Relationship Id="rId31" Type="http://schemas.openxmlformats.org/officeDocument/2006/relationships/hyperlink" Target="https://www.instagram.com/reel/DbDsu4BAPys/" TargetMode="External"/><Relationship Id="rId32" Type="http://schemas.openxmlformats.org/officeDocument/2006/relationships/hyperlink" Target="https://www.instagram.com/reel/DceS_3uCg_K/" TargetMode="External"/><Relationship Id="rId33" Type="http://schemas.openxmlformats.org/officeDocument/2006/relationships/hyperlink" Target="https://www.instagram.com/reel/DZNjLunMSg7/" TargetMode="External"/><Relationship Id="rId34" Type="http://schemas.openxmlformats.org/officeDocument/2006/relationships/hyperlink" Target="https://www.instagram.com/reel/Dc9E6jqpda-/" TargetMode="External"/><Relationship Id="rId35" Type="http://schemas.openxmlformats.org/officeDocument/2006/relationships/hyperlink" Target="https://x.com/marlowxbt/status/2050011880886784235" TargetMode="External"/><Relationship Id="rId36" Type="http://schemas.openxmlformats.org/officeDocument/2006/relationships/hyperlink" Target="https://x.com/AleiahLock/status/2038295590354755683" TargetMode="External"/><Relationship Id="rId37" Type="http://schemas.openxmlformats.org/officeDocument/2006/relationships/hyperlink" Target="https://x.com/zackpaid/status/2061488295981220206" TargetMode="External"/><Relationship Id="rId38" Type="http://schemas.openxmlformats.org/officeDocument/2006/relationships/hyperlink" Target="https://x.com/kidpakerot/status/2051138554986942894" TargetMode="External"/><Relationship Id="rId39" Type="http://schemas.openxmlformats.org/officeDocument/2006/relationships/hyperlink" Target="https://www.instagram.com/reel/Dd5kTbzTdrf/" TargetMode="External"/><Relationship Id="rId40" Type="http://schemas.openxmlformats.org/officeDocument/2006/relationships/hyperlink" Target="https://x.com/theseoguy_/status/2033182707283280191" TargetMode="External"/><Relationship Id="rId41" Type="http://schemas.openxmlformats.org/officeDocument/2006/relationships/hyperlink" Target="https://x.com/ideabrowser/status/2028111088449896826" TargetMode="External"/><Relationship Id="rId42" Type="http://schemas.openxmlformats.org/officeDocument/2006/relationships/hyperlink" Target="https://www.instagram.com/reel/DcgdeTdN89i/" TargetMode="External"/><Relationship Id="rId43" Type="http://schemas.openxmlformats.org/officeDocument/2006/relationships/hyperlink" Target="https://www.instagram.com/reel/DWwXEcdgkCQ/" TargetMode="External"/><Relationship Id="rId44" Type="http://schemas.openxmlformats.org/officeDocument/2006/relationships/hyperlink" Target="https://www.instagram.com/reel/DbtNXYjx4U0/" TargetMode="External"/><Relationship Id="rId45" Type="http://schemas.openxmlformats.org/officeDocument/2006/relationships/hyperlink" Target="https://www.instagram.com/reel/DeUUhkvS8SC/" TargetMode="External"/><Relationship Id="rId46" Type="http://schemas.openxmlformats.org/officeDocument/2006/relationships/hyperlink" Target="https://x.com/froessell/status/2025833621299351613" TargetMode="External"/><Relationship Id="rId47" Type="http://schemas.openxmlformats.org/officeDocument/2006/relationships/hyperlink" Target="https://x.com/bprintco/status/1998854923157422115" TargetMode="External"/><Relationship Id="rId48" Type="http://schemas.openxmlformats.org/officeDocument/2006/relationships/hyperlink" Target="https://x.com/trentjhughes/status/2028602131343986825" TargetMode="External"/><Relationship Id="rId49" Type="http://schemas.openxmlformats.org/officeDocument/2006/relationships/hyperlink" Target="https://x.com/scaling_shields/status/2081303008168878410" TargetMode="External"/><Relationship Id="rId50" Type="http://schemas.openxmlformats.org/officeDocument/2006/relationships/hyperlink" Target="https://www.linkedin.com/feed/update/urn:li:activity:7404577361116991489" TargetMode="External"/><Relationship Id="rId51" Type="http://schemas.openxmlformats.org/officeDocument/2006/relationships/hyperlink" Target="https://x.com/ecomchigga/status/2027874734218563816" TargetMode="External"/><Relationship Id="rId52" Type="http://schemas.openxmlformats.org/officeDocument/2006/relationships/hyperlink" Target="https://www.instagram.com/reel/DbBNpaCMWi1/" TargetMode="External"/><Relationship Id="rId53" Type="http://schemas.openxmlformats.org/officeDocument/2006/relationships/hyperlink" Target="https://www.instagram.com/reel/Db5tqZmgFZi/" TargetMode="External"/><Relationship Id="rId54" Type="http://schemas.openxmlformats.org/officeDocument/2006/relationships/hyperlink" Target="https://www.instagram.com/reel/DbqdYRZNeHC/" TargetMode="External"/><Relationship Id="rId55" Type="http://schemas.openxmlformats.org/officeDocument/2006/relationships/hyperlink" Target="https://www.instagram.com/reel/DXiZt6giPbT/" TargetMode="External"/><Relationship Id="rId56" Type="http://schemas.openxmlformats.org/officeDocument/2006/relationships/hyperlink" Target="https://www.instagram.com/reel/DbAVKe-tmcN/" TargetMode="External"/><Relationship Id="rId57" Type="http://schemas.openxmlformats.org/officeDocument/2006/relationships/hyperlink" Target="https://x.com/scaling_shields/status/2042324679759978780" TargetMode="External"/><Relationship Id="rId58" Type="http://schemas.openxmlformats.org/officeDocument/2006/relationships/hyperlink" Target="https://x.com/darren_stallcup/status/2046271505852760516" TargetMode="External"/><Relationship Id="rId59" Type="http://schemas.openxmlformats.org/officeDocument/2006/relationships/hyperlink" Target="https://x.com/CAronitpereira/status/2054099226729320836" TargetMode="External"/><Relationship Id="rId60" Type="http://schemas.openxmlformats.org/officeDocument/2006/relationships/hyperlink" Target="https://x.com/rvivek/status/2021843250605437222" TargetMode="External"/><Relationship Id="rId61" Type="http://schemas.openxmlformats.org/officeDocument/2006/relationships/hyperlink" Target="https://www.instagram.com/reel/DbpS24qhgIU/" TargetMode="External"/><Relationship Id="rId62" Type="http://schemas.openxmlformats.org/officeDocument/2006/relationships/hyperlink" Target="https://x.com/bprintco/status/2012595972090605685" TargetMode="External"/><Relationship Id="rId63" Type="http://schemas.openxmlformats.org/officeDocument/2006/relationships/hyperlink" Target="https://x.com/DeepStarts/status/2032000055763484971" TargetMode="External"/><Relationship Id="rId64" Type="http://schemas.openxmlformats.org/officeDocument/2006/relationships/hyperlink" Target="https://x.com/teachthemx3/status/1992227200515399845" TargetMode="External"/><Relationship Id="rId65" Type="http://schemas.openxmlformats.org/officeDocument/2006/relationships/hyperlink" Target="https://x.com/maverickecom/status/2036464786255360106" TargetMode="External"/><Relationship Id="rId66" Type="http://schemas.openxmlformats.org/officeDocument/2006/relationships/hyperlink" Target="https://x.com/drinkonsaturday/status/2037307358523879904" TargetMode="External"/><Relationship Id="rId67" Type="http://schemas.openxmlformats.org/officeDocument/2006/relationships/hyperlink" Target="https://www.instagram.com/reel/DcCH5OTxT_L/" TargetMode="External"/><Relationship Id="rId68" Type="http://schemas.openxmlformats.org/officeDocument/2006/relationships/hyperlink" Target="https://www.linkedin.com/feed/update/urn:li:activity:7472472044153151488" TargetMode="External"/><Relationship Id="rId69" Type="http://schemas.openxmlformats.org/officeDocument/2006/relationships/hyperlink" Target="https://x.com/Indian_Bronson/status/2027500542017028361" TargetMode="External"/><Relationship Id="rId70" Type="http://schemas.openxmlformats.org/officeDocument/2006/relationships/hyperlink" Target="https://x.com/scaling_shields/status/2034705473296044327" TargetMode="External"/><Relationship Id="rId7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3"/>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27.75" hidden="false" customHeight="true" outlineLevel="0" collapsed="false">
      <c r="A5" s="5" t="s">
        <v>3</v>
      </c>
      <c r="B5" s="6" t="s">
        <v>4</v>
      </c>
    </row>
    <row r="6" customFormat="false" ht="15" hidden="false" customHeight="true" outlineLevel="0" collapsed="false">
      <c r="A6" s="5" t="s">
        <v>5</v>
      </c>
      <c r="B6" s="6" t="s">
        <v>6</v>
      </c>
    </row>
    <row r="7" customFormat="false" ht="27.75" hidden="false" customHeight="true" outlineLevel="0" collapsed="false">
      <c r="A7" s="5" t="s">
        <v>7</v>
      </c>
      <c r="B7" s="6" t="s">
        <v>8</v>
      </c>
    </row>
    <row r="8" customFormat="false" ht="27.75" hidden="false" customHeight="true" outlineLevel="0" collapsed="false">
      <c r="A8" s="5" t="s">
        <v>9</v>
      </c>
      <c r="B8" s="6" t="s">
        <v>10</v>
      </c>
    </row>
    <row r="9" customFormat="false" ht="27.75" hidden="false" customHeight="true" outlineLevel="0" collapsed="false">
      <c r="A9" s="5" t="s">
        <v>11</v>
      </c>
      <c r="B9" s="6" t="s">
        <v>12</v>
      </c>
    </row>
    <row r="10" customFormat="false" ht="15" hidden="false" customHeight="true" outlineLevel="0" collapsed="false">
      <c r="A10" s="5" t="s">
        <v>13</v>
      </c>
      <c r="B10" s="6" t="s">
        <v>14</v>
      </c>
    </row>
    <row r="11" customFormat="false" ht="15" hidden="false" customHeight="true" outlineLevel="0" collapsed="false">
      <c r="A11" s="5" t="s">
        <v>15</v>
      </c>
      <c r="B11" s="6" t="s">
        <v>16</v>
      </c>
    </row>
    <row r="12" customFormat="false" ht="15" hidden="false" customHeight="true" outlineLevel="0" collapsed="false">
      <c r="A12" s="5" t="s">
        <v>17</v>
      </c>
      <c r="B12" s="6" t="s">
        <v>18</v>
      </c>
    </row>
    <row r="13" customFormat="false" ht="15" hidden="false" customHeight="true" outlineLevel="0" collapsed="false">
      <c r="A13" s="5" t="s">
        <v>19</v>
      </c>
      <c r="B13" s="6" t="s">
        <v>20</v>
      </c>
    </row>
    <row r="14" customFormat="false" ht="27.75" hidden="false" customHeight="true" outlineLevel="0" collapsed="false">
      <c r="A14" s="5" t="s">
        <v>21</v>
      </c>
      <c r="B14" s="6" t="s">
        <v>22</v>
      </c>
    </row>
    <row r="15" customFormat="false" ht="15" hidden="false" customHeight="true" outlineLevel="0" collapsed="false">
      <c r="A15" s="5" t="s">
        <v>23</v>
      </c>
      <c r="B15" s="6" t="s">
        <v>24</v>
      </c>
    </row>
    <row r="16" customFormat="false" ht="15" hidden="false" customHeight="true" outlineLevel="0" collapsed="false">
      <c r="A16" s="5" t="s">
        <v>25</v>
      </c>
      <c r="B16" s="6" t="s">
        <v>26</v>
      </c>
    </row>
    <row r="17" customFormat="false" ht="15" hidden="false" customHeight="true" outlineLevel="0" collapsed="false">
      <c r="A17" s="5" t="s">
        <v>27</v>
      </c>
      <c r="B17" s="6" t="s">
        <v>28</v>
      </c>
    </row>
    <row r="18" customFormat="false" ht="15" hidden="false" customHeight="true" outlineLevel="0" collapsed="false">
      <c r="A18" s="5" t="s">
        <v>29</v>
      </c>
      <c r="B18" s="6" t="s">
        <v>30</v>
      </c>
    </row>
    <row r="20" customFormat="false" ht="15" hidden="false" customHeight="false" outlineLevel="0" collapsed="false">
      <c r="A20" s="3" t="s">
        <v>31</v>
      </c>
      <c r="B20" s="4"/>
    </row>
    <row r="21" customFormat="false" ht="27.75" hidden="false" customHeight="true" outlineLevel="0" collapsed="false">
      <c r="A21" s="5" t="s">
        <v>32</v>
      </c>
      <c r="B21" s="6" t="s">
        <v>33</v>
      </c>
    </row>
    <row r="22" customFormat="false" ht="15" hidden="false" customHeight="true" outlineLevel="0" collapsed="false">
      <c r="A22" s="5" t="s">
        <v>34</v>
      </c>
      <c r="B22" s="6" t="s">
        <v>35</v>
      </c>
    </row>
    <row r="23" customFormat="false" ht="15" hidden="false" customHeight="true" outlineLevel="0" collapsed="false">
      <c r="A23" s="5" t="s">
        <v>36</v>
      </c>
      <c r="B23" s="6" t="s">
        <v>37</v>
      </c>
    </row>
    <row r="24" customFormat="false" ht="15" hidden="false" customHeight="true" outlineLevel="0" collapsed="false">
      <c r="A24" s="5" t="s">
        <v>38</v>
      </c>
      <c r="B24" s="6" t="s">
        <v>39</v>
      </c>
    </row>
    <row r="25" customFormat="false" ht="15" hidden="false" customHeight="true" outlineLevel="0" collapsed="false">
      <c r="A25" s="5" t="s">
        <v>40</v>
      </c>
      <c r="B25" s="6" t="s">
        <v>41</v>
      </c>
    </row>
    <row r="26" customFormat="false" ht="27.75" hidden="false" customHeight="true" outlineLevel="0" collapsed="false">
      <c r="A26" s="5" t="s">
        <v>42</v>
      </c>
      <c r="B26" s="6" t="s">
        <v>43</v>
      </c>
    </row>
    <row r="28" customFormat="false" ht="15" hidden="false" customHeight="false" outlineLevel="0" collapsed="false">
      <c r="A28" s="3" t="s">
        <v>44</v>
      </c>
      <c r="B28" s="4"/>
    </row>
    <row r="29" customFormat="false" ht="15" hidden="false" customHeight="false" outlineLevel="0" collapsed="false">
      <c r="A29" s="7" t="s">
        <v>45</v>
      </c>
      <c r="B29" s="8" t="n">
        <v>0.5</v>
      </c>
    </row>
    <row r="30" customFormat="false" ht="15" hidden="false" customHeight="false" outlineLevel="0" collapsed="false">
      <c r="A30" s="7" t="s">
        <v>46</v>
      </c>
      <c r="B30" s="8" t="n">
        <v>0.3</v>
      </c>
    </row>
    <row r="31" customFormat="false" ht="15" hidden="false" customHeight="false" outlineLevel="0" collapsed="false">
      <c r="A31" s="7" t="s">
        <v>47</v>
      </c>
      <c r="B31" s="8" t="n">
        <v>2</v>
      </c>
    </row>
    <row r="32" customFormat="false" ht="15" hidden="false" customHeight="false" outlineLevel="0" collapsed="false">
      <c r="A32" s="7" t="s">
        <v>48</v>
      </c>
      <c r="B32" s="8" t="n">
        <v>1</v>
      </c>
    </row>
    <row r="33" customFormat="false" ht="15" hidden="false" customHeight="false" outlineLevel="0" collapsed="false">
      <c r="A33" s="9" t="s">
        <v>49</v>
      </c>
      <c r="B33" s="9"/>
    </row>
  </sheetData>
  <mergeCells count="1">
    <mergeCell ref="A33:B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20"/>
  </cols>
  <sheetData>
    <row r="1" customFormat="false" ht="19.7" hidden="false" customHeight="false" outlineLevel="0" collapsed="false">
      <c r="A1" s="1" t="s">
        <v>50</v>
      </c>
    </row>
    <row r="3" customFormat="false" ht="15" hidden="false" customHeight="false" outlineLevel="0" collapsed="false">
      <c r="A3" s="3" t="s">
        <v>51</v>
      </c>
      <c r="B3" s="4"/>
    </row>
    <row r="4" customFormat="false" ht="55.5" hidden="false" customHeight="true" outlineLevel="0" collapsed="false">
      <c r="A4" s="10" t="s">
        <v>52</v>
      </c>
      <c r="B4" s="11" t="s">
        <v>53</v>
      </c>
    </row>
    <row r="5" customFormat="false" ht="55.5" hidden="false" customHeight="true" outlineLevel="0" collapsed="false">
      <c r="A5" s="10" t="s">
        <v>54</v>
      </c>
      <c r="B5" s="11" t="s">
        <v>55</v>
      </c>
    </row>
    <row r="6" customFormat="false" ht="55.5" hidden="false" customHeight="true" outlineLevel="0" collapsed="false">
      <c r="A6" s="10" t="s">
        <v>56</v>
      </c>
      <c r="B6" s="11" t="s">
        <v>57</v>
      </c>
    </row>
    <row r="7" customFormat="false" ht="55.5" hidden="false" customHeight="true" outlineLevel="0" collapsed="false">
      <c r="A7" s="10" t="s">
        <v>58</v>
      </c>
      <c r="B7" s="11" t="s">
        <v>59</v>
      </c>
    </row>
    <row r="8" customFormat="false" ht="55.5" hidden="false" customHeight="true" outlineLevel="0" collapsed="false">
      <c r="A8" s="10" t="s">
        <v>60</v>
      </c>
      <c r="B8" s="11" t="s">
        <v>61</v>
      </c>
    </row>
    <row r="10" customFormat="false" ht="15" hidden="false" customHeight="false" outlineLevel="0" collapsed="false">
      <c r="A10" s="3" t="s">
        <v>62</v>
      </c>
      <c r="B10" s="4"/>
    </row>
    <row r="11" customFormat="false" ht="27.75" hidden="false" customHeight="true" outlineLevel="0" collapsed="false">
      <c r="A11" s="5" t="s">
        <v>63</v>
      </c>
      <c r="B11" s="6" t="s">
        <v>64</v>
      </c>
    </row>
    <row r="12" customFormat="false" ht="27.75" hidden="false" customHeight="true" outlineLevel="0" collapsed="false">
      <c r="A12" s="5" t="s">
        <v>65</v>
      </c>
      <c r="B12" s="6" t="s">
        <v>66</v>
      </c>
    </row>
    <row r="13" customFormat="false" ht="42" hidden="false" customHeight="true" outlineLevel="0" collapsed="false">
      <c r="A13" s="5" t="s">
        <v>67</v>
      </c>
      <c r="B13" s="6" t="s">
        <v>68</v>
      </c>
    </row>
    <row r="14" customFormat="false" ht="55.5" hidden="false" customHeight="true" outlineLevel="0" collapsed="false">
      <c r="A14" s="5" t="s">
        <v>69</v>
      </c>
      <c r="B14" s="6" t="s">
        <v>70</v>
      </c>
    </row>
    <row r="16" customFormat="false" ht="15" hidden="false" customHeight="false" outlineLevel="0" collapsed="false">
      <c r="A16" s="3" t="s">
        <v>71</v>
      </c>
      <c r="B16" s="4"/>
    </row>
    <row r="17" customFormat="false" ht="27.75" hidden="false" customHeight="true" outlineLevel="0" collapsed="false">
      <c r="A17" s="5" t="s">
        <v>72</v>
      </c>
      <c r="B17" s="6" t="s">
        <v>73</v>
      </c>
    </row>
    <row r="18" customFormat="false" ht="42" hidden="false" customHeight="true" outlineLevel="0" collapsed="false">
      <c r="A18" s="5" t="s">
        <v>74</v>
      </c>
      <c r="B18" s="6" t="s">
        <v>75</v>
      </c>
    </row>
    <row r="19" customFormat="false" ht="27.75" hidden="false" customHeight="true" outlineLevel="0" collapsed="false">
      <c r="A19" s="5" t="s">
        <v>76</v>
      </c>
      <c r="B19" s="6" t="s">
        <v>77</v>
      </c>
    </row>
    <row r="20" customFormat="false" ht="55.5" hidden="false" customHeight="true" outlineLevel="0" collapsed="false">
      <c r="A20" s="5" t="s">
        <v>78</v>
      </c>
      <c r="B20" s="6" t="s">
        <v>79</v>
      </c>
    </row>
    <row r="21" customFormat="false" ht="27.75" hidden="false" customHeight="true" outlineLevel="0" collapsed="false">
      <c r="A21" s="5" t="s">
        <v>80</v>
      </c>
      <c r="B21" s="6" t="s">
        <v>81</v>
      </c>
    </row>
    <row r="22" customFormat="false" ht="42" hidden="false" customHeight="true" outlineLevel="0" collapsed="false">
      <c r="A22" s="5" t="s">
        <v>82</v>
      </c>
      <c r="B22" s="6" t="s">
        <v>83</v>
      </c>
    </row>
    <row r="23" customFormat="false" ht="27.75" hidden="false" customHeight="true" outlineLevel="0" collapsed="false">
      <c r="A23" s="5" t="s">
        <v>84</v>
      </c>
      <c r="B23" s="6" t="s">
        <v>85</v>
      </c>
    </row>
    <row r="25" customFormat="false" ht="15" hidden="false" customHeight="false" outlineLevel="0" collapsed="false">
      <c r="A25" s="3" t="s">
        <v>86</v>
      </c>
      <c r="B25" s="4"/>
    </row>
    <row r="26" customFormat="false" ht="42" hidden="false" customHeight="true" outlineLevel="0" collapsed="false">
      <c r="A26" s="5" t="s">
        <v>72</v>
      </c>
      <c r="B26" s="6" t="s">
        <v>87</v>
      </c>
    </row>
    <row r="27" customFormat="false" ht="42" hidden="false" customHeight="true" outlineLevel="0" collapsed="false">
      <c r="A27" s="5" t="s">
        <v>88</v>
      </c>
      <c r="B27" s="6" t="s">
        <v>89</v>
      </c>
    </row>
    <row r="28" customFormat="false" ht="27.75" hidden="false" customHeight="true" outlineLevel="0" collapsed="false">
      <c r="A28" s="5" t="s">
        <v>90</v>
      </c>
      <c r="B28" s="6" t="s">
        <v>91</v>
      </c>
    </row>
    <row r="29" customFormat="false" ht="27.75" hidden="false" customHeight="true" outlineLevel="0" collapsed="false">
      <c r="A29" s="5" t="s">
        <v>92</v>
      </c>
      <c r="B29" s="6" t="s">
        <v>93</v>
      </c>
    </row>
    <row r="31" customFormat="false" ht="15" hidden="false" customHeight="false" outlineLevel="0" collapsed="false">
      <c r="A31" s="3" t="s">
        <v>94</v>
      </c>
      <c r="B31" s="4"/>
    </row>
    <row r="32" customFormat="false" ht="42" hidden="false" customHeight="true" outlineLevel="0" collapsed="false">
      <c r="A32" s="5" t="s">
        <v>95</v>
      </c>
      <c r="B32" s="6" t="s">
        <v>96</v>
      </c>
    </row>
    <row r="34" customFormat="false" ht="15" hidden="false" customHeight="false" outlineLevel="0" collapsed="false">
      <c r="A34" s="3" t="s">
        <v>97</v>
      </c>
      <c r="B34" s="4"/>
    </row>
    <row r="35" customFormat="false" ht="45" hidden="false" customHeight="true" outlineLevel="0" collapsed="false">
      <c r="A35" s="12" t="s">
        <v>98</v>
      </c>
      <c r="B35" s="12"/>
    </row>
    <row r="37" customFormat="false" ht="15" hidden="false" customHeight="false" outlineLevel="0" collapsed="false">
      <c r="A37" s="3" t="s">
        <v>99</v>
      </c>
      <c r="B37" s="4"/>
    </row>
    <row r="38" customFormat="false" ht="27.75" hidden="false" customHeight="true" outlineLevel="0" collapsed="false">
      <c r="A38" s="5" t="s">
        <v>100</v>
      </c>
      <c r="B38" s="6" t="s">
        <v>101</v>
      </c>
    </row>
    <row r="39" customFormat="false" ht="27.75" hidden="false" customHeight="true" outlineLevel="0" collapsed="false">
      <c r="A39" s="5" t="s">
        <v>102</v>
      </c>
      <c r="B39" s="6" t="s">
        <v>103</v>
      </c>
    </row>
  </sheetData>
  <mergeCells count="1">
    <mergeCell ref="A35:B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20"/>
  </cols>
  <sheetData>
    <row r="1" customFormat="false" ht="19.7" hidden="false" customHeight="false" outlineLevel="0" collapsed="false">
      <c r="A1" s="1" t="s">
        <v>104</v>
      </c>
    </row>
    <row r="2" customFormat="false" ht="15" hidden="false" customHeight="false" outlineLevel="0" collapsed="false">
      <c r="A2" s="2" t="s">
        <v>105</v>
      </c>
    </row>
    <row r="4" customFormat="false" ht="15" hidden="false" customHeight="false" outlineLevel="0" collapsed="false">
      <c r="A4" s="3" t="s">
        <v>106</v>
      </c>
      <c r="B4" s="4"/>
    </row>
    <row r="5" customFormat="false" ht="55.5" hidden="false" customHeight="true" outlineLevel="0" collapsed="false">
      <c r="A5" s="5" t="s">
        <v>107</v>
      </c>
      <c r="B5" s="6" t="s">
        <v>108</v>
      </c>
    </row>
    <row r="6" customFormat="false" ht="27.75" hidden="false" customHeight="true" outlineLevel="0" collapsed="false">
      <c r="A6" s="5" t="s">
        <v>109</v>
      </c>
      <c r="B6" s="6" t="s">
        <v>110</v>
      </c>
    </row>
    <row r="7" customFormat="false" ht="42" hidden="false" customHeight="true" outlineLevel="0" collapsed="false">
      <c r="A7" s="5" t="s">
        <v>111</v>
      </c>
      <c r="B7" s="6" t="s">
        <v>112</v>
      </c>
    </row>
    <row r="8" customFormat="false" ht="27.75" hidden="false" customHeight="true" outlineLevel="0" collapsed="false">
      <c r="A8" s="5" t="s">
        <v>113</v>
      </c>
      <c r="B8" s="6" t="s">
        <v>114</v>
      </c>
    </row>
    <row r="9" customFormat="false" ht="27.75" hidden="false" customHeight="true" outlineLevel="0" collapsed="false">
      <c r="A9" s="5" t="s">
        <v>115</v>
      </c>
      <c r="B9" s="6" t="s">
        <v>116</v>
      </c>
    </row>
    <row r="10" customFormat="false" ht="27.75" hidden="false" customHeight="true" outlineLevel="0" collapsed="false">
      <c r="A10" s="5" t="s">
        <v>117</v>
      </c>
      <c r="B10" s="6" t="s">
        <v>118</v>
      </c>
    </row>
    <row r="11" customFormat="false" ht="27.75" hidden="false" customHeight="true" outlineLevel="0" collapsed="false">
      <c r="A11" s="5" t="s">
        <v>119</v>
      </c>
      <c r="B11" s="6" t="s">
        <v>120</v>
      </c>
    </row>
    <row r="12" customFormat="false" ht="27.75" hidden="false" customHeight="true" outlineLevel="0" collapsed="false">
      <c r="A12" s="5" t="s">
        <v>121</v>
      </c>
      <c r="B12" s="6" t="s">
        <v>122</v>
      </c>
    </row>
    <row r="14" customFormat="false" ht="15" hidden="false" customHeight="false" outlineLevel="0" collapsed="false">
      <c r="A14" s="3" t="s">
        <v>123</v>
      </c>
      <c r="B14" s="4"/>
    </row>
    <row r="15" customFormat="false" ht="42" hidden="false" customHeight="true" outlineLevel="0" collapsed="false">
      <c r="A15" s="5" t="s">
        <v>124</v>
      </c>
      <c r="B15" s="6" t="s">
        <v>125</v>
      </c>
    </row>
    <row r="16" customFormat="false" ht="27.75" hidden="false" customHeight="true" outlineLevel="0" collapsed="false">
      <c r="A16" s="5" t="s">
        <v>126</v>
      </c>
      <c r="B16" s="6" t="s">
        <v>127</v>
      </c>
    </row>
    <row r="17" customFormat="false" ht="27.75" hidden="false" customHeight="true" outlineLevel="0" collapsed="false">
      <c r="A17" s="5" t="s">
        <v>128</v>
      </c>
      <c r="B17" s="6" t="s">
        <v>129</v>
      </c>
    </row>
    <row r="18" customFormat="false" ht="27.75" hidden="false" customHeight="true" outlineLevel="0" collapsed="false">
      <c r="A18" s="5" t="s">
        <v>130</v>
      </c>
      <c r="B18" s="6" t="s">
        <v>131</v>
      </c>
    </row>
    <row r="19" customFormat="false" ht="27.75" hidden="false" customHeight="true" outlineLevel="0" collapsed="false">
      <c r="A19" s="5" t="s">
        <v>132</v>
      </c>
      <c r="B19" s="6" t="s">
        <v>133</v>
      </c>
    </row>
    <row r="20" customFormat="false" ht="27.75" hidden="false" customHeight="true" outlineLevel="0" collapsed="false">
      <c r="A20" s="5" t="s">
        <v>134</v>
      </c>
      <c r="B20" s="6" t="s">
        <v>135</v>
      </c>
    </row>
    <row r="21" customFormat="false" ht="27.75" hidden="false" customHeight="true" outlineLevel="0" collapsed="false">
      <c r="A21" s="5" t="s">
        <v>136</v>
      </c>
      <c r="B21" s="6" t="s">
        <v>137</v>
      </c>
    </row>
    <row r="23" customFormat="false" ht="15" hidden="false" customHeight="false" outlineLevel="0" collapsed="false">
      <c r="A23" s="3" t="s">
        <v>138</v>
      </c>
      <c r="B23" s="4"/>
    </row>
    <row r="24" customFormat="false" ht="27.75" hidden="false" customHeight="true" outlineLevel="0" collapsed="false">
      <c r="A24" s="5" t="s">
        <v>139</v>
      </c>
      <c r="B24" s="6" t="s">
        <v>140</v>
      </c>
    </row>
    <row r="25" customFormat="false" ht="42" hidden="false" customHeight="true" outlineLevel="0" collapsed="false">
      <c r="A25" s="5" t="s">
        <v>141</v>
      </c>
      <c r="B25" s="6" t="s">
        <v>142</v>
      </c>
    </row>
    <row r="26" customFormat="false" ht="27.75" hidden="false" customHeight="true" outlineLevel="0" collapsed="false">
      <c r="A26" s="5" t="s">
        <v>143</v>
      </c>
      <c r="B26" s="6" t="s">
        <v>144</v>
      </c>
    </row>
    <row r="27" customFormat="false" ht="27.75" hidden="false" customHeight="true" outlineLevel="0" collapsed="false">
      <c r="A27" s="5" t="s">
        <v>145</v>
      </c>
      <c r="B27" s="6" t="s">
        <v>146</v>
      </c>
    </row>
    <row r="29" customFormat="false" ht="15" hidden="false" customHeight="false" outlineLevel="0" collapsed="false">
      <c r="A29" s="3" t="s">
        <v>147</v>
      </c>
      <c r="B29" s="4"/>
    </row>
    <row r="30" customFormat="false" ht="27.75" hidden="false" customHeight="true" outlineLevel="0" collapsed="false">
      <c r="A30" s="5" t="s">
        <v>148</v>
      </c>
      <c r="B30" s="6" t="s">
        <v>149</v>
      </c>
    </row>
    <row r="31" customFormat="false" ht="27.75" hidden="false" customHeight="true" outlineLevel="0" collapsed="false">
      <c r="A31" s="5" t="s">
        <v>150</v>
      </c>
      <c r="B31" s="6" t="s">
        <v>151</v>
      </c>
    </row>
    <row r="32" customFormat="false" ht="27.75" hidden="false" customHeight="true" outlineLevel="0" collapsed="false">
      <c r="A32" s="5" t="s">
        <v>152</v>
      </c>
      <c r="B32" s="6" t="s">
        <v>153</v>
      </c>
    </row>
    <row r="33" customFormat="false" ht="27.75" hidden="false" customHeight="true" outlineLevel="0" collapsed="false">
      <c r="A33" s="5" t="s">
        <v>154</v>
      </c>
      <c r="B33" s="6" t="s">
        <v>155</v>
      </c>
    </row>
    <row r="34" customFormat="false" ht="27.75" hidden="false" customHeight="true" outlineLevel="0" collapsed="false">
      <c r="A34" s="5" t="s">
        <v>156</v>
      </c>
      <c r="B34" s="6" t="s">
        <v>157</v>
      </c>
    </row>
    <row r="35" customFormat="false" ht="15" hidden="false" customHeight="true" outlineLevel="0" collapsed="false">
      <c r="A35" s="5" t="s">
        <v>158</v>
      </c>
      <c r="B35" s="6" t="s">
        <v>159</v>
      </c>
    </row>
    <row r="37" customFormat="false" ht="15" hidden="false" customHeight="false" outlineLevel="0" collapsed="false">
      <c r="A37" s="3" t="s">
        <v>160</v>
      </c>
      <c r="B37" s="4"/>
    </row>
    <row r="38" customFormat="false" ht="15" hidden="false" customHeight="true" outlineLevel="0" collapsed="false">
      <c r="A38" s="5" t="s">
        <v>161</v>
      </c>
      <c r="B38" s="6" t="s">
        <v>162</v>
      </c>
    </row>
    <row r="39" customFormat="false" ht="55.5" hidden="false" customHeight="true" outlineLevel="0" collapsed="false">
      <c r="A39" s="5" t="s">
        <v>163</v>
      </c>
      <c r="B39" s="6" t="s">
        <v>164</v>
      </c>
    </row>
    <row r="40" customFormat="false" ht="42" hidden="false" customHeight="true" outlineLevel="0" collapsed="false">
      <c r="A40" s="5" t="s">
        <v>165</v>
      </c>
      <c r="B40" s="6" t="s">
        <v>166</v>
      </c>
    </row>
    <row r="41" customFormat="false" ht="27.75" hidden="false" customHeight="true" outlineLevel="0" collapsed="false">
      <c r="A41" s="5" t="s">
        <v>167</v>
      </c>
      <c r="B41" s="6" t="s">
        <v>168</v>
      </c>
    </row>
    <row r="43" customFormat="false" ht="15" hidden="false" customHeight="false" outlineLevel="0" collapsed="false">
      <c r="A43" s="3" t="s">
        <v>169</v>
      </c>
      <c r="B43" s="4"/>
    </row>
    <row r="44" customFormat="false" ht="27.75" hidden="false" customHeight="true" outlineLevel="0" collapsed="false">
      <c r="A44" s="5" t="s">
        <v>170</v>
      </c>
      <c r="B44" s="6" t="s">
        <v>171</v>
      </c>
    </row>
    <row r="45" customFormat="false" ht="27.75" hidden="false" customHeight="true" outlineLevel="0" collapsed="false">
      <c r="A45" s="5" t="s">
        <v>172</v>
      </c>
      <c r="B45" s="6" t="s">
        <v>173</v>
      </c>
    </row>
    <row r="46" customFormat="false" ht="27.75" hidden="false" customHeight="true" outlineLevel="0" collapsed="false">
      <c r="A46" s="5" t="s">
        <v>174</v>
      </c>
      <c r="B46" s="6" t="s">
        <v>175</v>
      </c>
    </row>
    <row r="47" customFormat="false" ht="42" hidden="false" customHeight="true" outlineLevel="0" collapsed="false">
      <c r="A47" s="5" t="s">
        <v>176</v>
      </c>
      <c r="B47" s="6" t="s">
        <v>177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39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9"/>
    <col collapsed="false" customWidth="true" hidden="false" outlineLevel="0" max="4" min="4" style="0" width="7"/>
    <col collapsed="false" customWidth="true" hidden="false" outlineLevel="0" max="5" min="5" style="0" width="11"/>
    <col collapsed="false" customWidth="true" hidden="false" outlineLevel="0" max="7" min="6" style="0" width="9"/>
    <col collapsed="false" customWidth="true" hidden="false" outlineLevel="0" max="8" min="8" style="0" width="7"/>
    <col collapsed="false" customWidth="true" hidden="false" outlineLevel="0" max="9" min="9" style="0" width="22"/>
    <col collapsed="false" customWidth="true" hidden="false" outlineLevel="0" max="10" min="10" style="0" width="26"/>
    <col collapsed="false" customWidth="true" hidden="false" outlineLevel="0" max="12" min="11" style="0" width="18"/>
    <col collapsed="false" customWidth="true" hidden="false" outlineLevel="0" max="14" min="13" style="0" width="10"/>
    <col collapsed="false" customWidth="true" hidden="false" outlineLevel="0" max="15" min="15" style="0" width="11"/>
    <col collapsed="false" customWidth="true" hidden="false" outlineLevel="0" max="16" min="16" style="0" width="30"/>
    <col collapsed="false" customWidth="true" hidden="false" outlineLevel="0" max="17" min="17" style="0" width="45"/>
    <col collapsed="false" customWidth="true" hidden="false" outlineLevel="0" max="18" min="18" style="0" width="55"/>
    <col collapsed="false" customWidth="true" hidden="false" outlineLevel="0" max="19" min="19" style="0" width="20"/>
    <col collapsed="false" customWidth="true" hidden="false" outlineLevel="0" max="20" min="20" style="0" width="18"/>
    <col collapsed="false" customWidth="true" hidden="false" outlineLevel="0" max="21" min="21" style="0" width="20"/>
    <col collapsed="false" customWidth="true" hidden="false" outlineLevel="0" max="22" min="22" style="0" width="14"/>
    <col collapsed="false" customWidth="true" hidden="false" outlineLevel="0" max="23" min="23" style="0" width="12"/>
    <col collapsed="false" customWidth="true" hidden="false" outlineLevel="0" max="24" min="24" style="0" width="11"/>
    <col collapsed="false" customWidth="true" hidden="false" outlineLevel="0" max="25" min="25" style="0" width="10"/>
    <col collapsed="false" customWidth="true" hidden="false" outlineLevel="0" max="27" min="26" style="0" width="9"/>
    <col collapsed="false" customWidth="true" hidden="false" outlineLevel="0" max="28" min="28" style="0" width="8"/>
    <col collapsed="false" customWidth="true" hidden="false" outlineLevel="0" max="33" min="29" style="0" width="9"/>
    <col collapsed="false" customWidth="true" hidden="false" outlineLevel="0" max="35" min="34" style="0" width="8"/>
    <col collapsed="false" customWidth="true" hidden="false" outlineLevel="0" max="36" min="36" style="0" width="9"/>
    <col collapsed="false" customWidth="true" hidden="false" outlineLevel="0" max="37" min="37" style="0" width="24"/>
    <col collapsed="false" customWidth="true" hidden="false" outlineLevel="0" max="38" min="38" style="0" width="9"/>
    <col collapsed="false" customWidth="true" hidden="false" outlineLevel="0" max="39" min="39" style="0" width="45"/>
    <col collapsed="false" customWidth="true" hidden="false" outlineLevel="0" max="40" min="40" style="0" width="50"/>
    <col collapsed="false" customWidth="true" hidden="false" outlineLevel="0" max="41" min="41" style="0" width="45"/>
    <col collapsed="false" customWidth="true" hidden="false" outlineLevel="0" max="43" min="42" style="0" width="30"/>
    <col collapsed="false" customWidth="true" hidden="false" outlineLevel="0" max="44" min="44" style="0" width="12"/>
    <col collapsed="false" customWidth="true" hidden="false" outlineLevel="0" max="45" min="45" style="0" width="40"/>
  </cols>
  <sheetData>
    <row r="1" customFormat="false" ht="31.5" hidden="false" customHeight="true" outlineLevel="0" collapsed="false">
      <c r="A1" s="13" t="s">
        <v>178</v>
      </c>
      <c r="B1" s="13" t="s">
        <v>179</v>
      </c>
      <c r="C1" s="13" t="s">
        <v>180</v>
      </c>
      <c r="D1" s="13" t="s">
        <v>181</v>
      </c>
      <c r="E1" s="13" t="s">
        <v>182</v>
      </c>
      <c r="F1" s="13" t="s">
        <v>183</v>
      </c>
      <c r="G1" s="13" t="s">
        <v>36</v>
      </c>
      <c r="H1" s="13" t="s">
        <v>38</v>
      </c>
      <c r="I1" s="13" t="s">
        <v>184</v>
      </c>
      <c r="J1" s="13" t="s">
        <v>185</v>
      </c>
      <c r="K1" s="13" t="s">
        <v>186</v>
      </c>
      <c r="L1" s="13" t="s">
        <v>187</v>
      </c>
      <c r="M1" s="13" t="s">
        <v>188</v>
      </c>
      <c r="N1" s="13" t="s">
        <v>189</v>
      </c>
      <c r="O1" s="13" t="s">
        <v>190</v>
      </c>
      <c r="P1" s="13" t="s">
        <v>191</v>
      </c>
      <c r="Q1" s="13" t="s">
        <v>192</v>
      </c>
      <c r="R1" s="13" t="s">
        <v>193</v>
      </c>
      <c r="S1" s="13" t="s">
        <v>194</v>
      </c>
      <c r="T1" s="13" t="s">
        <v>195</v>
      </c>
      <c r="U1" s="13" t="s">
        <v>196</v>
      </c>
      <c r="V1" s="13" t="s">
        <v>197</v>
      </c>
      <c r="W1" s="13" t="s">
        <v>198</v>
      </c>
      <c r="X1" s="13" t="s">
        <v>199</v>
      </c>
      <c r="Y1" s="13" t="s">
        <v>200</v>
      </c>
      <c r="Z1" s="13" t="s">
        <v>201</v>
      </c>
      <c r="AA1" s="13" t="s">
        <v>202</v>
      </c>
      <c r="AB1" s="13" t="s">
        <v>203</v>
      </c>
      <c r="AC1" s="13" t="s">
        <v>204</v>
      </c>
      <c r="AD1" s="13" t="s">
        <v>205</v>
      </c>
      <c r="AE1" s="13" t="s">
        <v>206</v>
      </c>
      <c r="AF1" s="13" t="s">
        <v>207</v>
      </c>
      <c r="AG1" s="13" t="s">
        <v>208</v>
      </c>
      <c r="AH1" s="13" t="s">
        <v>42</v>
      </c>
      <c r="AI1" s="13" t="s">
        <v>209</v>
      </c>
      <c r="AJ1" s="13" t="s">
        <v>210</v>
      </c>
      <c r="AK1" s="13" t="s">
        <v>211</v>
      </c>
      <c r="AL1" s="13" t="s">
        <v>212</v>
      </c>
      <c r="AM1" s="13" t="s">
        <v>213</v>
      </c>
      <c r="AN1" s="13" t="s">
        <v>214</v>
      </c>
      <c r="AO1" s="13" t="s">
        <v>215</v>
      </c>
      <c r="AP1" s="13" t="s">
        <v>216</v>
      </c>
      <c r="AQ1" s="13" t="s">
        <v>217</v>
      </c>
      <c r="AR1" s="13" t="s">
        <v>218</v>
      </c>
      <c r="AS1" s="13" t="s">
        <v>219</v>
      </c>
    </row>
    <row r="2" customFormat="false" ht="60" hidden="false" customHeight="true" outlineLevel="0" collapsed="false">
      <c r="A2" s="14" t="n">
        <v>1</v>
      </c>
      <c r="B2" s="14" t="s">
        <v>220</v>
      </c>
      <c r="C2" s="14" t="s">
        <v>221</v>
      </c>
      <c r="D2" s="14" t="s">
        <v>222</v>
      </c>
      <c r="E2" s="14" t="s">
        <v>36</v>
      </c>
      <c r="F2" s="14" t="s">
        <v>223</v>
      </c>
      <c r="G2" s="14" t="s">
        <v>223</v>
      </c>
      <c r="H2" s="14" t="s">
        <v>224</v>
      </c>
      <c r="I2" s="14" t="s">
        <v>225</v>
      </c>
      <c r="J2" s="14" t="s">
        <v>226</v>
      </c>
      <c r="K2" s="14" t="s">
        <v>227</v>
      </c>
      <c r="L2" s="14" t="s">
        <v>228</v>
      </c>
      <c r="M2" s="15" t="n">
        <v>12888</v>
      </c>
      <c r="N2" s="14" t="s">
        <v>229</v>
      </c>
      <c r="O2" s="14" t="s">
        <v>230</v>
      </c>
      <c r="P2" s="16" t="s">
        <v>231</v>
      </c>
      <c r="Q2" s="6" t="s">
        <v>232</v>
      </c>
      <c r="R2" s="6" t="s">
        <v>233</v>
      </c>
      <c r="S2" s="14" t="s">
        <v>234</v>
      </c>
      <c r="T2" s="14" t="s">
        <v>235</v>
      </c>
      <c r="U2" s="14" t="s">
        <v>236</v>
      </c>
      <c r="V2" s="14" t="s">
        <v>237</v>
      </c>
      <c r="W2" s="14" t="s">
        <v>238</v>
      </c>
      <c r="X2" s="14" t="s">
        <v>239</v>
      </c>
      <c r="Y2" s="15" t="n">
        <v>105656</v>
      </c>
      <c r="Z2" s="15" t="n">
        <v>1016</v>
      </c>
      <c r="AA2" s="14" t="n">
        <v>36</v>
      </c>
      <c r="AB2" s="14" t="n">
        <v>67</v>
      </c>
      <c r="AC2" s="17" t="n">
        <v>0.0105909744832286</v>
      </c>
      <c r="AD2" s="18" t="n">
        <v>243.68</v>
      </c>
      <c r="AE2" s="18" t="n">
        <f aca="false">IF(AD2="","",MIN(AD2,100))</f>
        <v>100</v>
      </c>
      <c r="AF2" s="14" t="n">
        <v>99</v>
      </c>
      <c r="AG2" s="14" t="s">
        <v>224</v>
      </c>
      <c r="AH2" s="14" t="n">
        <v>10</v>
      </c>
      <c r="AI2" s="14" t="s">
        <v>224</v>
      </c>
      <c r="AJ2" s="14" t="s">
        <v>224</v>
      </c>
      <c r="AK2" s="14" t="s">
        <v>240</v>
      </c>
      <c r="AL2" s="19" t="n">
        <f aca="false">ROUND('Start Here'!$B$29*AH2+'Start Here'!$B$30*MIN(IF(AD2="",0,AD2),50)/5+IF(M2&lt;=30000,'Start Here'!$B$31,IF(M2&lt;=60000,'Start Here'!$B$32,0)),1)</f>
        <v>10</v>
      </c>
      <c r="AM2" s="6" t="s">
        <v>241</v>
      </c>
      <c r="AN2" s="6" t="s">
        <v>242</v>
      </c>
      <c r="AO2" s="6" t="s">
        <v>243</v>
      </c>
      <c r="AP2" s="14" t="s">
        <v>244</v>
      </c>
      <c r="AQ2" s="14" t="s">
        <v>245</v>
      </c>
      <c r="AR2" s="20" t="s">
        <v>246</v>
      </c>
      <c r="AS2" s="20"/>
    </row>
    <row r="3" customFormat="false" ht="60" hidden="false" customHeight="true" outlineLevel="0" collapsed="false">
      <c r="A3" s="14" t="n">
        <v>2</v>
      </c>
      <c r="B3" s="14" t="s">
        <v>247</v>
      </c>
      <c r="C3" s="14" t="s">
        <v>221</v>
      </c>
      <c r="D3" s="14" t="s">
        <v>222</v>
      </c>
      <c r="E3" s="14" t="s">
        <v>36</v>
      </c>
      <c r="F3" s="14" t="s">
        <v>223</v>
      </c>
      <c r="G3" s="14" t="s">
        <v>223</v>
      </c>
      <c r="H3" s="14" t="s">
        <v>224</v>
      </c>
      <c r="I3" s="14" t="s">
        <v>225</v>
      </c>
      <c r="J3" s="14" t="s">
        <v>248</v>
      </c>
      <c r="K3" s="14" t="s">
        <v>249</v>
      </c>
      <c r="L3" s="14" t="s">
        <v>250</v>
      </c>
      <c r="M3" s="15" t="n">
        <v>13612</v>
      </c>
      <c r="N3" s="14" t="s">
        <v>229</v>
      </c>
      <c r="O3" s="14" t="s">
        <v>251</v>
      </c>
      <c r="P3" s="16" t="s">
        <v>252</v>
      </c>
      <c r="Q3" s="6" t="s">
        <v>253</v>
      </c>
      <c r="R3" s="6" t="s">
        <v>254</v>
      </c>
      <c r="S3" s="14" t="s">
        <v>255</v>
      </c>
      <c r="T3" s="14" t="s">
        <v>235</v>
      </c>
      <c r="U3" s="14" t="s">
        <v>236</v>
      </c>
      <c r="V3" s="14" t="s">
        <v>256</v>
      </c>
      <c r="W3" s="14" t="s">
        <v>257</v>
      </c>
      <c r="X3" s="14" t="s">
        <v>258</v>
      </c>
      <c r="Y3" s="15" t="n">
        <v>73913</v>
      </c>
      <c r="Z3" s="15" t="n">
        <v>2054</v>
      </c>
      <c r="AA3" s="14" t="n">
        <v>117</v>
      </c>
      <c r="AB3" s="14"/>
      <c r="AC3" s="17" t="n">
        <v>0.0293723702190413</v>
      </c>
      <c r="AD3" s="18" t="n">
        <v>922.06</v>
      </c>
      <c r="AE3" s="18" t="n">
        <f aca="false">IF(AD3="","",MIN(AD3,100))</f>
        <v>100</v>
      </c>
      <c r="AF3" s="14" t="n">
        <v>98.6</v>
      </c>
      <c r="AG3" s="14" t="s">
        <v>224</v>
      </c>
      <c r="AH3" s="14" t="n">
        <v>10</v>
      </c>
      <c r="AI3" s="14" t="s">
        <v>224</v>
      </c>
      <c r="AJ3" s="14" t="s">
        <v>224</v>
      </c>
      <c r="AK3" s="14" t="s">
        <v>240</v>
      </c>
      <c r="AL3" s="19" t="n">
        <f aca="false">ROUND('Start Here'!$B$29*AH3+'Start Here'!$B$30*MIN(IF(AD3="",0,AD3),50)/5+IF(M3&lt;=30000,'Start Here'!$B$31,IF(M3&lt;=60000,'Start Here'!$B$32,0)),1)</f>
        <v>10</v>
      </c>
      <c r="AM3" s="6" t="s">
        <v>259</v>
      </c>
      <c r="AN3" s="6" t="s">
        <v>260</v>
      </c>
      <c r="AO3" s="6" t="s">
        <v>261</v>
      </c>
      <c r="AP3" s="14" t="s">
        <v>262</v>
      </c>
      <c r="AQ3" s="14" t="s">
        <v>263</v>
      </c>
      <c r="AR3" s="20" t="s">
        <v>246</v>
      </c>
      <c r="AS3" s="20"/>
    </row>
    <row r="4" customFormat="false" ht="60" hidden="false" customHeight="true" outlineLevel="0" collapsed="false">
      <c r="A4" s="14" t="n">
        <v>3</v>
      </c>
      <c r="B4" s="14" t="s">
        <v>247</v>
      </c>
      <c r="C4" s="14" t="s">
        <v>221</v>
      </c>
      <c r="D4" s="14" t="s">
        <v>222</v>
      </c>
      <c r="E4" s="14" t="s">
        <v>36</v>
      </c>
      <c r="F4" s="14" t="s">
        <v>223</v>
      </c>
      <c r="G4" s="14" t="s">
        <v>223</v>
      </c>
      <c r="H4" s="14" t="s">
        <v>224</v>
      </c>
      <c r="I4" s="14" t="s">
        <v>264</v>
      </c>
      <c r="J4" s="14" t="s">
        <v>265</v>
      </c>
      <c r="K4" s="14" t="s">
        <v>266</v>
      </c>
      <c r="L4" s="14" t="s">
        <v>267</v>
      </c>
      <c r="M4" s="15" t="n">
        <v>19437</v>
      </c>
      <c r="N4" s="14" t="s">
        <v>229</v>
      </c>
      <c r="O4" s="14" t="s">
        <v>268</v>
      </c>
      <c r="P4" s="16" t="s">
        <v>269</v>
      </c>
      <c r="Q4" s="6" t="s">
        <v>270</v>
      </c>
      <c r="R4" s="6" t="s">
        <v>271</v>
      </c>
      <c r="S4" s="14" t="s">
        <v>272</v>
      </c>
      <c r="T4" s="14" t="s">
        <v>273</v>
      </c>
      <c r="U4" s="14" t="s">
        <v>274</v>
      </c>
      <c r="V4" s="14" t="s">
        <v>237</v>
      </c>
      <c r="W4" s="14" t="s">
        <v>275</v>
      </c>
      <c r="X4" s="14" t="s">
        <v>239</v>
      </c>
      <c r="Y4" s="15" t="n">
        <v>194374</v>
      </c>
      <c r="Z4" s="15" t="n">
        <v>7303</v>
      </c>
      <c r="AA4" s="14" t="n">
        <v>4823</v>
      </c>
      <c r="AB4" s="14"/>
      <c r="AC4" s="17" t="n">
        <v>0</v>
      </c>
      <c r="AD4" s="18" t="n">
        <v>410.07</v>
      </c>
      <c r="AE4" s="18" t="n">
        <f aca="false">IF(AD4="","",MIN(AD4,100))</f>
        <v>100</v>
      </c>
      <c r="AF4" s="14" t="n">
        <v>99.8</v>
      </c>
      <c r="AG4" s="14" t="s">
        <v>224</v>
      </c>
      <c r="AH4" s="14" t="n">
        <v>10</v>
      </c>
      <c r="AI4" s="14" t="s">
        <v>224</v>
      </c>
      <c r="AJ4" s="14" t="s">
        <v>224</v>
      </c>
      <c r="AK4" s="14" t="s">
        <v>240</v>
      </c>
      <c r="AL4" s="19" t="n">
        <f aca="false">ROUND('Start Here'!$B$29*AH4+'Start Here'!$B$30*MIN(IF(AD4="",0,AD4),50)/5+IF(M4&lt;=30000,'Start Here'!$B$31,IF(M4&lt;=60000,'Start Here'!$B$32,0)),1)</f>
        <v>10</v>
      </c>
      <c r="AM4" s="6" t="s">
        <v>276</v>
      </c>
      <c r="AN4" s="6" t="s">
        <v>277</v>
      </c>
      <c r="AO4" s="6" t="s">
        <v>278</v>
      </c>
      <c r="AP4" s="14" t="s">
        <v>279</v>
      </c>
      <c r="AQ4" s="14" t="s">
        <v>263</v>
      </c>
      <c r="AR4" s="20" t="s">
        <v>246</v>
      </c>
      <c r="AS4" s="20"/>
    </row>
    <row r="5" customFormat="false" ht="60" hidden="false" customHeight="true" outlineLevel="0" collapsed="false">
      <c r="A5" s="14" t="n">
        <v>4</v>
      </c>
      <c r="B5" s="14" t="s">
        <v>247</v>
      </c>
      <c r="C5" s="14" t="s">
        <v>221</v>
      </c>
      <c r="D5" s="14" t="s">
        <v>222</v>
      </c>
      <c r="E5" s="14" t="s">
        <v>36</v>
      </c>
      <c r="F5" s="14" t="s">
        <v>223</v>
      </c>
      <c r="G5" s="14" t="s">
        <v>223</v>
      </c>
      <c r="H5" s="14" t="s">
        <v>224</v>
      </c>
      <c r="I5" s="14" t="s">
        <v>225</v>
      </c>
      <c r="J5" s="14" t="s">
        <v>280</v>
      </c>
      <c r="K5" s="14" t="s">
        <v>281</v>
      </c>
      <c r="L5" s="14" t="s">
        <v>282</v>
      </c>
      <c r="M5" s="15" t="n">
        <v>5949</v>
      </c>
      <c r="N5" s="14" t="s">
        <v>283</v>
      </c>
      <c r="O5" s="14" t="s">
        <v>284</v>
      </c>
      <c r="P5" s="16" t="s">
        <v>285</v>
      </c>
      <c r="Q5" s="6" t="s">
        <v>286</v>
      </c>
      <c r="R5" s="6" t="s">
        <v>287</v>
      </c>
      <c r="S5" s="14" t="s">
        <v>234</v>
      </c>
      <c r="T5" s="14" t="s">
        <v>235</v>
      </c>
      <c r="U5" s="14" t="s">
        <v>236</v>
      </c>
      <c r="V5" s="14" t="s">
        <v>288</v>
      </c>
      <c r="W5" s="14" t="s">
        <v>275</v>
      </c>
      <c r="X5" s="14" t="s">
        <v>289</v>
      </c>
      <c r="Y5" s="15" t="n">
        <v>10279</v>
      </c>
      <c r="Z5" s="15" t="n">
        <v>29</v>
      </c>
      <c r="AA5" s="14" t="n">
        <v>0</v>
      </c>
      <c r="AB5" s="14"/>
      <c r="AC5" s="17" t="n">
        <v>0.00282128611732659</v>
      </c>
      <c r="AD5" s="18" t="n">
        <v>161.76</v>
      </c>
      <c r="AE5" s="18" t="n">
        <f aca="false">IF(AD5="","",MIN(AD5,100))</f>
        <v>100</v>
      </c>
      <c r="AF5" s="14" t="n">
        <v>100</v>
      </c>
      <c r="AG5" s="14" t="s">
        <v>224</v>
      </c>
      <c r="AH5" s="14" t="n">
        <v>10</v>
      </c>
      <c r="AI5" s="14" t="s">
        <v>224</v>
      </c>
      <c r="AJ5" s="14" t="s">
        <v>224</v>
      </c>
      <c r="AK5" s="14" t="s">
        <v>240</v>
      </c>
      <c r="AL5" s="19" t="n">
        <f aca="false">ROUND('Start Here'!$B$29*AH5+'Start Here'!$B$30*MIN(IF(AD5="",0,AD5),50)/5+IF(M5&lt;=30000,'Start Here'!$B$31,IF(M5&lt;=60000,'Start Here'!$B$32,0)),1)</f>
        <v>10</v>
      </c>
      <c r="AM5" s="6" t="s">
        <v>290</v>
      </c>
      <c r="AN5" s="6" t="s">
        <v>291</v>
      </c>
      <c r="AO5" s="6" t="s">
        <v>292</v>
      </c>
      <c r="AP5" s="14" t="s">
        <v>293</v>
      </c>
      <c r="AQ5" s="14" t="s">
        <v>294</v>
      </c>
      <c r="AR5" s="20" t="s">
        <v>246</v>
      </c>
      <c r="AS5" s="20"/>
    </row>
    <row r="6" customFormat="false" ht="60" hidden="false" customHeight="true" outlineLevel="0" collapsed="false">
      <c r="A6" s="14" t="n">
        <v>5</v>
      </c>
      <c r="B6" s="14" t="s">
        <v>247</v>
      </c>
      <c r="C6" s="14" t="s">
        <v>221</v>
      </c>
      <c r="D6" s="14" t="s">
        <v>222</v>
      </c>
      <c r="E6" s="14" t="s">
        <v>36</v>
      </c>
      <c r="F6" s="14" t="s">
        <v>223</v>
      </c>
      <c r="G6" s="14" t="s">
        <v>223</v>
      </c>
      <c r="H6" s="14" t="s">
        <v>224</v>
      </c>
      <c r="I6" s="14" t="s">
        <v>225</v>
      </c>
      <c r="J6" s="14" t="s">
        <v>295</v>
      </c>
      <c r="K6" s="14" t="s">
        <v>296</v>
      </c>
      <c r="L6" s="14" t="s">
        <v>297</v>
      </c>
      <c r="M6" s="15" t="n">
        <v>29450</v>
      </c>
      <c r="N6" s="14" t="s">
        <v>298</v>
      </c>
      <c r="O6" s="14" t="s">
        <v>299</v>
      </c>
      <c r="P6" s="16" t="s">
        <v>300</v>
      </c>
      <c r="Q6" s="6" t="s">
        <v>301</v>
      </c>
      <c r="R6" s="6" t="s">
        <v>302</v>
      </c>
      <c r="S6" s="14" t="s">
        <v>272</v>
      </c>
      <c r="T6" s="14" t="s">
        <v>273</v>
      </c>
      <c r="U6" s="14" t="s">
        <v>274</v>
      </c>
      <c r="V6" s="14" t="s">
        <v>288</v>
      </c>
      <c r="W6" s="14" t="s">
        <v>257</v>
      </c>
      <c r="X6" s="14" t="s">
        <v>258</v>
      </c>
      <c r="Y6" s="15" t="n">
        <v>120649</v>
      </c>
      <c r="Z6" s="15" t="n">
        <v>3013</v>
      </c>
      <c r="AA6" s="14" t="n">
        <v>3411</v>
      </c>
      <c r="AB6" s="14"/>
      <c r="AC6" s="17" t="n">
        <v>0.0532453646528359</v>
      </c>
      <c r="AD6" s="18" t="n">
        <v>62.28</v>
      </c>
      <c r="AE6" s="18" t="n">
        <f aca="false">IF(AD6="","",MIN(AD6,100))</f>
        <v>62.28</v>
      </c>
      <c r="AF6" s="14" t="n">
        <v>99.7</v>
      </c>
      <c r="AG6" s="14" t="s">
        <v>224</v>
      </c>
      <c r="AH6" s="14" t="n">
        <v>10</v>
      </c>
      <c r="AI6" s="14" t="s">
        <v>224</v>
      </c>
      <c r="AJ6" s="14" t="s">
        <v>224</v>
      </c>
      <c r="AK6" s="14" t="s">
        <v>240</v>
      </c>
      <c r="AL6" s="19" t="n">
        <f aca="false">ROUND('Start Here'!$B$29*AH6+'Start Here'!$B$30*MIN(IF(AD6="",0,AD6),50)/5+IF(M6&lt;=30000,'Start Here'!$B$31,IF(M6&lt;=60000,'Start Here'!$B$32,0)),1)</f>
        <v>10</v>
      </c>
      <c r="AM6" s="6" t="s">
        <v>303</v>
      </c>
      <c r="AN6" s="6" t="s">
        <v>304</v>
      </c>
      <c r="AO6" s="6" t="s">
        <v>305</v>
      </c>
      <c r="AP6" s="14" t="s">
        <v>306</v>
      </c>
      <c r="AQ6" s="14" t="s">
        <v>307</v>
      </c>
      <c r="AR6" s="20" t="s">
        <v>246</v>
      </c>
      <c r="AS6" s="20"/>
    </row>
    <row r="7" customFormat="false" ht="60" hidden="false" customHeight="true" outlineLevel="0" collapsed="false">
      <c r="A7" s="14" t="n">
        <v>6</v>
      </c>
      <c r="B7" s="14" t="s">
        <v>220</v>
      </c>
      <c r="C7" s="14" t="s">
        <v>221</v>
      </c>
      <c r="D7" s="14" t="s">
        <v>222</v>
      </c>
      <c r="E7" s="14" t="s">
        <v>36</v>
      </c>
      <c r="F7" s="14" t="s">
        <v>223</v>
      </c>
      <c r="G7" s="14" t="s">
        <v>223</v>
      </c>
      <c r="H7" s="14" t="s">
        <v>223</v>
      </c>
      <c r="I7" s="14" t="s">
        <v>308</v>
      </c>
      <c r="J7" s="14" t="s">
        <v>309</v>
      </c>
      <c r="K7" s="14" t="s">
        <v>310</v>
      </c>
      <c r="L7" s="14" t="s">
        <v>311</v>
      </c>
      <c r="M7" s="15" t="n">
        <v>10660</v>
      </c>
      <c r="N7" s="14" t="s">
        <v>229</v>
      </c>
      <c r="O7" s="14" t="s">
        <v>312</v>
      </c>
      <c r="P7" s="16" t="s">
        <v>313</v>
      </c>
      <c r="Q7" s="6" t="s">
        <v>314</v>
      </c>
      <c r="R7" s="6" t="s">
        <v>315</v>
      </c>
      <c r="S7" s="14" t="s">
        <v>234</v>
      </c>
      <c r="T7" s="14" t="s">
        <v>316</v>
      </c>
      <c r="U7" s="14" t="s">
        <v>236</v>
      </c>
      <c r="V7" s="14" t="s">
        <v>237</v>
      </c>
      <c r="W7" s="14" t="s">
        <v>257</v>
      </c>
      <c r="X7" s="14" t="s">
        <v>239</v>
      </c>
      <c r="Y7" s="15" t="n">
        <v>822907</v>
      </c>
      <c r="Z7" s="15" t="n">
        <v>1554</v>
      </c>
      <c r="AA7" s="14" t="n">
        <v>46</v>
      </c>
      <c r="AB7" s="14" t="n">
        <v>77</v>
      </c>
      <c r="AC7" s="17" t="n">
        <v>0.00203789735656642</v>
      </c>
      <c r="AD7" s="18" t="n">
        <v>48</v>
      </c>
      <c r="AE7" s="18" t="n">
        <f aca="false">IF(AD7="","",MIN(AD7,100))</f>
        <v>48</v>
      </c>
      <c r="AF7" s="14" t="n">
        <v>99.7</v>
      </c>
      <c r="AG7" s="14" t="s">
        <v>224</v>
      </c>
      <c r="AH7" s="14" t="n">
        <v>10</v>
      </c>
      <c r="AI7" s="14" t="s">
        <v>224</v>
      </c>
      <c r="AJ7" s="14" t="s">
        <v>224</v>
      </c>
      <c r="AK7" s="14" t="s">
        <v>240</v>
      </c>
      <c r="AL7" s="19" t="n">
        <f aca="false">ROUND('Start Here'!$B$29*AH7+'Start Here'!$B$30*MIN(IF(AD7="",0,AD7),50)/5+IF(M7&lt;=30000,'Start Here'!$B$31,IF(M7&lt;=60000,'Start Here'!$B$32,0)),1)</f>
        <v>9.9</v>
      </c>
      <c r="AM7" s="6" t="s">
        <v>317</v>
      </c>
      <c r="AN7" s="6" t="s">
        <v>318</v>
      </c>
      <c r="AO7" s="6" t="s">
        <v>319</v>
      </c>
      <c r="AP7" s="14" t="s">
        <v>320</v>
      </c>
      <c r="AQ7" s="14" t="s">
        <v>321</v>
      </c>
      <c r="AR7" s="20" t="s">
        <v>246</v>
      </c>
      <c r="AS7" s="20"/>
    </row>
    <row r="8" customFormat="false" ht="60" hidden="false" customHeight="true" outlineLevel="0" collapsed="false">
      <c r="A8" s="14" t="n">
        <v>7</v>
      </c>
      <c r="B8" s="14" t="s">
        <v>220</v>
      </c>
      <c r="C8" s="14" t="s">
        <v>221</v>
      </c>
      <c r="D8" s="14" t="s">
        <v>222</v>
      </c>
      <c r="E8" s="14" t="s">
        <v>36</v>
      </c>
      <c r="F8" s="14" t="s">
        <v>223</v>
      </c>
      <c r="G8" s="14" t="s">
        <v>223</v>
      </c>
      <c r="H8" s="14" t="s">
        <v>223</v>
      </c>
      <c r="I8" s="14" t="s">
        <v>322</v>
      </c>
      <c r="J8" s="14" t="s">
        <v>323</v>
      </c>
      <c r="K8" s="14" t="s">
        <v>324</v>
      </c>
      <c r="L8" s="14" t="s">
        <v>325</v>
      </c>
      <c r="M8" s="15" t="n">
        <v>22306</v>
      </c>
      <c r="N8" s="14" t="s">
        <v>298</v>
      </c>
      <c r="O8" s="14" t="s">
        <v>326</v>
      </c>
      <c r="P8" s="16" t="s">
        <v>327</v>
      </c>
      <c r="Q8" s="6" t="s">
        <v>328</v>
      </c>
      <c r="R8" s="6" t="s">
        <v>329</v>
      </c>
      <c r="S8" s="14" t="s">
        <v>330</v>
      </c>
      <c r="T8" s="14" t="s">
        <v>235</v>
      </c>
      <c r="U8" s="14" t="s">
        <v>236</v>
      </c>
      <c r="V8" s="14" t="s">
        <v>331</v>
      </c>
      <c r="W8" s="14" t="s">
        <v>332</v>
      </c>
      <c r="X8" s="14" t="s">
        <v>333</v>
      </c>
      <c r="Y8" s="15" t="n">
        <v>528885</v>
      </c>
      <c r="Z8" s="15" t="n">
        <v>1769</v>
      </c>
      <c r="AA8" s="14" t="n">
        <v>341</v>
      </c>
      <c r="AB8" s="14" t="n">
        <v>212</v>
      </c>
      <c r="AC8" s="17" t="n">
        <v>0.00439036841657449</v>
      </c>
      <c r="AD8" s="18" t="n">
        <v>47.07</v>
      </c>
      <c r="AE8" s="18" t="n">
        <f aca="false">IF(AD8="","",MIN(AD8,100))</f>
        <v>47.07</v>
      </c>
      <c r="AF8" s="14" t="n">
        <v>99.5</v>
      </c>
      <c r="AG8" s="14" t="s">
        <v>224</v>
      </c>
      <c r="AH8" s="14" t="n">
        <v>10</v>
      </c>
      <c r="AI8" s="14" t="s">
        <v>224</v>
      </c>
      <c r="AJ8" s="14" t="s">
        <v>224</v>
      </c>
      <c r="AK8" s="14" t="s">
        <v>240</v>
      </c>
      <c r="AL8" s="19" t="n">
        <f aca="false">ROUND('Start Here'!$B$29*AH8+'Start Here'!$B$30*MIN(IF(AD8="",0,AD8),50)/5+IF(M8&lt;=30000,'Start Here'!$B$31,IF(M8&lt;=60000,'Start Here'!$B$32,0)),1)</f>
        <v>9.8</v>
      </c>
      <c r="AM8" s="6" t="s">
        <v>334</v>
      </c>
      <c r="AN8" s="6" t="s">
        <v>335</v>
      </c>
      <c r="AO8" s="6" t="s">
        <v>336</v>
      </c>
      <c r="AP8" s="14" t="s">
        <v>337</v>
      </c>
      <c r="AQ8" s="14" t="s">
        <v>307</v>
      </c>
      <c r="AR8" s="20" t="s">
        <v>246</v>
      </c>
      <c r="AS8" s="20"/>
    </row>
    <row r="9" customFormat="false" ht="60" hidden="false" customHeight="true" outlineLevel="0" collapsed="false">
      <c r="A9" s="14" t="n">
        <v>8</v>
      </c>
      <c r="B9" s="14" t="s">
        <v>220</v>
      </c>
      <c r="C9" s="14" t="s">
        <v>221</v>
      </c>
      <c r="D9" s="14" t="s">
        <v>222</v>
      </c>
      <c r="E9" s="14" t="s">
        <v>36</v>
      </c>
      <c r="F9" s="14" t="s">
        <v>223</v>
      </c>
      <c r="G9" s="14" t="s">
        <v>223</v>
      </c>
      <c r="H9" s="14" t="s">
        <v>224</v>
      </c>
      <c r="I9" s="14" t="s">
        <v>338</v>
      </c>
      <c r="J9" s="14" t="s">
        <v>339</v>
      </c>
      <c r="K9" s="14" t="s">
        <v>340</v>
      </c>
      <c r="L9" s="14" t="s">
        <v>341</v>
      </c>
      <c r="M9" s="15" t="n">
        <v>5044</v>
      </c>
      <c r="N9" s="14" t="s">
        <v>283</v>
      </c>
      <c r="O9" s="14" t="s">
        <v>342</v>
      </c>
      <c r="P9" s="16" t="s">
        <v>343</v>
      </c>
      <c r="Q9" s="6" t="s">
        <v>344</v>
      </c>
      <c r="R9" s="6" t="s">
        <v>345</v>
      </c>
      <c r="S9" s="14" t="s">
        <v>234</v>
      </c>
      <c r="T9" s="14" t="s">
        <v>235</v>
      </c>
      <c r="U9" s="14" t="s">
        <v>346</v>
      </c>
      <c r="V9" s="14" t="s">
        <v>237</v>
      </c>
      <c r="W9" s="14" t="s">
        <v>257</v>
      </c>
      <c r="X9" s="14" t="s">
        <v>239</v>
      </c>
      <c r="Y9" s="15" t="n">
        <v>140419</v>
      </c>
      <c r="Z9" s="15" t="n">
        <v>1614</v>
      </c>
      <c r="AA9" s="14" t="n">
        <v>106</v>
      </c>
      <c r="AB9" s="14" t="n">
        <v>97</v>
      </c>
      <c r="AC9" s="17" t="n">
        <v>0.0129398443230617</v>
      </c>
      <c r="AD9" s="18" t="n">
        <v>240.49</v>
      </c>
      <c r="AE9" s="18" t="n">
        <f aca="false">IF(AD9="","",MIN(AD9,100))</f>
        <v>100</v>
      </c>
      <c r="AF9" s="14" t="n">
        <v>99.8</v>
      </c>
      <c r="AG9" s="14" t="s">
        <v>224</v>
      </c>
      <c r="AH9" s="14" t="n">
        <v>9</v>
      </c>
      <c r="AI9" s="14" t="s">
        <v>224</v>
      </c>
      <c r="AJ9" s="14" t="s">
        <v>224</v>
      </c>
      <c r="AK9" s="14" t="s">
        <v>240</v>
      </c>
      <c r="AL9" s="19" t="n">
        <f aca="false">ROUND('Start Here'!$B$29*AH9+'Start Here'!$B$30*MIN(IF(AD9="",0,AD9),50)/5+IF(M9&lt;=30000,'Start Here'!$B$31,IF(M9&lt;=60000,'Start Here'!$B$32,0)),1)</f>
        <v>9.5</v>
      </c>
      <c r="AM9" s="6" t="s">
        <v>347</v>
      </c>
      <c r="AN9" s="6" t="s">
        <v>348</v>
      </c>
      <c r="AO9" s="6" t="s">
        <v>349</v>
      </c>
      <c r="AP9" s="14" t="s">
        <v>350</v>
      </c>
      <c r="AQ9" s="14" t="s">
        <v>351</v>
      </c>
      <c r="AR9" s="20" t="s">
        <v>246</v>
      </c>
      <c r="AS9" s="20"/>
    </row>
    <row r="10" customFormat="false" ht="60" hidden="false" customHeight="true" outlineLevel="0" collapsed="false">
      <c r="A10" s="14" t="n">
        <v>9</v>
      </c>
      <c r="B10" s="14" t="s">
        <v>220</v>
      </c>
      <c r="C10" s="14" t="s">
        <v>221</v>
      </c>
      <c r="D10" s="14" t="s">
        <v>222</v>
      </c>
      <c r="E10" s="14" t="s">
        <v>36</v>
      </c>
      <c r="F10" s="14" t="s">
        <v>223</v>
      </c>
      <c r="G10" s="14" t="s">
        <v>223</v>
      </c>
      <c r="H10" s="14" t="s">
        <v>224</v>
      </c>
      <c r="I10" s="14" t="s">
        <v>322</v>
      </c>
      <c r="J10" s="14" t="s">
        <v>352</v>
      </c>
      <c r="K10" s="14" t="s">
        <v>353</v>
      </c>
      <c r="L10" s="14" t="s">
        <v>354</v>
      </c>
      <c r="M10" s="15" t="n">
        <v>13338</v>
      </c>
      <c r="N10" s="14" t="s">
        <v>229</v>
      </c>
      <c r="O10" s="14" t="s">
        <v>355</v>
      </c>
      <c r="P10" s="16" t="s">
        <v>356</v>
      </c>
      <c r="Q10" s="6" t="s">
        <v>357</v>
      </c>
      <c r="R10" s="6" t="s">
        <v>358</v>
      </c>
      <c r="S10" s="14" t="s">
        <v>234</v>
      </c>
      <c r="T10" s="14" t="s">
        <v>235</v>
      </c>
      <c r="U10" s="14" t="s">
        <v>236</v>
      </c>
      <c r="V10" s="14" t="s">
        <v>288</v>
      </c>
      <c r="W10" s="14" t="s">
        <v>257</v>
      </c>
      <c r="X10" s="14" t="s">
        <v>258</v>
      </c>
      <c r="Y10" s="15" t="n">
        <v>188880</v>
      </c>
      <c r="Z10" s="15" t="n">
        <v>1905</v>
      </c>
      <c r="AA10" s="14" t="n">
        <v>1088</v>
      </c>
      <c r="AB10" s="14" t="n">
        <v>99</v>
      </c>
      <c r="AC10" s="17" t="n">
        <v>0.0163701821262177</v>
      </c>
      <c r="AD10" s="18" t="n">
        <v>134.05</v>
      </c>
      <c r="AE10" s="18" t="n">
        <f aca="false">IF(AD10="","",MIN(AD10,100))</f>
        <v>100</v>
      </c>
      <c r="AF10" s="14" t="n">
        <v>98.8</v>
      </c>
      <c r="AG10" s="14" t="s">
        <v>224</v>
      </c>
      <c r="AH10" s="14" t="n">
        <v>8.6</v>
      </c>
      <c r="AI10" s="14" t="s">
        <v>223</v>
      </c>
      <c r="AJ10" s="14" t="s">
        <v>224</v>
      </c>
      <c r="AK10" s="14" t="s">
        <v>240</v>
      </c>
      <c r="AL10" s="19" t="n">
        <f aca="false">ROUND('Start Here'!$B$29*AH10+'Start Here'!$B$30*MIN(IF(AD10="",0,AD10),50)/5+IF(M10&lt;=30000,'Start Here'!$B$31,IF(M10&lt;=60000,'Start Here'!$B$32,0)),1)</f>
        <v>9.3</v>
      </c>
      <c r="AM10" s="6" t="s">
        <v>359</v>
      </c>
      <c r="AN10" s="6" t="s">
        <v>360</v>
      </c>
      <c r="AO10" s="6" t="s">
        <v>361</v>
      </c>
      <c r="AP10" s="14" t="s">
        <v>362</v>
      </c>
      <c r="AQ10" s="14" t="s">
        <v>363</v>
      </c>
      <c r="AR10" s="20" t="s">
        <v>246</v>
      </c>
      <c r="AS10" s="20"/>
    </row>
    <row r="11" customFormat="false" ht="60" hidden="false" customHeight="true" outlineLevel="0" collapsed="false">
      <c r="A11" s="14" t="n">
        <v>10</v>
      </c>
      <c r="B11" s="14" t="s">
        <v>220</v>
      </c>
      <c r="C11" s="14" t="s">
        <v>221</v>
      </c>
      <c r="D11" s="14" t="s">
        <v>222</v>
      </c>
      <c r="E11" s="14" t="s">
        <v>36</v>
      </c>
      <c r="F11" s="14" t="s">
        <v>223</v>
      </c>
      <c r="G11" s="14" t="s">
        <v>223</v>
      </c>
      <c r="H11" s="14" t="s">
        <v>223</v>
      </c>
      <c r="I11" s="14" t="s">
        <v>364</v>
      </c>
      <c r="J11" s="14" t="s">
        <v>365</v>
      </c>
      <c r="K11" s="14" t="s">
        <v>310</v>
      </c>
      <c r="L11" s="14" t="s">
        <v>311</v>
      </c>
      <c r="M11" s="15" t="n">
        <v>10660</v>
      </c>
      <c r="N11" s="14" t="s">
        <v>229</v>
      </c>
      <c r="O11" s="14" t="s">
        <v>312</v>
      </c>
      <c r="P11" s="16" t="s">
        <v>366</v>
      </c>
      <c r="Q11" s="6" t="s">
        <v>367</v>
      </c>
      <c r="R11" s="6" t="s">
        <v>368</v>
      </c>
      <c r="S11" s="14" t="s">
        <v>330</v>
      </c>
      <c r="T11" s="14" t="s">
        <v>235</v>
      </c>
      <c r="U11" s="14" t="s">
        <v>236</v>
      </c>
      <c r="V11" s="14" t="s">
        <v>237</v>
      </c>
      <c r="W11" s="14" t="s">
        <v>257</v>
      </c>
      <c r="X11" s="14" t="s">
        <v>239</v>
      </c>
      <c r="Y11" s="15" t="n">
        <v>859734</v>
      </c>
      <c r="Z11" s="15" t="n">
        <v>1487</v>
      </c>
      <c r="AA11" s="14" t="n">
        <v>34</v>
      </c>
      <c r="AB11" s="14" t="n">
        <v>80</v>
      </c>
      <c r="AC11" s="17" t="n">
        <v>0.00186220389097093</v>
      </c>
      <c r="AD11" s="18" t="n">
        <v>45.94</v>
      </c>
      <c r="AE11" s="18" t="n">
        <f aca="false">IF(AD11="","",MIN(AD11,100))</f>
        <v>45.94</v>
      </c>
      <c r="AF11" s="14" t="n">
        <v>99.6</v>
      </c>
      <c r="AG11" s="14" t="s">
        <v>224</v>
      </c>
      <c r="AH11" s="14" t="n">
        <v>9</v>
      </c>
      <c r="AI11" s="14" t="s">
        <v>224</v>
      </c>
      <c r="AJ11" s="14" t="s">
        <v>224</v>
      </c>
      <c r="AK11" s="14" t="s">
        <v>240</v>
      </c>
      <c r="AL11" s="19" t="n">
        <f aca="false">ROUND('Start Here'!$B$29*AH11+'Start Here'!$B$30*MIN(IF(AD11="",0,AD11),50)/5+IF(M11&lt;=30000,'Start Here'!$B$31,IF(M11&lt;=60000,'Start Here'!$B$32,0)),1)</f>
        <v>9.3</v>
      </c>
      <c r="AM11" s="6" t="s">
        <v>369</v>
      </c>
      <c r="AN11" s="6" t="s">
        <v>370</v>
      </c>
      <c r="AO11" s="6" t="s">
        <v>371</v>
      </c>
      <c r="AP11" s="14" t="s">
        <v>372</v>
      </c>
      <c r="AQ11" s="14" t="s">
        <v>373</v>
      </c>
      <c r="AR11" s="20" t="s">
        <v>246</v>
      </c>
      <c r="AS11" s="20"/>
    </row>
    <row r="12" customFormat="false" ht="60" hidden="false" customHeight="true" outlineLevel="0" collapsed="false">
      <c r="A12" s="14" t="n">
        <v>11</v>
      </c>
      <c r="B12" s="14" t="s">
        <v>374</v>
      </c>
      <c r="C12" s="14" t="s">
        <v>221</v>
      </c>
      <c r="D12" s="14" t="s">
        <v>222</v>
      </c>
      <c r="E12" s="14" t="s">
        <v>36</v>
      </c>
      <c r="F12" s="14" t="s">
        <v>223</v>
      </c>
      <c r="G12" s="14" t="s">
        <v>223</v>
      </c>
      <c r="H12" s="14" t="s">
        <v>224</v>
      </c>
      <c r="I12" s="14" t="s">
        <v>375</v>
      </c>
      <c r="J12" s="14" t="s">
        <v>376</v>
      </c>
      <c r="K12" s="14" t="s">
        <v>377</v>
      </c>
      <c r="L12" s="14" t="s">
        <v>378</v>
      </c>
      <c r="M12" s="15" t="n">
        <v>18671</v>
      </c>
      <c r="N12" s="14" t="s">
        <v>229</v>
      </c>
      <c r="O12" s="14" t="s">
        <v>379</v>
      </c>
      <c r="P12" s="16" t="s">
        <v>380</v>
      </c>
      <c r="Q12" s="6" t="s">
        <v>381</v>
      </c>
      <c r="R12" s="6" t="s">
        <v>382</v>
      </c>
      <c r="S12" s="14" t="s">
        <v>234</v>
      </c>
      <c r="T12" s="14" t="s">
        <v>235</v>
      </c>
      <c r="U12" s="14" t="s">
        <v>236</v>
      </c>
      <c r="V12" s="14" t="s">
        <v>383</v>
      </c>
      <c r="W12" s="14"/>
      <c r="X12" s="14"/>
      <c r="Y12" s="15"/>
      <c r="Z12" s="15" t="n">
        <v>214</v>
      </c>
      <c r="AA12" s="14" t="n">
        <v>543</v>
      </c>
      <c r="AB12" s="14" t="n">
        <v>1</v>
      </c>
      <c r="AC12" s="17" t="n">
        <v>0.0418553285477637</v>
      </c>
      <c r="AD12" s="18" t="n">
        <v>43.7</v>
      </c>
      <c r="AE12" s="18" t="n">
        <f aca="false">IF(AD12="","",MIN(AD12,100))</f>
        <v>43.7</v>
      </c>
      <c r="AF12" s="14" t="n">
        <v>98.6</v>
      </c>
      <c r="AG12" s="14" t="s">
        <v>224</v>
      </c>
      <c r="AH12" s="14" t="n">
        <v>9</v>
      </c>
      <c r="AI12" s="14" t="s">
        <v>224</v>
      </c>
      <c r="AJ12" s="14" t="s">
        <v>224</v>
      </c>
      <c r="AK12" s="14" t="s">
        <v>240</v>
      </c>
      <c r="AL12" s="19" t="n">
        <f aca="false">ROUND('Start Here'!$B$29*AH12+'Start Here'!$B$30*MIN(IF(AD12="",0,AD12),50)/5+IF(M12&lt;=30000,'Start Here'!$B$31,IF(M12&lt;=60000,'Start Here'!$B$32,0)),1)</f>
        <v>9.1</v>
      </c>
      <c r="AM12" s="6" t="s">
        <v>384</v>
      </c>
      <c r="AN12" s="6" t="s">
        <v>385</v>
      </c>
      <c r="AO12" s="6"/>
      <c r="AP12" s="14"/>
      <c r="AQ12" s="14" t="s">
        <v>386</v>
      </c>
      <c r="AR12" s="20" t="s">
        <v>246</v>
      </c>
      <c r="AS12" s="20"/>
    </row>
    <row r="13" customFormat="false" ht="60" hidden="false" customHeight="true" outlineLevel="0" collapsed="false">
      <c r="A13" s="14" t="n">
        <v>12</v>
      </c>
      <c r="B13" s="14" t="s">
        <v>220</v>
      </c>
      <c r="C13" s="14" t="s">
        <v>221</v>
      </c>
      <c r="D13" s="14" t="s">
        <v>222</v>
      </c>
      <c r="E13" s="14" t="s">
        <v>36</v>
      </c>
      <c r="F13" s="14" t="s">
        <v>223</v>
      </c>
      <c r="G13" s="14" t="s">
        <v>223</v>
      </c>
      <c r="H13" s="14" t="s">
        <v>224</v>
      </c>
      <c r="I13" s="14" t="s">
        <v>225</v>
      </c>
      <c r="J13" s="14" t="s">
        <v>387</v>
      </c>
      <c r="K13" s="14" t="s">
        <v>310</v>
      </c>
      <c r="L13" s="14" t="s">
        <v>311</v>
      </c>
      <c r="M13" s="15" t="n">
        <v>10660</v>
      </c>
      <c r="N13" s="14" t="s">
        <v>229</v>
      </c>
      <c r="O13" s="14" t="s">
        <v>388</v>
      </c>
      <c r="P13" s="16" t="s">
        <v>389</v>
      </c>
      <c r="Q13" s="6" t="s">
        <v>390</v>
      </c>
      <c r="R13" s="6" t="s">
        <v>391</v>
      </c>
      <c r="S13" s="14" t="s">
        <v>330</v>
      </c>
      <c r="T13" s="14" t="s">
        <v>235</v>
      </c>
      <c r="U13" s="14" t="s">
        <v>346</v>
      </c>
      <c r="V13" s="14" t="s">
        <v>237</v>
      </c>
      <c r="W13" s="14" t="s">
        <v>332</v>
      </c>
      <c r="X13" s="14" t="s">
        <v>239</v>
      </c>
      <c r="Y13" s="15" t="n">
        <v>271671</v>
      </c>
      <c r="Z13" s="15" t="n">
        <v>1129</v>
      </c>
      <c r="AA13" s="14" t="n">
        <v>26</v>
      </c>
      <c r="AB13" s="14" t="n">
        <v>48</v>
      </c>
      <c r="AC13" s="17" t="n">
        <v>0.00442815022582462</v>
      </c>
      <c r="AD13" s="18" t="n">
        <v>34.88</v>
      </c>
      <c r="AE13" s="18" t="n">
        <f aca="false">IF(AD13="","",MIN(AD13,100))</f>
        <v>34.88</v>
      </c>
      <c r="AF13" s="14" t="n">
        <v>99.3</v>
      </c>
      <c r="AG13" s="14" t="s">
        <v>224</v>
      </c>
      <c r="AH13" s="14" t="n">
        <v>10</v>
      </c>
      <c r="AI13" s="14" t="s">
        <v>224</v>
      </c>
      <c r="AJ13" s="14" t="s">
        <v>224</v>
      </c>
      <c r="AK13" s="14" t="s">
        <v>240</v>
      </c>
      <c r="AL13" s="19" t="n">
        <f aca="false">ROUND('Start Here'!$B$29*AH13+'Start Here'!$B$30*MIN(IF(AD13="",0,AD13),50)/5+IF(M13&lt;=30000,'Start Here'!$B$31,IF(M13&lt;=60000,'Start Here'!$B$32,0)),1)</f>
        <v>9.1</v>
      </c>
      <c r="AM13" s="6" t="s">
        <v>392</v>
      </c>
      <c r="AN13" s="6" t="s">
        <v>393</v>
      </c>
      <c r="AO13" s="6" t="s">
        <v>394</v>
      </c>
      <c r="AP13" s="14" t="s">
        <v>395</v>
      </c>
      <c r="AQ13" s="14" t="s">
        <v>396</v>
      </c>
      <c r="AR13" s="20" t="s">
        <v>246</v>
      </c>
      <c r="AS13" s="20"/>
    </row>
    <row r="14" customFormat="false" ht="60" hidden="false" customHeight="true" outlineLevel="0" collapsed="false">
      <c r="A14" s="14" t="n">
        <v>13</v>
      </c>
      <c r="B14" s="14" t="s">
        <v>247</v>
      </c>
      <c r="C14" s="14" t="s">
        <v>221</v>
      </c>
      <c r="D14" s="14" t="s">
        <v>222</v>
      </c>
      <c r="E14" s="14" t="s">
        <v>34</v>
      </c>
      <c r="F14" s="14" t="s">
        <v>223</v>
      </c>
      <c r="G14" s="14" t="s">
        <v>224</v>
      </c>
      <c r="H14" s="14" t="s">
        <v>223</v>
      </c>
      <c r="I14" s="14" t="s">
        <v>338</v>
      </c>
      <c r="J14" s="14" t="s">
        <v>397</v>
      </c>
      <c r="K14" s="14" t="s">
        <v>398</v>
      </c>
      <c r="L14" s="14" t="s">
        <v>399</v>
      </c>
      <c r="M14" s="15" t="n">
        <v>57809</v>
      </c>
      <c r="N14" s="14" t="s">
        <v>400</v>
      </c>
      <c r="O14" s="14" t="s">
        <v>401</v>
      </c>
      <c r="P14" s="16" t="s">
        <v>402</v>
      </c>
      <c r="Q14" s="6" t="s">
        <v>403</v>
      </c>
      <c r="R14" s="6" t="s">
        <v>404</v>
      </c>
      <c r="S14" s="14" t="s">
        <v>255</v>
      </c>
      <c r="T14" s="14" t="s">
        <v>235</v>
      </c>
      <c r="U14" s="14" t="s">
        <v>236</v>
      </c>
      <c r="V14" s="14" t="s">
        <v>256</v>
      </c>
      <c r="W14" s="14" t="s">
        <v>257</v>
      </c>
      <c r="X14" s="14" t="s">
        <v>239</v>
      </c>
      <c r="Y14" s="15" t="n">
        <v>896099</v>
      </c>
      <c r="Z14" s="15" t="n">
        <v>9063</v>
      </c>
      <c r="AA14" s="14" t="n">
        <v>2296</v>
      </c>
      <c r="AB14" s="14"/>
      <c r="AC14" s="17" t="n">
        <v>0.0126760547662702</v>
      </c>
      <c r="AD14" s="18" t="n">
        <v>219.64</v>
      </c>
      <c r="AE14" s="18" t="n">
        <f aca="false">IF(AD14="","",MIN(AD14,100))</f>
        <v>100</v>
      </c>
      <c r="AF14" s="14" t="n">
        <v>99.7</v>
      </c>
      <c r="AG14" s="14" t="s">
        <v>224</v>
      </c>
      <c r="AH14" s="14" t="n">
        <v>10</v>
      </c>
      <c r="AI14" s="14" t="s">
        <v>224</v>
      </c>
      <c r="AJ14" s="14" t="s">
        <v>224</v>
      </c>
      <c r="AK14" s="14" t="s">
        <v>240</v>
      </c>
      <c r="AL14" s="19" t="n">
        <f aca="false">ROUND('Start Here'!$B$29*AH14+'Start Here'!$B$30*MIN(IF(AD14="",0,AD14),50)/5+IF(M14&lt;=30000,'Start Here'!$B$31,IF(M14&lt;=60000,'Start Here'!$B$32,0)),1)</f>
        <v>9</v>
      </c>
      <c r="AM14" s="6" t="s">
        <v>405</v>
      </c>
      <c r="AN14" s="6" t="s">
        <v>406</v>
      </c>
      <c r="AO14" s="6" t="s">
        <v>407</v>
      </c>
      <c r="AP14" s="14" t="s">
        <v>408</v>
      </c>
      <c r="AQ14" s="14" t="s">
        <v>409</v>
      </c>
      <c r="AR14" s="20" t="s">
        <v>246</v>
      </c>
      <c r="AS14" s="20"/>
    </row>
    <row r="15" customFormat="false" ht="60" hidden="false" customHeight="true" outlineLevel="0" collapsed="false">
      <c r="A15" s="14" t="n">
        <v>14</v>
      </c>
      <c r="B15" s="14" t="s">
        <v>220</v>
      </c>
      <c r="C15" s="14" t="s">
        <v>221</v>
      </c>
      <c r="D15" s="14" t="s">
        <v>222</v>
      </c>
      <c r="E15" s="14" t="s">
        <v>36</v>
      </c>
      <c r="F15" s="14" t="s">
        <v>223</v>
      </c>
      <c r="G15" s="14" t="s">
        <v>223</v>
      </c>
      <c r="H15" s="14" t="s">
        <v>223</v>
      </c>
      <c r="I15" s="14" t="s">
        <v>225</v>
      </c>
      <c r="J15" s="14" t="s">
        <v>410</v>
      </c>
      <c r="K15" s="14" t="s">
        <v>227</v>
      </c>
      <c r="L15" s="14" t="s">
        <v>228</v>
      </c>
      <c r="M15" s="15" t="n">
        <v>12888</v>
      </c>
      <c r="N15" s="14" t="s">
        <v>229</v>
      </c>
      <c r="O15" s="14" t="s">
        <v>411</v>
      </c>
      <c r="P15" s="16" t="s">
        <v>412</v>
      </c>
      <c r="Q15" s="6" t="s">
        <v>413</v>
      </c>
      <c r="R15" s="6" t="s">
        <v>414</v>
      </c>
      <c r="S15" s="14" t="s">
        <v>330</v>
      </c>
      <c r="T15" s="14" t="s">
        <v>235</v>
      </c>
      <c r="U15" s="14" t="s">
        <v>236</v>
      </c>
      <c r="V15" s="14" t="s">
        <v>237</v>
      </c>
      <c r="W15" s="14" t="s">
        <v>332</v>
      </c>
      <c r="X15" s="14" t="s">
        <v>239</v>
      </c>
      <c r="Y15" s="15" t="n">
        <v>338478</v>
      </c>
      <c r="Z15" s="15" t="n">
        <v>2170</v>
      </c>
      <c r="AA15" s="14" t="n">
        <v>55</v>
      </c>
      <c r="AB15" s="14" t="n">
        <v>155</v>
      </c>
      <c r="AC15" s="17" t="n">
        <v>0.00703147619638499</v>
      </c>
      <c r="AD15" s="18" t="n">
        <v>520.9</v>
      </c>
      <c r="AE15" s="18" t="n">
        <f aca="false">IF(AD15="","",MIN(AD15,100))</f>
        <v>100</v>
      </c>
      <c r="AF15" s="14" t="n">
        <v>100</v>
      </c>
      <c r="AG15" s="14" t="s">
        <v>224</v>
      </c>
      <c r="AH15" s="14" t="n">
        <v>8</v>
      </c>
      <c r="AI15" s="14" t="s">
        <v>224</v>
      </c>
      <c r="AJ15" s="14" t="s">
        <v>224</v>
      </c>
      <c r="AK15" s="14" t="s">
        <v>240</v>
      </c>
      <c r="AL15" s="19" t="n">
        <f aca="false">ROUND('Start Here'!$B$29*AH15+'Start Here'!$B$30*MIN(IF(AD15="",0,AD15),50)/5+IF(M15&lt;=30000,'Start Here'!$B$31,IF(M15&lt;=60000,'Start Here'!$B$32,0)),1)</f>
        <v>9</v>
      </c>
      <c r="AM15" s="6" t="s">
        <v>415</v>
      </c>
      <c r="AN15" s="6" t="s">
        <v>416</v>
      </c>
      <c r="AO15" s="6" t="s">
        <v>417</v>
      </c>
      <c r="AP15" s="14" t="s">
        <v>418</v>
      </c>
      <c r="AQ15" s="14" t="s">
        <v>419</v>
      </c>
      <c r="AR15" s="20" t="s">
        <v>246</v>
      </c>
      <c r="AS15" s="20"/>
    </row>
    <row r="16" customFormat="false" ht="60" hidden="false" customHeight="true" outlineLevel="0" collapsed="false">
      <c r="A16" s="14" t="n">
        <v>15</v>
      </c>
      <c r="B16" s="14" t="s">
        <v>220</v>
      </c>
      <c r="C16" s="14" t="s">
        <v>221</v>
      </c>
      <c r="D16" s="14" t="s">
        <v>222</v>
      </c>
      <c r="E16" s="14" t="s">
        <v>36</v>
      </c>
      <c r="F16" s="14" t="s">
        <v>223</v>
      </c>
      <c r="G16" s="14" t="s">
        <v>223</v>
      </c>
      <c r="H16" s="14" t="s">
        <v>223</v>
      </c>
      <c r="I16" s="14" t="s">
        <v>322</v>
      </c>
      <c r="J16" s="14" t="s">
        <v>420</v>
      </c>
      <c r="K16" s="14" t="s">
        <v>421</v>
      </c>
      <c r="L16" s="14" t="s">
        <v>422</v>
      </c>
      <c r="M16" s="15" t="n">
        <v>13265</v>
      </c>
      <c r="N16" s="14" t="s">
        <v>229</v>
      </c>
      <c r="O16" s="14" t="s">
        <v>423</v>
      </c>
      <c r="P16" s="16" t="s">
        <v>424</v>
      </c>
      <c r="Q16" s="6" t="s">
        <v>425</v>
      </c>
      <c r="R16" s="6" t="s">
        <v>426</v>
      </c>
      <c r="S16" s="14" t="s">
        <v>234</v>
      </c>
      <c r="T16" s="14" t="s">
        <v>235</v>
      </c>
      <c r="U16" s="14" t="s">
        <v>346</v>
      </c>
      <c r="V16" s="14" t="s">
        <v>237</v>
      </c>
      <c r="W16" s="14" t="s">
        <v>332</v>
      </c>
      <c r="X16" s="14" t="s">
        <v>239</v>
      </c>
      <c r="Y16" s="15" t="n">
        <v>439499</v>
      </c>
      <c r="Z16" s="15" t="n">
        <v>6122</v>
      </c>
      <c r="AA16" s="14" t="n">
        <v>125</v>
      </c>
      <c r="AB16" s="14" t="n">
        <v>258</v>
      </c>
      <c r="AC16" s="17" t="n">
        <v>0.0148009438019199</v>
      </c>
      <c r="AD16" s="18" t="n">
        <v>326.09</v>
      </c>
      <c r="AE16" s="18" t="n">
        <f aca="false">IF(AD16="","",MIN(AD16,100))</f>
        <v>100</v>
      </c>
      <c r="AF16" s="14" t="n">
        <v>100</v>
      </c>
      <c r="AG16" s="14" t="s">
        <v>224</v>
      </c>
      <c r="AH16" s="14" t="n">
        <v>8</v>
      </c>
      <c r="AI16" s="14" t="s">
        <v>224</v>
      </c>
      <c r="AJ16" s="14" t="s">
        <v>224</v>
      </c>
      <c r="AK16" s="14" t="s">
        <v>240</v>
      </c>
      <c r="AL16" s="19" t="n">
        <f aca="false">ROUND('Start Here'!$B$29*AH16+'Start Here'!$B$30*MIN(IF(AD16="",0,AD16),50)/5+IF(M16&lt;=30000,'Start Here'!$B$31,IF(M16&lt;=60000,'Start Here'!$B$32,0)),1)</f>
        <v>9</v>
      </c>
      <c r="AM16" s="6" t="s">
        <v>427</v>
      </c>
      <c r="AN16" s="6" t="s">
        <v>428</v>
      </c>
      <c r="AO16" s="6" t="s">
        <v>429</v>
      </c>
      <c r="AP16" s="14" t="s">
        <v>430</v>
      </c>
      <c r="AQ16" s="14" t="s">
        <v>431</v>
      </c>
      <c r="AR16" s="20" t="s">
        <v>246</v>
      </c>
      <c r="AS16" s="20"/>
    </row>
    <row r="17" customFormat="false" ht="60" hidden="false" customHeight="true" outlineLevel="0" collapsed="false">
      <c r="A17" s="14" t="n">
        <v>16</v>
      </c>
      <c r="B17" s="14" t="s">
        <v>220</v>
      </c>
      <c r="C17" s="14" t="s">
        <v>221</v>
      </c>
      <c r="D17" s="14" t="s">
        <v>222</v>
      </c>
      <c r="E17" s="14" t="s">
        <v>34</v>
      </c>
      <c r="F17" s="14" t="s">
        <v>223</v>
      </c>
      <c r="G17" s="14" t="s">
        <v>224</v>
      </c>
      <c r="H17" s="14" t="s">
        <v>223</v>
      </c>
      <c r="I17" s="14" t="s">
        <v>364</v>
      </c>
      <c r="J17" s="14" t="s">
        <v>432</v>
      </c>
      <c r="K17" s="14" t="s">
        <v>433</v>
      </c>
      <c r="L17" s="14" t="s">
        <v>434</v>
      </c>
      <c r="M17" s="15" t="n">
        <v>57635</v>
      </c>
      <c r="N17" s="14" t="s">
        <v>400</v>
      </c>
      <c r="O17" s="14" t="s">
        <v>435</v>
      </c>
      <c r="P17" s="16" t="s">
        <v>436</v>
      </c>
      <c r="Q17" s="6" t="s">
        <v>437</v>
      </c>
      <c r="R17" s="6" t="s">
        <v>438</v>
      </c>
      <c r="S17" s="14" t="s">
        <v>255</v>
      </c>
      <c r="T17" s="14" t="s">
        <v>235</v>
      </c>
      <c r="U17" s="14" t="s">
        <v>236</v>
      </c>
      <c r="V17" s="14" t="s">
        <v>439</v>
      </c>
      <c r="W17" s="14"/>
      <c r="X17" s="14"/>
      <c r="Y17" s="15" t="n">
        <v>192934</v>
      </c>
      <c r="Z17" s="15" t="n">
        <v>2448</v>
      </c>
      <c r="AA17" s="14" t="n">
        <v>98</v>
      </c>
      <c r="AB17" s="14" t="n">
        <v>57</v>
      </c>
      <c r="AC17" s="17" t="n">
        <v>0.0134916603605378</v>
      </c>
      <c r="AD17" s="18" t="n">
        <v>212.85</v>
      </c>
      <c r="AE17" s="18" t="n">
        <f aca="false">IF(AD17="","",MIN(AD17,100))</f>
        <v>100</v>
      </c>
      <c r="AF17" s="14" t="n">
        <v>99.8</v>
      </c>
      <c r="AG17" s="14" t="s">
        <v>224</v>
      </c>
      <c r="AH17" s="14" t="n">
        <v>10</v>
      </c>
      <c r="AI17" s="14" t="s">
        <v>224</v>
      </c>
      <c r="AJ17" s="14" t="s">
        <v>224</v>
      </c>
      <c r="AK17" s="14" t="s">
        <v>240</v>
      </c>
      <c r="AL17" s="19" t="n">
        <f aca="false">ROUND('Start Here'!$B$29*AH17+'Start Here'!$B$30*MIN(IF(AD17="",0,AD17),50)/5+IF(M17&lt;=30000,'Start Here'!$B$31,IF(M17&lt;=60000,'Start Here'!$B$32,0)),1)</f>
        <v>9</v>
      </c>
      <c r="AM17" s="6" t="s">
        <v>440</v>
      </c>
      <c r="AN17" s="6" t="s">
        <v>441</v>
      </c>
      <c r="AO17" s="6"/>
      <c r="AP17" s="14"/>
      <c r="AQ17" s="14" t="s">
        <v>373</v>
      </c>
      <c r="AR17" s="20" t="s">
        <v>246</v>
      </c>
      <c r="AS17" s="20"/>
    </row>
    <row r="18" customFormat="false" ht="60" hidden="false" customHeight="true" outlineLevel="0" collapsed="false">
      <c r="A18" s="14" t="n">
        <v>17</v>
      </c>
      <c r="B18" s="14" t="s">
        <v>247</v>
      </c>
      <c r="C18" s="14" t="s">
        <v>442</v>
      </c>
      <c r="D18" s="14" t="s">
        <v>443</v>
      </c>
      <c r="E18" s="14" t="s">
        <v>36</v>
      </c>
      <c r="F18" s="14" t="s">
        <v>223</v>
      </c>
      <c r="G18" s="14" t="s">
        <v>223</v>
      </c>
      <c r="H18" s="14" t="s">
        <v>224</v>
      </c>
      <c r="I18" s="14" t="s">
        <v>375</v>
      </c>
      <c r="J18" s="14" t="s">
        <v>444</v>
      </c>
      <c r="K18" s="14" t="s">
        <v>445</v>
      </c>
      <c r="L18" s="14" t="s">
        <v>446</v>
      </c>
      <c r="M18" s="15" t="n">
        <v>6300</v>
      </c>
      <c r="N18" s="14" t="s">
        <v>283</v>
      </c>
      <c r="O18" s="14" t="s">
        <v>447</v>
      </c>
      <c r="P18" s="16" t="s">
        <v>448</v>
      </c>
      <c r="Q18" s="6" t="s">
        <v>449</v>
      </c>
      <c r="R18" s="6" t="s">
        <v>450</v>
      </c>
      <c r="S18" s="14" t="s">
        <v>330</v>
      </c>
      <c r="T18" s="14" t="s">
        <v>235</v>
      </c>
      <c r="U18" s="14" t="s">
        <v>236</v>
      </c>
      <c r="V18" s="14" t="s">
        <v>451</v>
      </c>
      <c r="W18" s="14" t="s">
        <v>452</v>
      </c>
      <c r="X18" s="14"/>
      <c r="Y18" s="15" t="n">
        <v>21900</v>
      </c>
      <c r="Z18" s="15"/>
      <c r="AA18" s="14"/>
      <c r="AB18" s="14"/>
      <c r="AC18" s="17"/>
      <c r="AD18" s="18" t="n">
        <v>106.3</v>
      </c>
      <c r="AE18" s="18" t="n">
        <f aca="false">IF(AD18="","",MIN(AD18,100))</f>
        <v>100</v>
      </c>
      <c r="AF18" s="14"/>
      <c r="AG18" s="14" t="s">
        <v>224</v>
      </c>
      <c r="AH18" s="14" t="n">
        <v>8</v>
      </c>
      <c r="AI18" s="14" t="s">
        <v>224</v>
      </c>
      <c r="AJ18" s="14" t="s">
        <v>224</v>
      </c>
      <c r="AK18" s="14" t="s">
        <v>453</v>
      </c>
      <c r="AL18" s="19" t="n">
        <f aca="false">ROUND('Start Here'!$B$29*AH18+'Start Here'!$B$30*MIN(IF(AD18="",0,AD18),50)/5+IF(M18&lt;=30000,'Start Here'!$B$31,IF(M18&lt;=60000,'Start Here'!$B$32,0)),1)</f>
        <v>9</v>
      </c>
      <c r="AM18" s="6" t="s">
        <v>454</v>
      </c>
      <c r="AN18" s="6" t="s">
        <v>455</v>
      </c>
      <c r="AO18" s="6" t="s">
        <v>456</v>
      </c>
      <c r="AP18" s="14" t="s">
        <v>457</v>
      </c>
      <c r="AQ18" s="14" t="s">
        <v>458</v>
      </c>
      <c r="AR18" s="20" t="s">
        <v>246</v>
      </c>
      <c r="AS18" s="20"/>
    </row>
    <row r="19" customFormat="false" ht="60" hidden="false" customHeight="true" outlineLevel="0" collapsed="false">
      <c r="A19" s="14" t="n">
        <v>18</v>
      </c>
      <c r="B19" s="14" t="s">
        <v>247</v>
      </c>
      <c r="C19" s="14" t="s">
        <v>221</v>
      </c>
      <c r="D19" s="14" t="s">
        <v>222</v>
      </c>
      <c r="E19" s="14" t="s">
        <v>34</v>
      </c>
      <c r="F19" s="14" t="s">
        <v>223</v>
      </c>
      <c r="G19" s="14" t="s">
        <v>224</v>
      </c>
      <c r="H19" s="14" t="s">
        <v>224</v>
      </c>
      <c r="I19" s="14" t="s">
        <v>322</v>
      </c>
      <c r="J19" s="14" t="s">
        <v>459</v>
      </c>
      <c r="K19" s="14" t="s">
        <v>460</v>
      </c>
      <c r="L19" s="14" t="s">
        <v>461</v>
      </c>
      <c r="M19" s="15" t="n">
        <v>46241</v>
      </c>
      <c r="N19" s="14" t="s">
        <v>462</v>
      </c>
      <c r="O19" s="14" t="s">
        <v>342</v>
      </c>
      <c r="P19" s="16" t="s">
        <v>463</v>
      </c>
      <c r="Q19" s="6" t="s">
        <v>464</v>
      </c>
      <c r="R19" s="6" t="s">
        <v>465</v>
      </c>
      <c r="S19" s="14" t="s">
        <v>255</v>
      </c>
      <c r="T19" s="14" t="s">
        <v>466</v>
      </c>
      <c r="U19" s="14" t="s">
        <v>236</v>
      </c>
      <c r="V19" s="14" t="s">
        <v>256</v>
      </c>
      <c r="W19" s="14" t="s">
        <v>257</v>
      </c>
      <c r="X19" s="14" t="s">
        <v>333</v>
      </c>
      <c r="Y19" s="15" t="n">
        <v>85662</v>
      </c>
      <c r="Z19" s="15" t="n">
        <v>2055</v>
      </c>
      <c r="AA19" s="14" t="n">
        <v>81</v>
      </c>
      <c r="AB19" s="14"/>
      <c r="AC19" s="17" t="n">
        <v>0.0249352104783918</v>
      </c>
      <c r="AD19" s="18" t="n">
        <v>48.12</v>
      </c>
      <c r="AE19" s="18" t="n">
        <f aca="false">IF(AD19="","",MIN(AD19,100))</f>
        <v>48.12</v>
      </c>
      <c r="AF19" s="14" t="n">
        <v>98.4</v>
      </c>
      <c r="AG19" s="14" t="s">
        <v>224</v>
      </c>
      <c r="AH19" s="14" t="n">
        <v>10</v>
      </c>
      <c r="AI19" s="14" t="s">
        <v>224</v>
      </c>
      <c r="AJ19" s="14" t="s">
        <v>224</v>
      </c>
      <c r="AK19" s="14" t="s">
        <v>240</v>
      </c>
      <c r="AL19" s="19" t="n">
        <f aca="false">ROUND('Start Here'!$B$29*AH19+'Start Here'!$B$30*MIN(IF(AD19="",0,AD19),50)/5+IF(M19&lt;=30000,'Start Here'!$B$31,IF(M19&lt;=60000,'Start Here'!$B$32,0)),1)</f>
        <v>8.9</v>
      </c>
      <c r="AM19" s="6" t="s">
        <v>467</v>
      </c>
      <c r="AN19" s="6" t="s">
        <v>468</v>
      </c>
      <c r="AO19" s="6" t="s">
        <v>469</v>
      </c>
      <c r="AP19" s="14" t="s">
        <v>470</v>
      </c>
      <c r="AQ19" s="14" t="s">
        <v>471</v>
      </c>
      <c r="AR19" s="20" t="s">
        <v>246</v>
      </c>
      <c r="AS19" s="20"/>
    </row>
    <row r="20" customFormat="false" ht="60" hidden="false" customHeight="true" outlineLevel="0" collapsed="false">
      <c r="A20" s="14" t="n">
        <v>19</v>
      </c>
      <c r="B20" s="14" t="s">
        <v>220</v>
      </c>
      <c r="C20" s="14" t="s">
        <v>221</v>
      </c>
      <c r="D20" s="14" t="s">
        <v>222</v>
      </c>
      <c r="E20" s="14" t="s">
        <v>36</v>
      </c>
      <c r="F20" s="14" t="s">
        <v>223</v>
      </c>
      <c r="G20" s="14" t="s">
        <v>223</v>
      </c>
      <c r="H20" s="14" t="s">
        <v>223</v>
      </c>
      <c r="I20" s="14" t="s">
        <v>308</v>
      </c>
      <c r="J20" s="14" t="s">
        <v>472</v>
      </c>
      <c r="K20" s="14" t="s">
        <v>473</v>
      </c>
      <c r="L20" s="14" t="s">
        <v>474</v>
      </c>
      <c r="M20" s="15" t="n">
        <v>23968</v>
      </c>
      <c r="N20" s="14" t="s">
        <v>298</v>
      </c>
      <c r="O20" s="14" t="s">
        <v>475</v>
      </c>
      <c r="P20" s="16" t="s">
        <v>476</v>
      </c>
      <c r="Q20" s="6" t="s">
        <v>477</v>
      </c>
      <c r="R20" s="6" t="s">
        <v>478</v>
      </c>
      <c r="S20" s="14" t="s">
        <v>255</v>
      </c>
      <c r="T20" s="14" t="s">
        <v>316</v>
      </c>
      <c r="U20" s="14" t="s">
        <v>236</v>
      </c>
      <c r="V20" s="14" t="s">
        <v>237</v>
      </c>
      <c r="W20" s="14" t="s">
        <v>238</v>
      </c>
      <c r="X20" s="14" t="s">
        <v>239</v>
      </c>
      <c r="Y20" s="15" t="n">
        <v>356345</v>
      </c>
      <c r="Z20" s="15" t="n">
        <v>2994</v>
      </c>
      <c r="AA20" s="14" t="n">
        <v>76</v>
      </c>
      <c r="AB20" s="14" t="n">
        <v>129</v>
      </c>
      <c r="AC20" s="17" t="n">
        <v>0.00897725518809019</v>
      </c>
      <c r="AD20" s="18" t="n">
        <v>29.62</v>
      </c>
      <c r="AE20" s="18" t="n">
        <f aca="false">IF(AD20="","",MIN(AD20,100))</f>
        <v>29.62</v>
      </c>
      <c r="AF20" s="14" t="n">
        <v>94.5</v>
      </c>
      <c r="AG20" s="14" t="s">
        <v>224</v>
      </c>
      <c r="AH20" s="14" t="n">
        <v>10</v>
      </c>
      <c r="AI20" s="14" t="s">
        <v>224</v>
      </c>
      <c r="AJ20" s="14" t="s">
        <v>224</v>
      </c>
      <c r="AK20" s="14" t="s">
        <v>240</v>
      </c>
      <c r="AL20" s="19" t="n">
        <f aca="false">ROUND('Start Here'!$B$29*AH20+'Start Here'!$B$30*MIN(IF(AD20="",0,AD20),50)/5+IF(M20&lt;=30000,'Start Here'!$B$31,IF(M20&lt;=60000,'Start Here'!$B$32,0)),1)</f>
        <v>8.8</v>
      </c>
      <c r="AM20" s="6" t="s">
        <v>479</v>
      </c>
      <c r="AN20" s="6" t="s">
        <v>480</v>
      </c>
      <c r="AO20" s="6" t="s">
        <v>481</v>
      </c>
      <c r="AP20" s="14" t="s">
        <v>482</v>
      </c>
      <c r="AQ20" s="14" t="s">
        <v>363</v>
      </c>
      <c r="AR20" s="20" t="s">
        <v>246</v>
      </c>
      <c r="AS20" s="20"/>
    </row>
    <row r="21" customFormat="false" ht="60" hidden="false" customHeight="true" outlineLevel="0" collapsed="false">
      <c r="A21" s="14" t="n">
        <v>20</v>
      </c>
      <c r="B21" s="14" t="s">
        <v>247</v>
      </c>
      <c r="C21" s="14" t="s">
        <v>221</v>
      </c>
      <c r="D21" s="14" t="s">
        <v>222</v>
      </c>
      <c r="E21" s="14" t="s">
        <v>36</v>
      </c>
      <c r="F21" s="14" t="s">
        <v>223</v>
      </c>
      <c r="G21" s="14" t="s">
        <v>223</v>
      </c>
      <c r="H21" s="14" t="s">
        <v>224</v>
      </c>
      <c r="I21" s="14" t="s">
        <v>322</v>
      </c>
      <c r="J21" s="14" t="s">
        <v>483</v>
      </c>
      <c r="K21" s="14" t="s">
        <v>484</v>
      </c>
      <c r="L21" s="14" t="s">
        <v>485</v>
      </c>
      <c r="M21" s="15" t="n">
        <v>25551</v>
      </c>
      <c r="N21" s="14" t="s">
        <v>298</v>
      </c>
      <c r="O21" s="14" t="s">
        <v>486</v>
      </c>
      <c r="P21" s="16" t="s">
        <v>487</v>
      </c>
      <c r="Q21" s="6" t="s">
        <v>488</v>
      </c>
      <c r="R21" s="6" t="s">
        <v>489</v>
      </c>
      <c r="S21" s="14" t="s">
        <v>255</v>
      </c>
      <c r="T21" s="14" t="s">
        <v>235</v>
      </c>
      <c r="U21" s="14" t="s">
        <v>236</v>
      </c>
      <c r="V21" s="14" t="s">
        <v>256</v>
      </c>
      <c r="W21" s="14" t="s">
        <v>257</v>
      </c>
      <c r="X21" s="14" t="s">
        <v>239</v>
      </c>
      <c r="Y21" s="15" t="n">
        <v>255802</v>
      </c>
      <c r="Z21" s="15" t="n">
        <v>2400</v>
      </c>
      <c r="AA21" s="14" t="n">
        <v>1388</v>
      </c>
      <c r="AB21" s="14"/>
      <c r="AC21" s="17" t="n">
        <v>0.0148083283164322</v>
      </c>
      <c r="AD21" s="18" t="n">
        <v>284.56</v>
      </c>
      <c r="AE21" s="18" t="n">
        <f aca="false">IF(AD21="","",MIN(AD21,100))</f>
        <v>100</v>
      </c>
      <c r="AF21" s="14" t="n">
        <v>99.2</v>
      </c>
      <c r="AG21" s="14" t="s">
        <v>224</v>
      </c>
      <c r="AH21" s="14" t="n">
        <v>7.5</v>
      </c>
      <c r="AI21" s="14" t="s">
        <v>224</v>
      </c>
      <c r="AJ21" s="14" t="s">
        <v>223</v>
      </c>
      <c r="AK21" s="14" t="s">
        <v>490</v>
      </c>
      <c r="AL21" s="19" t="n">
        <f aca="false">ROUND('Start Here'!$B$29*AH21+'Start Here'!$B$30*MIN(IF(AD21="",0,AD21),50)/5+IF(M21&lt;=30000,'Start Here'!$B$31,IF(M21&lt;=60000,'Start Here'!$B$32,0)),1)</f>
        <v>8.8</v>
      </c>
      <c r="AM21" s="6" t="s">
        <v>491</v>
      </c>
      <c r="AN21" s="6" t="s">
        <v>492</v>
      </c>
      <c r="AO21" s="6" t="s">
        <v>493</v>
      </c>
      <c r="AP21" s="14" t="s">
        <v>494</v>
      </c>
      <c r="AQ21" s="14" t="s">
        <v>495</v>
      </c>
      <c r="AR21" s="20" t="s">
        <v>246</v>
      </c>
      <c r="AS21" s="20"/>
    </row>
    <row r="22" customFormat="false" ht="60" hidden="false" customHeight="true" outlineLevel="0" collapsed="false">
      <c r="A22" s="14" t="n">
        <v>21</v>
      </c>
      <c r="B22" s="14" t="s">
        <v>220</v>
      </c>
      <c r="C22" s="14" t="s">
        <v>221</v>
      </c>
      <c r="D22" s="14" t="s">
        <v>222</v>
      </c>
      <c r="E22" s="14" t="s">
        <v>36</v>
      </c>
      <c r="F22" s="14" t="s">
        <v>223</v>
      </c>
      <c r="G22" s="14" t="s">
        <v>223</v>
      </c>
      <c r="H22" s="14" t="s">
        <v>223</v>
      </c>
      <c r="I22" s="14" t="s">
        <v>375</v>
      </c>
      <c r="J22" s="14" t="s">
        <v>496</v>
      </c>
      <c r="K22" s="14" t="s">
        <v>497</v>
      </c>
      <c r="L22" s="14" t="s">
        <v>498</v>
      </c>
      <c r="M22" s="15" t="n">
        <v>29478</v>
      </c>
      <c r="N22" s="14" t="s">
        <v>298</v>
      </c>
      <c r="O22" s="14" t="s">
        <v>499</v>
      </c>
      <c r="P22" s="16" t="s">
        <v>500</v>
      </c>
      <c r="Q22" s="6" t="s">
        <v>501</v>
      </c>
      <c r="R22" s="6" t="s">
        <v>502</v>
      </c>
      <c r="S22" s="14" t="s">
        <v>234</v>
      </c>
      <c r="T22" s="14" t="s">
        <v>235</v>
      </c>
      <c r="U22" s="14" t="s">
        <v>236</v>
      </c>
      <c r="V22" s="14" t="s">
        <v>237</v>
      </c>
      <c r="W22" s="14" t="s">
        <v>238</v>
      </c>
      <c r="X22" s="14" t="s">
        <v>239</v>
      </c>
      <c r="Y22" s="15" t="n">
        <v>238329</v>
      </c>
      <c r="Z22" s="15" t="n">
        <v>3231</v>
      </c>
      <c r="AA22" s="14" t="n">
        <v>98</v>
      </c>
      <c r="AB22" s="14" t="n">
        <v>285</v>
      </c>
      <c r="AC22" s="17" t="n">
        <v>0.0151639120711286</v>
      </c>
      <c r="AD22" s="18" t="n">
        <v>178.66</v>
      </c>
      <c r="AE22" s="18" t="n">
        <f aca="false">IF(AD22="","",MIN(AD22,100))</f>
        <v>100</v>
      </c>
      <c r="AF22" s="14" t="n">
        <v>99.8</v>
      </c>
      <c r="AG22" s="14" t="s">
        <v>224</v>
      </c>
      <c r="AH22" s="14" t="n">
        <v>7.5</v>
      </c>
      <c r="AI22" s="14" t="s">
        <v>224</v>
      </c>
      <c r="AJ22" s="14" t="s">
        <v>223</v>
      </c>
      <c r="AK22" s="14" t="s">
        <v>490</v>
      </c>
      <c r="AL22" s="19" t="n">
        <f aca="false">ROUND('Start Here'!$B$29*AH22+'Start Here'!$B$30*MIN(IF(AD22="",0,AD22),50)/5+IF(M22&lt;=30000,'Start Here'!$B$31,IF(M22&lt;=60000,'Start Here'!$B$32,0)),1)</f>
        <v>8.8</v>
      </c>
      <c r="AM22" s="6" t="s">
        <v>503</v>
      </c>
      <c r="AN22" s="6" t="s">
        <v>504</v>
      </c>
      <c r="AO22" s="6" t="s">
        <v>505</v>
      </c>
      <c r="AP22" s="14" t="s">
        <v>506</v>
      </c>
      <c r="AQ22" s="14" t="s">
        <v>294</v>
      </c>
      <c r="AR22" s="20" t="s">
        <v>246</v>
      </c>
      <c r="AS22" s="20"/>
    </row>
    <row r="23" customFormat="false" ht="60" hidden="false" customHeight="true" outlineLevel="0" collapsed="false">
      <c r="A23" s="14" t="n">
        <v>22</v>
      </c>
      <c r="B23" s="14" t="s">
        <v>220</v>
      </c>
      <c r="C23" s="14" t="s">
        <v>221</v>
      </c>
      <c r="D23" s="14" t="s">
        <v>222</v>
      </c>
      <c r="E23" s="14" t="s">
        <v>36</v>
      </c>
      <c r="F23" s="14" t="s">
        <v>223</v>
      </c>
      <c r="G23" s="14" t="s">
        <v>223</v>
      </c>
      <c r="H23" s="14" t="s">
        <v>224</v>
      </c>
      <c r="I23" s="14" t="s">
        <v>308</v>
      </c>
      <c r="J23" s="14" t="s">
        <v>459</v>
      </c>
      <c r="K23" s="14" t="s">
        <v>507</v>
      </c>
      <c r="L23" s="14" t="s">
        <v>508</v>
      </c>
      <c r="M23" s="15" t="n">
        <v>12398</v>
      </c>
      <c r="N23" s="14" t="s">
        <v>229</v>
      </c>
      <c r="O23" s="14" t="s">
        <v>509</v>
      </c>
      <c r="P23" s="16" t="s">
        <v>510</v>
      </c>
      <c r="Q23" s="6" t="s">
        <v>511</v>
      </c>
      <c r="R23" s="6" t="s">
        <v>512</v>
      </c>
      <c r="S23" s="14" t="s">
        <v>513</v>
      </c>
      <c r="T23" s="14" t="s">
        <v>235</v>
      </c>
      <c r="U23" s="14" t="s">
        <v>236</v>
      </c>
      <c r="V23" s="14" t="s">
        <v>237</v>
      </c>
      <c r="W23" s="14" t="s">
        <v>257</v>
      </c>
      <c r="X23" s="14" t="s">
        <v>239</v>
      </c>
      <c r="Y23" s="15" t="n">
        <v>44506</v>
      </c>
      <c r="Z23" s="15" t="n">
        <v>750</v>
      </c>
      <c r="AA23" s="14" t="n">
        <v>13</v>
      </c>
      <c r="AB23" s="14" t="n">
        <v>68</v>
      </c>
      <c r="AC23" s="17" t="n">
        <v>0.0186716397789062</v>
      </c>
      <c r="AD23" s="18" t="n">
        <v>101.25</v>
      </c>
      <c r="AE23" s="18" t="n">
        <f aca="false">IF(AD23="","",MIN(AD23,100))</f>
        <v>100</v>
      </c>
      <c r="AF23" s="14" t="n">
        <v>97.3</v>
      </c>
      <c r="AG23" s="14" t="s">
        <v>224</v>
      </c>
      <c r="AH23" s="14" t="n">
        <v>7.5</v>
      </c>
      <c r="AI23" s="14" t="s">
        <v>224</v>
      </c>
      <c r="AJ23" s="14" t="s">
        <v>223</v>
      </c>
      <c r="AK23" s="14" t="s">
        <v>490</v>
      </c>
      <c r="AL23" s="19" t="n">
        <f aca="false">ROUND('Start Here'!$B$29*AH23+'Start Here'!$B$30*MIN(IF(AD23="",0,AD23),50)/5+IF(M23&lt;=30000,'Start Here'!$B$31,IF(M23&lt;=60000,'Start Here'!$B$32,0)),1)</f>
        <v>8.8</v>
      </c>
      <c r="AM23" s="6" t="s">
        <v>514</v>
      </c>
      <c r="AN23" s="6" t="s">
        <v>515</v>
      </c>
      <c r="AO23" s="6" t="s">
        <v>516</v>
      </c>
      <c r="AP23" s="14" t="s">
        <v>517</v>
      </c>
      <c r="AQ23" s="14" t="s">
        <v>363</v>
      </c>
      <c r="AR23" s="20" t="s">
        <v>246</v>
      </c>
      <c r="AS23" s="20"/>
    </row>
    <row r="24" customFormat="false" ht="60" hidden="false" customHeight="true" outlineLevel="0" collapsed="false">
      <c r="A24" s="14" t="n">
        <v>23</v>
      </c>
      <c r="B24" s="14" t="s">
        <v>374</v>
      </c>
      <c r="C24" s="14" t="s">
        <v>221</v>
      </c>
      <c r="D24" s="14" t="s">
        <v>222</v>
      </c>
      <c r="E24" s="14" t="s">
        <v>36</v>
      </c>
      <c r="F24" s="14" t="s">
        <v>223</v>
      </c>
      <c r="G24" s="14" t="s">
        <v>223</v>
      </c>
      <c r="H24" s="14" t="s">
        <v>224</v>
      </c>
      <c r="I24" s="14" t="s">
        <v>322</v>
      </c>
      <c r="J24" s="14" t="s">
        <v>518</v>
      </c>
      <c r="K24" s="14" t="s">
        <v>377</v>
      </c>
      <c r="L24" s="14" t="s">
        <v>378</v>
      </c>
      <c r="M24" s="15" t="n">
        <v>18671</v>
      </c>
      <c r="N24" s="14" t="s">
        <v>229</v>
      </c>
      <c r="O24" s="14" t="s">
        <v>411</v>
      </c>
      <c r="P24" s="16" t="s">
        <v>519</v>
      </c>
      <c r="Q24" s="6" t="s">
        <v>520</v>
      </c>
      <c r="R24" s="6" t="s">
        <v>521</v>
      </c>
      <c r="S24" s="14" t="s">
        <v>234</v>
      </c>
      <c r="T24" s="14" t="s">
        <v>235</v>
      </c>
      <c r="U24" s="14" t="s">
        <v>346</v>
      </c>
      <c r="V24" s="14" t="s">
        <v>383</v>
      </c>
      <c r="W24" s="14"/>
      <c r="X24" s="14"/>
      <c r="Y24" s="15"/>
      <c r="Z24" s="15" t="n">
        <v>546</v>
      </c>
      <c r="AA24" s="14" t="n">
        <v>906</v>
      </c>
      <c r="AB24" s="14" t="n">
        <v>0</v>
      </c>
      <c r="AC24" s="17" t="n">
        <v>0.0801766979569299</v>
      </c>
      <c r="AD24" s="18" t="n">
        <v>111.49</v>
      </c>
      <c r="AE24" s="18" t="n">
        <f aca="false">IF(AD24="","",MIN(AD24,100))</f>
        <v>100</v>
      </c>
      <c r="AF24" s="14" t="n">
        <v>99.5</v>
      </c>
      <c r="AG24" s="14" t="s">
        <v>224</v>
      </c>
      <c r="AH24" s="14" t="n">
        <v>7</v>
      </c>
      <c r="AI24" s="14" t="s">
        <v>224</v>
      </c>
      <c r="AJ24" s="14" t="s">
        <v>224</v>
      </c>
      <c r="AK24" s="14" t="s">
        <v>240</v>
      </c>
      <c r="AL24" s="19" t="n">
        <f aca="false">ROUND('Start Here'!$B$29*AH24+'Start Here'!$B$30*MIN(IF(AD24="",0,AD24),50)/5+IF(M24&lt;=30000,'Start Here'!$B$31,IF(M24&lt;=60000,'Start Here'!$B$32,0)),1)</f>
        <v>8.5</v>
      </c>
      <c r="AM24" s="6" t="s">
        <v>522</v>
      </c>
      <c r="AN24" s="6" t="s">
        <v>523</v>
      </c>
      <c r="AO24" s="6"/>
      <c r="AP24" s="14"/>
      <c r="AQ24" s="14" t="s">
        <v>524</v>
      </c>
      <c r="AR24" s="20" t="s">
        <v>246</v>
      </c>
      <c r="AS24" s="20"/>
    </row>
    <row r="25" customFormat="false" ht="60" hidden="false" customHeight="true" outlineLevel="0" collapsed="false">
      <c r="A25" s="14" t="n">
        <v>24</v>
      </c>
      <c r="B25" s="14" t="s">
        <v>247</v>
      </c>
      <c r="C25" s="14" t="s">
        <v>221</v>
      </c>
      <c r="D25" s="14" t="s">
        <v>222</v>
      </c>
      <c r="E25" s="14" t="s">
        <v>34</v>
      </c>
      <c r="F25" s="14" t="s">
        <v>223</v>
      </c>
      <c r="G25" s="14" t="s">
        <v>224</v>
      </c>
      <c r="H25" s="14" t="s">
        <v>223</v>
      </c>
      <c r="I25" s="14" t="s">
        <v>308</v>
      </c>
      <c r="J25" s="14" t="s">
        <v>525</v>
      </c>
      <c r="K25" s="14" t="s">
        <v>526</v>
      </c>
      <c r="L25" s="14" t="s">
        <v>527</v>
      </c>
      <c r="M25" s="15" t="n">
        <v>31371</v>
      </c>
      <c r="N25" s="14" t="s">
        <v>462</v>
      </c>
      <c r="O25" s="14" t="s">
        <v>528</v>
      </c>
      <c r="P25" s="16" t="s">
        <v>529</v>
      </c>
      <c r="Q25" s="6" t="s">
        <v>530</v>
      </c>
      <c r="R25" s="6" t="s">
        <v>531</v>
      </c>
      <c r="S25" s="14" t="s">
        <v>255</v>
      </c>
      <c r="T25" s="14" t="s">
        <v>235</v>
      </c>
      <c r="U25" s="14" t="s">
        <v>236</v>
      </c>
      <c r="V25" s="14" t="s">
        <v>256</v>
      </c>
      <c r="W25" s="14" t="s">
        <v>532</v>
      </c>
      <c r="X25" s="14" t="s">
        <v>533</v>
      </c>
      <c r="Y25" s="15" t="n">
        <v>842374</v>
      </c>
      <c r="Z25" s="15" t="n">
        <v>24474</v>
      </c>
      <c r="AA25" s="14" t="n">
        <v>294</v>
      </c>
      <c r="AB25" s="14"/>
      <c r="AC25" s="17" t="n">
        <v>0.029402616889885</v>
      </c>
      <c r="AD25" s="18" t="n">
        <v>81.9</v>
      </c>
      <c r="AE25" s="18" t="n">
        <f aca="false">IF(AD25="","",MIN(AD25,100))</f>
        <v>81.9</v>
      </c>
      <c r="AF25" s="14" t="n">
        <v>100</v>
      </c>
      <c r="AG25" s="14" t="s">
        <v>224</v>
      </c>
      <c r="AH25" s="14" t="n">
        <v>9</v>
      </c>
      <c r="AI25" s="14" t="s">
        <v>224</v>
      </c>
      <c r="AJ25" s="14" t="s">
        <v>224</v>
      </c>
      <c r="AK25" s="14" t="s">
        <v>240</v>
      </c>
      <c r="AL25" s="19" t="n">
        <f aca="false">ROUND('Start Here'!$B$29*AH25+'Start Here'!$B$30*MIN(IF(AD25="",0,AD25),50)/5+IF(M25&lt;=30000,'Start Here'!$B$31,IF(M25&lt;=60000,'Start Here'!$B$32,0)),1)</f>
        <v>8.5</v>
      </c>
      <c r="AM25" s="6" t="s">
        <v>534</v>
      </c>
      <c r="AN25" s="6" t="s">
        <v>535</v>
      </c>
      <c r="AO25" s="6" t="s">
        <v>536</v>
      </c>
      <c r="AP25" s="14" t="s">
        <v>537</v>
      </c>
      <c r="AQ25" s="14" t="s">
        <v>538</v>
      </c>
      <c r="AR25" s="20" t="s">
        <v>246</v>
      </c>
      <c r="AS25" s="20"/>
    </row>
    <row r="26" customFormat="false" ht="60" hidden="false" customHeight="true" outlineLevel="0" collapsed="false">
      <c r="A26" s="14" t="n">
        <v>25</v>
      </c>
      <c r="B26" s="14" t="s">
        <v>220</v>
      </c>
      <c r="C26" s="14" t="s">
        <v>221</v>
      </c>
      <c r="D26" s="14" t="s">
        <v>222</v>
      </c>
      <c r="E26" s="14" t="s">
        <v>36</v>
      </c>
      <c r="F26" s="14" t="s">
        <v>223</v>
      </c>
      <c r="G26" s="14" t="s">
        <v>223</v>
      </c>
      <c r="H26" s="14" t="s">
        <v>223</v>
      </c>
      <c r="I26" s="14" t="s">
        <v>364</v>
      </c>
      <c r="J26" s="14" t="s">
        <v>539</v>
      </c>
      <c r="K26" s="14" t="s">
        <v>540</v>
      </c>
      <c r="L26" s="14" t="s">
        <v>541</v>
      </c>
      <c r="M26" s="15" t="n">
        <v>22067</v>
      </c>
      <c r="N26" s="14" t="s">
        <v>298</v>
      </c>
      <c r="O26" s="14" t="s">
        <v>542</v>
      </c>
      <c r="P26" s="16" t="s">
        <v>543</v>
      </c>
      <c r="Q26" s="6" t="s">
        <v>544</v>
      </c>
      <c r="R26" s="6" t="s">
        <v>545</v>
      </c>
      <c r="S26" s="14" t="s">
        <v>255</v>
      </c>
      <c r="T26" s="14" t="s">
        <v>235</v>
      </c>
      <c r="U26" s="14" t="s">
        <v>236</v>
      </c>
      <c r="V26" s="14" t="s">
        <v>331</v>
      </c>
      <c r="W26" s="14" t="s">
        <v>238</v>
      </c>
      <c r="X26" s="14" t="s">
        <v>546</v>
      </c>
      <c r="Y26" s="15" t="n">
        <v>1571865</v>
      </c>
      <c r="Z26" s="15" t="n">
        <v>4810</v>
      </c>
      <c r="AA26" s="14" t="n">
        <v>386</v>
      </c>
      <c r="AB26" s="14" t="n">
        <v>483</v>
      </c>
      <c r="AC26" s="17" t="n">
        <v>0.00361290568846561</v>
      </c>
      <c r="AD26" s="18" t="n">
        <v>221.1</v>
      </c>
      <c r="AE26" s="18" t="n">
        <f aca="false">IF(AD26="","",MIN(AD26,100))</f>
        <v>100</v>
      </c>
      <c r="AF26" s="14" t="n">
        <v>100</v>
      </c>
      <c r="AG26" s="14" t="s">
        <v>224</v>
      </c>
      <c r="AH26" s="14" t="n">
        <v>7</v>
      </c>
      <c r="AI26" s="14" t="s">
        <v>224</v>
      </c>
      <c r="AJ26" s="14" t="s">
        <v>224</v>
      </c>
      <c r="AK26" s="14" t="s">
        <v>453</v>
      </c>
      <c r="AL26" s="19" t="n">
        <f aca="false">ROUND('Start Here'!$B$29*AH26+'Start Here'!$B$30*MIN(IF(AD26="",0,AD26),50)/5+IF(M26&lt;=30000,'Start Here'!$B$31,IF(M26&lt;=60000,'Start Here'!$B$32,0)),1)</f>
        <v>8.5</v>
      </c>
      <c r="AM26" s="6" t="s">
        <v>547</v>
      </c>
      <c r="AN26" s="6" t="s">
        <v>548</v>
      </c>
      <c r="AO26" s="6" t="s">
        <v>549</v>
      </c>
      <c r="AP26" s="14" t="s">
        <v>550</v>
      </c>
      <c r="AQ26" s="14" t="s">
        <v>373</v>
      </c>
      <c r="AR26" s="20" t="s">
        <v>246</v>
      </c>
      <c r="AS26" s="20"/>
    </row>
    <row r="27" customFormat="false" ht="60" hidden="false" customHeight="true" outlineLevel="0" collapsed="false">
      <c r="A27" s="14" t="n">
        <v>26</v>
      </c>
      <c r="B27" s="14" t="s">
        <v>247</v>
      </c>
      <c r="C27" s="14" t="s">
        <v>221</v>
      </c>
      <c r="D27" s="14" t="s">
        <v>443</v>
      </c>
      <c r="E27" s="14" t="s">
        <v>34</v>
      </c>
      <c r="F27" s="14" t="s">
        <v>223</v>
      </c>
      <c r="G27" s="14" t="s">
        <v>224</v>
      </c>
      <c r="H27" s="14" t="s">
        <v>224</v>
      </c>
      <c r="I27" s="14" t="s">
        <v>225</v>
      </c>
      <c r="J27" s="14" t="s">
        <v>551</v>
      </c>
      <c r="K27" s="14" t="s">
        <v>552</v>
      </c>
      <c r="L27" s="14" t="s">
        <v>553</v>
      </c>
      <c r="M27" s="15" t="n">
        <v>52200</v>
      </c>
      <c r="N27" s="14" t="s">
        <v>400</v>
      </c>
      <c r="O27" s="14" t="s">
        <v>447</v>
      </c>
      <c r="P27" s="16" t="s">
        <v>554</v>
      </c>
      <c r="Q27" s="6" t="s">
        <v>555</v>
      </c>
      <c r="R27" s="6" t="s">
        <v>556</v>
      </c>
      <c r="S27" s="14" t="s">
        <v>255</v>
      </c>
      <c r="T27" s="14" t="s">
        <v>235</v>
      </c>
      <c r="U27" s="14" t="s">
        <v>236</v>
      </c>
      <c r="V27" s="14" t="s">
        <v>557</v>
      </c>
      <c r="W27" s="14" t="s">
        <v>452</v>
      </c>
      <c r="X27" s="14"/>
      <c r="Y27" s="15" t="n">
        <v>83700</v>
      </c>
      <c r="Z27" s="15"/>
      <c r="AA27" s="14"/>
      <c r="AB27" s="14"/>
      <c r="AC27" s="17"/>
      <c r="AD27" s="18" t="n">
        <v>190.6</v>
      </c>
      <c r="AE27" s="18" t="n">
        <f aca="false">IF(AD27="","",MIN(AD27,100))</f>
        <v>100</v>
      </c>
      <c r="AF27" s="14"/>
      <c r="AG27" s="14" t="s">
        <v>224</v>
      </c>
      <c r="AH27" s="14" t="n">
        <v>9</v>
      </c>
      <c r="AI27" s="14" t="s">
        <v>224</v>
      </c>
      <c r="AJ27" s="14" t="s">
        <v>224</v>
      </c>
      <c r="AK27" s="14" t="s">
        <v>240</v>
      </c>
      <c r="AL27" s="19" t="n">
        <f aca="false">ROUND('Start Here'!$B$29*AH27+'Start Here'!$B$30*MIN(IF(AD27="",0,AD27),50)/5+IF(M27&lt;=30000,'Start Here'!$B$31,IF(M27&lt;=60000,'Start Here'!$B$32,0)),1)</f>
        <v>8.5</v>
      </c>
      <c r="AM27" s="6" t="s">
        <v>558</v>
      </c>
      <c r="AN27" s="6" t="s">
        <v>559</v>
      </c>
      <c r="AO27" s="6" t="s">
        <v>560</v>
      </c>
      <c r="AP27" s="14" t="s">
        <v>561</v>
      </c>
      <c r="AQ27" s="14" t="s">
        <v>562</v>
      </c>
      <c r="AR27" s="20" t="s">
        <v>246</v>
      </c>
      <c r="AS27" s="20"/>
    </row>
    <row r="28" customFormat="false" ht="60" hidden="false" customHeight="true" outlineLevel="0" collapsed="false">
      <c r="A28" s="14" t="n">
        <v>27</v>
      </c>
      <c r="B28" s="14" t="s">
        <v>247</v>
      </c>
      <c r="C28" s="14" t="s">
        <v>221</v>
      </c>
      <c r="D28" s="14" t="s">
        <v>443</v>
      </c>
      <c r="E28" s="14" t="s">
        <v>36</v>
      </c>
      <c r="F28" s="14" t="s">
        <v>223</v>
      </c>
      <c r="G28" s="14" t="s">
        <v>223</v>
      </c>
      <c r="H28" s="14" t="s">
        <v>224</v>
      </c>
      <c r="I28" s="14" t="s">
        <v>225</v>
      </c>
      <c r="J28" s="14" t="s">
        <v>563</v>
      </c>
      <c r="K28" s="14" t="s">
        <v>564</v>
      </c>
      <c r="L28" s="14" t="s">
        <v>565</v>
      </c>
      <c r="M28" s="15" t="n">
        <v>15800</v>
      </c>
      <c r="N28" s="14" t="s">
        <v>229</v>
      </c>
      <c r="O28" s="14" t="s">
        <v>447</v>
      </c>
      <c r="P28" s="16" t="s">
        <v>566</v>
      </c>
      <c r="Q28" s="6" t="s">
        <v>567</v>
      </c>
      <c r="R28" s="6" t="s">
        <v>568</v>
      </c>
      <c r="S28" s="14" t="s">
        <v>569</v>
      </c>
      <c r="T28" s="14" t="s">
        <v>273</v>
      </c>
      <c r="U28" s="14" t="s">
        <v>274</v>
      </c>
      <c r="V28" s="14" t="s">
        <v>570</v>
      </c>
      <c r="W28" s="14" t="s">
        <v>452</v>
      </c>
      <c r="X28" s="14"/>
      <c r="Y28" s="15" t="n">
        <v>233900</v>
      </c>
      <c r="Z28" s="15"/>
      <c r="AA28" s="14"/>
      <c r="AB28" s="14"/>
      <c r="AC28" s="17"/>
      <c r="AD28" s="18" t="n">
        <v>335.5</v>
      </c>
      <c r="AE28" s="18" t="n">
        <f aca="false">IF(AD28="","",MIN(AD28,100))</f>
        <v>100</v>
      </c>
      <c r="AF28" s="14"/>
      <c r="AG28" s="14" t="s">
        <v>224</v>
      </c>
      <c r="AH28" s="14" t="n">
        <v>7</v>
      </c>
      <c r="AI28" s="14" t="s">
        <v>224</v>
      </c>
      <c r="AJ28" s="14" t="s">
        <v>224</v>
      </c>
      <c r="AK28" s="14" t="s">
        <v>240</v>
      </c>
      <c r="AL28" s="19" t="n">
        <f aca="false">ROUND('Start Here'!$B$29*AH28+'Start Here'!$B$30*MIN(IF(AD28="",0,AD28),50)/5+IF(M28&lt;=30000,'Start Here'!$B$31,IF(M28&lt;=60000,'Start Here'!$B$32,0)),1)</f>
        <v>8.5</v>
      </c>
      <c r="AM28" s="6" t="s">
        <v>571</v>
      </c>
      <c r="AN28" s="6" t="s">
        <v>572</v>
      </c>
      <c r="AO28" s="6" t="s">
        <v>573</v>
      </c>
      <c r="AP28" s="14" t="s">
        <v>561</v>
      </c>
      <c r="AQ28" s="14" t="s">
        <v>574</v>
      </c>
      <c r="AR28" s="20" t="s">
        <v>246</v>
      </c>
      <c r="AS28" s="20"/>
    </row>
    <row r="29" customFormat="false" ht="60" hidden="false" customHeight="true" outlineLevel="0" collapsed="false">
      <c r="A29" s="14" t="n">
        <v>28</v>
      </c>
      <c r="B29" s="14" t="s">
        <v>220</v>
      </c>
      <c r="C29" s="14" t="s">
        <v>221</v>
      </c>
      <c r="D29" s="14" t="s">
        <v>222</v>
      </c>
      <c r="E29" s="14" t="s">
        <v>34</v>
      </c>
      <c r="F29" s="14" t="s">
        <v>223</v>
      </c>
      <c r="G29" s="14" t="s">
        <v>224</v>
      </c>
      <c r="H29" s="14" t="s">
        <v>224</v>
      </c>
      <c r="I29" s="14" t="s">
        <v>225</v>
      </c>
      <c r="J29" s="14" t="s">
        <v>575</v>
      </c>
      <c r="K29" s="14" t="s">
        <v>576</v>
      </c>
      <c r="L29" s="14" t="s">
        <v>577</v>
      </c>
      <c r="M29" s="15" t="n">
        <v>36531</v>
      </c>
      <c r="N29" s="14" t="s">
        <v>462</v>
      </c>
      <c r="O29" s="14" t="s">
        <v>578</v>
      </c>
      <c r="P29" s="16" t="s">
        <v>579</v>
      </c>
      <c r="Q29" s="6" t="s">
        <v>580</v>
      </c>
      <c r="R29" s="6" t="s">
        <v>581</v>
      </c>
      <c r="S29" s="14" t="s">
        <v>255</v>
      </c>
      <c r="T29" s="14" t="s">
        <v>235</v>
      </c>
      <c r="U29" s="14" t="s">
        <v>236</v>
      </c>
      <c r="V29" s="14" t="s">
        <v>237</v>
      </c>
      <c r="W29" s="14" t="s">
        <v>238</v>
      </c>
      <c r="X29" s="14" t="s">
        <v>239</v>
      </c>
      <c r="Y29" s="15" t="n">
        <v>14826</v>
      </c>
      <c r="Z29" s="15" t="n">
        <v>374</v>
      </c>
      <c r="AA29" s="14" t="n">
        <v>35</v>
      </c>
      <c r="AB29" s="14" t="n">
        <v>16</v>
      </c>
      <c r="AC29" s="17" t="n">
        <v>0.0286658572777553</v>
      </c>
      <c r="AD29" s="18" t="n">
        <v>41.49</v>
      </c>
      <c r="AE29" s="18" t="n">
        <f aca="false">IF(AD29="","",MIN(AD29,100))</f>
        <v>41.49</v>
      </c>
      <c r="AF29" s="14" t="n">
        <v>98.9</v>
      </c>
      <c r="AG29" s="14" t="s">
        <v>224</v>
      </c>
      <c r="AH29" s="14" t="n">
        <v>10</v>
      </c>
      <c r="AI29" s="14" t="s">
        <v>224</v>
      </c>
      <c r="AJ29" s="14" t="s">
        <v>224</v>
      </c>
      <c r="AK29" s="14" t="s">
        <v>240</v>
      </c>
      <c r="AL29" s="19" t="n">
        <f aca="false">ROUND('Start Here'!$B$29*AH29+'Start Here'!$B$30*MIN(IF(AD29="",0,AD29),50)/5+IF(M29&lt;=30000,'Start Here'!$B$31,IF(M29&lt;=60000,'Start Here'!$B$32,0)),1)</f>
        <v>8.5</v>
      </c>
      <c r="AM29" s="6" t="s">
        <v>582</v>
      </c>
      <c r="AN29" s="6" t="s">
        <v>583</v>
      </c>
      <c r="AO29" s="6" t="s">
        <v>584</v>
      </c>
      <c r="AP29" s="14" t="s">
        <v>585</v>
      </c>
      <c r="AQ29" s="14" t="s">
        <v>351</v>
      </c>
      <c r="AR29" s="20" t="s">
        <v>246</v>
      </c>
      <c r="AS29" s="20"/>
    </row>
    <row r="30" customFormat="false" ht="60" hidden="false" customHeight="true" outlineLevel="0" collapsed="false">
      <c r="A30" s="14" t="n">
        <v>29</v>
      </c>
      <c r="B30" s="14" t="s">
        <v>220</v>
      </c>
      <c r="C30" s="14" t="s">
        <v>221</v>
      </c>
      <c r="D30" s="14" t="s">
        <v>222</v>
      </c>
      <c r="E30" s="14" t="s">
        <v>36</v>
      </c>
      <c r="F30" s="14" t="s">
        <v>223</v>
      </c>
      <c r="G30" s="14" t="s">
        <v>223</v>
      </c>
      <c r="H30" s="14" t="s">
        <v>224</v>
      </c>
      <c r="I30" s="14" t="s">
        <v>586</v>
      </c>
      <c r="J30" s="14" t="s">
        <v>587</v>
      </c>
      <c r="K30" s="14" t="s">
        <v>588</v>
      </c>
      <c r="L30" s="14" t="s">
        <v>589</v>
      </c>
      <c r="M30" s="15" t="n">
        <v>6256</v>
      </c>
      <c r="N30" s="14" t="s">
        <v>283</v>
      </c>
      <c r="O30" s="14" t="s">
        <v>590</v>
      </c>
      <c r="P30" s="16" t="s">
        <v>591</v>
      </c>
      <c r="Q30" s="6" t="s">
        <v>592</v>
      </c>
      <c r="R30" s="6" t="s">
        <v>593</v>
      </c>
      <c r="S30" s="14" t="s">
        <v>234</v>
      </c>
      <c r="T30" s="14" t="s">
        <v>235</v>
      </c>
      <c r="U30" s="14" t="s">
        <v>346</v>
      </c>
      <c r="V30" s="14" t="s">
        <v>237</v>
      </c>
      <c r="W30" s="14" t="s">
        <v>257</v>
      </c>
      <c r="X30" s="14" t="s">
        <v>239</v>
      </c>
      <c r="Y30" s="15" t="n">
        <v>42190</v>
      </c>
      <c r="Z30" s="15" t="n">
        <v>438</v>
      </c>
      <c r="AA30" s="14" t="n">
        <v>40</v>
      </c>
      <c r="AB30" s="14" t="n">
        <v>23</v>
      </c>
      <c r="AC30" s="17" t="n">
        <v>0.0118748518606305</v>
      </c>
      <c r="AD30" s="18" t="n">
        <v>24.55</v>
      </c>
      <c r="AE30" s="18" t="n">
        <f aca="false">IF(AD30="","",MIN(AD30,100))</f>
        <v>24.55</v>
      </c>
      <c r="AF30" s="14" t="n">
        <v>99.5</v>
      </c>
      <c r="AG30" s="14" t="s">
        <v>224</v>
      </c>
      <c r="AH30" s="14" t="n">
        <v>10</v>
      </c>
      <c r="AI30" s="14" t="s">
        <v>224</v>
      </c>
      <c r="AJ30" s="14" t="s">
        <v>224</v>
      </c>
      <c r="AK30" s="14" t="s">
        <v>240</v>
      </c>
      <c r="AL30" s="19" t="n">
        <f aca="false">ROUND('Start Here'!$B$29*AH30+'Start Here'!$B$30*MIN(IF(AD30="",0,AD30),50)/5+IF(M30&lt;=30000,'Start Here'!$B$31,IF(M30&lt;=60000,'Start Here'!$B$32,0)),1)</f>
        <v>8.5</v>
      </c>
      <c r="AM30" s="6" t="s">
        <v>241</v>
      </c>
      <c r="AN30" s="6" t="s">
        <v>594</v>
      </c>
      <c r="AO30" s="6" t="s">
        <v>595</v>
      </c>
      <c r="AP30" s="14" t="s">
        <v>596</v>
      </c>
      <c r="AQ30" s="14" t="s">
        <v>263</v>
      </c>
      <c r="AR30" s="20" t="s">
        <v>246</v>
      </c>
      <c r="AS30" s="20"/>
    </row>
    <row r="31" customFormat="false" ht="60" hidden="false" customHeight="true" outlineLevel="0" collapsed="false">
      <c r="A31" s="14" t="n">
        <v>30</v>
      </c>
      <c r="B31" s="14" t="s">
        <v>220</v>
      </c>
      <c r="C31" s="14" t="s">
        <v>221</v>
      </c>
      <c r="D31" s="14" t="s">
        <v>222</v>
      </c>
      <c r="E31" s="14" t="s">
        <v>36</v>
      </c>
      <c r="F31" s="14" t="s">
        <v>223</v>
      </c>
      <c r="G31" s="14" t="s">
        <v>223</v>
      </c>
      <c r="H31" s="14" t="s">
        <v>224</v>
      </c>
      <c r="I31" s="14" t="s">
        <v>375</v>
      </c>
      <c r="J31" s="14" t="s">
        <v>597</v>
      </c>
      <c r="K31" s="14" t="s">
        <v>310</v>
      </c>
      <c r="L31" s="14" t="s">
        <v>311</v>
      </c>
      <c r="M31" s="15" t="n">
        <v>10660</v>
      </c>
      <c r="N31" s="14" t="s">
        <v>229</v>
      </c>
      <c r="O31" s="14" t="s">
        <v>598</v>
      </c>
      <c r="P31" s="16" t="s">
        <v>599</v>
      </c>
      <c r="Q31" s="6" t="s">
        <v>600</v>
      </c>
      <c r="R31" s="6" t="s">
        <v>601</v>
      </c>
      <c r="S31" s="14" t="s">
        <v>234</v>
      </c>
      <c r="T31" s="14" t="s">
        <v>235</v>
      </c>
      <c r="U31" s="14" t="s">
        <v>236</v>
      </c>
      <c r="V31" s="14" t="s">
        <v>237</v>
      </c>
      <c r="W31" s="14" t="s">
        <v>257</v>
      </c>
      <c r="X31" s="14" t="s">
        <v>258</v>
      </c>
      <c r="Y31" s="15" t="n">
        <v>438978</v>
      </c>
      <c r="Z31" s="15" t="n">
        <v>1316</v>
      </c>
      <c r="AA31" s="14" t="n">
        <v>29</v>
      </c>
      <c r="AB31" s="14" t="n">
        <v>100</v>
      </c>
      <c r="AC31" s="17" t="n">
        <v>0.00329173671573519</v>
      </c>
      <c r="AD31" s="18" t="n">
        <v>40.65</v>
      </c>
      <c r="AE31" s="18" t="n">
        <f aca="false">IF(AD31="","",MIN(AD31,100))</f>
        <v>40.65</v>
      </c>
      <c r="AF31" s="14" t="n">
        <v>99.5</v>
      </c>
      <c r="AG31" s="14" t="s">
        <v>224</v>
      </c>
      <c r="AH31" s="14" t="n">
        <v>8</v>
      </c>
      <c r="AI31" s="14" t="s">
        <v>224</v>
      </c>
      <c r="AJ31" s="14" t="s">
        <v>224</v>
      </c>
      <c r="AK31" s="14" t="s">
        <v>453</v>
      </c>
      <c r="AL31" s="19" t="n">
        <f aca="false">ROUND('Start Here'!$B$29*AH31+'Start Here'!$B$30*MIN(IF(AD31="",0,AD31),50)/5+IF(M31&lt;=30000,'Start Here'!$B$31,IF(M31&lt;=60000,'Start Here'!$B$32,0)),1)</f>
        <v>8.4</v>
      </c>
      <c r="AM31" s="6" t="s">
        <v>602</v>
      </c>
      <c r="AN31" s="6" t="s">
        <v>603</v>
      </c>
      <c r="AO31" s="6" t="s">
        <v>604</v>
      </c>
      <c r="AP31" s="14" t="s">
        <v>605</v>
      </c>
      <c r="AQ31" s="14" t="s">
        <v>524</v>
      </c>
      <c r="AR31" s="20" t="s">
        <v>246</v>
      </c>
      <c r="AS31" s="20"/>
    </row>
    <row r="32" customFormat="false" ht="60" hidden="false" customHeight="true" outlineLevel="0" collapsed="false">
      <c r="A32" s="14" t="n">
        <v>31</v>
      </c>
      <c r="B32" s="14" t="s">
        <v>220</v>
      </c>
      <c r="C32" s="14" t="s">
        <v>221</v>
      </c>
      <c r="D32" s="14" t="s">
        <v>222</v>
      </c>
      <c r="E32" s="14" t="s">
        <v>36</v>
      </c>
      <c r="F32" s="14" t="s">
        <v>223</v>
      </c>
      <c r="G32" s="14" t="s">
        <v>223</v>
      </c>
      <c r="H32" s="14" t="s">
        <v>223</v>
      </c>
      <c r="I32" s="14" t="s">
        <v>322</v>
      </c>
      <c r="J32" s="14" t="s">
        <v>606</v>
      </c>
      <c r="K32" s="14" t="s">
        <v>310</v>
      </c>
      <c r="L32" s="14" t="s">
        <v>311</v>
      </c>
      <c r="M32" s="15" t="n">
        <v>10660</v>
      </c>
      <c r="N32" s="14" t="s">
        <v>229</v>
      </c>
      <c r="O32" s="14" t="s">
        <v>607</v>
      </c>
      <c r="P32" s="16" t="s">
        <v>608</v>
      </c>
      <c r="Q32" s="6" t="s">
        <v>609</v>
      </c>
      <c r="R32" s="6" t="s">
        <v>610</v>
      </c>
      <c r="S32" s="14" t="s">
        <v>330</v>
      </c>
      <c r="T32" s="14" t="s">
        <v>235</v>
      </c>
      <c r="U32" s="14" t="s">
        <v>346</v>
      </c>
      <c r="V32" s="14" t="s">
        <v>331</v>
      </c>
      <c r="W32" s="14" t="s">
        <v>332</v>
      </c>
      <c r="X32" s="14" t="s">
        <v>333</v>
      </c>
      <c r="Y32" s="15" t="n">
        <v>1160978</v>
      </c>
      <c r="Z32" s="15" t="n">
        <v>1030</v>
      </c>
      <c r="AA32" s="14" t="n">
        <v>51</v>
      </c>
      <c r="AB32" s="14" t="n">
        <v>43</v>
      </c>
      <c r="AC32" s="17" t="n">
        <v>0.00096814926725571</v>
      </c>
      <c r="AD32" s="18" t="n">
        <v>31.82</v>
      </c>
      <c r="AE32" s="18" t="n">
        <f aca="false">IF(AD32="","",MIN(AD32,100))</f>
        <v>31.82</v>
      </c>
      <c r="AF32" s="14" t="n">
        <v>99.2</v>
      </c>
      <c r="AG32" s="14" t="s">
        <v>224</v>
      </c>
      <c r="AH32" s="14" t="n">
        <v>9</v>
      </c>
      <c r="AI32" s="14" t="s">
        <v>224</v>
      </c>
      <c r="AJ32" s="14" t="s">
        <v>224</v>
      </c>
      <c r="AK32" s="14" t="s">
        <v>240</v>
      </c>
      <c r="AL32" s="19" t="n">
        <f aca="false">ROUND('Start Here'!$B$29*AH32+'Start Here'!$B$30*MIN(IF(AD32="",0,AD32),50)/5+IF(M32&lt;=30000,'Start Here'!$B$31,IF(M32&lt;=60000,'Start Here'!$B$32,0)),1)</f>
        <v>8.4</v>
      </c>
      <c r="AM32" s="6" t="s">
        <v>611</v>
      </c>
      <c r="AN32" s="6" t="s">
        <v>612</v>
      </c>
      <c r="AO32" s="6" t="s">
        <v>613</v>
      </c>
      <c r="AP32" s="14" t="s">
        <v>614</v>
      </c>
      <c r="AQ32" s="14" t="s">
        <v>373</v>
      </c>
      <c r="AR32" s="20" t="s">
        <v>246</v>
      </c>
      <c r="AS32" s="20"/>
    </row>
    <row r="33" customFormat="false" ht="60" hidden="false" customHeight="true" outlineLevel="0" collapsed="false">
      <c r="A33" s="14" t="n">
        <v>32</v>
      </c>
      <c r="B33" s="14" t="s">
        <v>247</v>
      </c>
      <c r="C33" s="14" t="s">
        <v>221</v>
      </c>
      <c r="D33" s="14" t="s">
        <v>222</v>
      </c>
      <c r="E33" s="14" t="s">
        <v>36</v>
      </c>
      <c r="F33" s="14" t="s">
        <v>223</v>
      </c>
      <c r="G33" s="14" t="s">
        <v>223</v>
      </c>
      <c r="H33" s="14" t="s">
        <v>224</v>
      </c>
      <c r="I33" s="14" t="s">
        <v>338</v>
      </c>
      <c r="J33" s="14" t="s">
        <v>615</v>
      </c>
      <c r="K33" s="14" t="s">
        <v>616</v>
      </c>
      <c r="L33" s="14" t="s">
        <v>617</v>
      </c>
      <c r="M33" s="15" t="n">
        <v>7538</v>
      </c>
      <c r="N33" s="14" t="s">
        <v>283</v>
      </c>
      <c r="O33" s="14" t="s">
        <v>618</v>
      </c>
      <c r="P33" s="16" t="s">
        <v>619</v>
      </c>
      <c r="Q33" s="6" t="s">
        <v>620</v>
      </c>
      <c r="R33" s="6" t="s">
        <v>620</v>
      </c>
      <c r="S33" s="14" t="s">
        <v>272</v>
      </c>
      <c r="T33" s="14" t="s">
        <v>273</v>
      </c>
      <c r="U33" s="14" t="s">
        <v>274</v>
      </c>
      <c r="V33" s="14" t="s">
        <v>288</v>
      </c>
      <c r="W33" s="14" t="s">
        <v>257</v>
      </c>
      <c r="X33" s="14" t="s">
        <v>258</v>
      </c>
      <c r="Y33" s="15" t="n">
        <v>29264</v>
      </c>
      <c r="Z33" s="15" t="n">
        <v>218</v>
      </c>
      <c r="AA33" s="14" t="n">
        <v>15</v>
      </c>
      <c r="AB33" s="14"/>
      <c r="AC33" s="17" t="n">
        <v>0.00796200109349371</v>
      </c>
      <c r="AD33" s="18" t="n">
        <v>22.64</v>
      </c>
      <c r="AE33" s="18" t="n">
        <f aca="false">IF(AD33="","",MIN(AD33,100))</f>
        <v>22.64</v>
      </c>
      <c r="AF33" s="14" t="n">
        <v>86.6</v>
      </c>
      <c r="AG33" s="14" t="s">
        <v>224</v>
      </c>
      <c r="AH33" s="14" t="n">
        <v>10</v>
      </c>
      <c r="AI33" s="14" t="s">
        <v>224</v>
      </c>
      <c r="AJ33" s="14" t="s">
        <v>224</v>
      </c>
      <c r="AK33" s="14" t="s">
        <v>240</v>
      </c>
      <c r="AL33" s="19" t="n">
        <f aca="false">ROUND('Start Here'!$B$29*AH33+'Start Here'!$B$30*MIN(IF(AD33="",0,AD33),50)/5+IF(M33&lt;=30000,'Start Here'!$B$31,IF(M33&lt;=60000,'Start Here'!$B$32,0)),1)</f>
        <v>8.4</v>
      </c>
      <c r="AM33" s="6" t="s">
        <v>276</v>
      </c>
      <c r="AN33" s="6" t="s">
        <v>621</v>
      </c>
      <c r="AO33" s="6" t="s">
        <v>622</v>
      </c>
      <c r="AP33" s="14" t="s">
        <v>623</v>
      </c>
      <c r="AQ33" s="14" t="s">
        <v>524</v>
      </c>
      <c r="AR33" s="20" t="s">
        <v>246</v>
      </c>
      <c r="AS33" s="20"/>
    </row>
    <row r="34" customFormat="false" ht="60" hidden="false" customHeight="true" outlineLevel="0" collapsed="false">
      <c r="A34" s="14" t="n">
        <v>33</v>
      </c>
      <c r="B34" s="14" t="s">
        <v>247</v>
      </c>
      <c r="C34" s="14" t="s">
        <v>221</v>
      </c>
      <c r="D34" s="14" t="s">
        <v>222</v>
      </c>
      <c r="E34" s="14" t="s">
        <v>36</v>
      </c>
      <c r="F34" s="14" t="s">
        <v>223</v>
      </c>
      <c r="G34" s="14" t="s">
        <v>223</v>
      </c>
      <c r="H34" s="14" t="s">
        <v>224</v>
      </c>
      <c r="I34" s="14" t="s">
        <v>375</v>
      </c>
      <c r="J34" s="14" t="s">
        <v>624</v>
      </c>
      <c r="K34" s="14" t="s">
        <v>625</v>
      </c>
      <c r="L34" s="14" t="s">
        <v>626</v>
      </c>
      <c r="M34" s="15" t="n">
        <v>25875</v>
      </c>
      <c r="N34" s="14" t="s">
        <v>298</v>
      </c>
      <c r="O34" s="14" t="s">
        <v>627</v>
      </c>
      <c r="P34" s="16" t="s">
        <v>628</v>
      </c>
      <c r="Q34" s="6" t="s">
        <v>629</v>
      </c>
      <c r="R34" s="6" t="s">
        <v>630</v>
      </c>
      <c r="S34" s="14" t="s">
        <v>255</v>
      </c>
      <c r="T34" s="14" t="s">
        <v>235</v>
      </c>
      <c r="U34" s="14" t="s">
        <v>236</v>
      </c>
      <c r="V34" s="14" t="s">
        <v>256</v>
      </c>
      <c r="W34" s="14" t="s">
        <v>257</v>
      </c>
      <c r="X34" s="14" t="s">
        <v>239</v>
      </c>
      <c r="Y34" s="15" t="n">
        <v>153496</v>
      </c>
      <c r="Z34" s="15" t="n">
        <v>6621</v>
      </c>
      <c r="AA34" s="14" t="n">
        <v>104</v>
      </c>
      <c r="AB34" s="14"/>
      <c r="AC34" s="17" t="n">
        <v>0.043812216604993</v>
      </c>
      <c r="AD34" s="18" t="n">
        <v>20.12</v>
      </c>
      <c r="AE34" s="18" t="n">
        <f aca="false">IF(AD34="","",MIN(AD34,100))</f>
        <v>20.12</v>
      </c>
      <c r="AF34" s="14" t="n">
        <v>94.6</v>
      </c>
      <c r="AG34" s="14" t="s">
        <v>224</v>
      </c>
      <c r="AH34" s="14" t="n">
        <v>10</v>
      </c>
      <c r="AI34" s="14" t="s">
        <v>224</v>
      </c>
      <c r="AJ34" s="14" t="s">
        <v>224</v>
      </c>
      <c r="AK34" s="14" t="s">
        <v>240</v>
      </c>
      <c r="AL34" s="19" t="n">
        <f aca="false">ROUND('Start Here'!$B$29*AH34+'Start Here'!$B$30*MIN(IF(AD34="",0,AD34),50)/5+IF(M34&lt;=30000,'Start Here'!$B$31,IF(M34&lt;=60000,'Start Here'!$B$32,0)),1)</f>
        <v>8.2</v>
      </c>
      <c r="AM34" s="6" t="s">
        <v>631</v>
      </c>
      <c r="AN34" s="6" t="s">
        <v>632</v>
      </c>
      <c r="AO34" s="6" t="s">
        <v>633</v>
      </c>
      <c r="AP34" s="14" t="s">
        <v>634</v>
      </c>
      <c r="AQ34" s="14" t="s">
        <v>294</v>
      </c>
      <c r="AR34" s="20" t="s">
        <v>246</v>
      </c>
      <c r="AS34" s="20"/>
    </row>
    <row r="35" customFormat="false" ht="60" hidden="false" customHeight="true" outlineLevel="0" collapsed="false">
      <c r="A35" s="14" t="n">
        <v>34</v>
      </c>
      <c r="B35" s="14" t="s">
        <v>247</v>
      </c>
      <c r="C35" s="14" t="s">
        <v>221</v>
      </c>
      <c r="D35" s="14" t="s">
        <v>443</v>
      </c>
      <c r="E35" s="14" t="s">
        <v>36</v>
      </c>
      <c r="F35" s="14" t="s">
        <v>223</v>
      </c>
      <c r="G35" s="14" t="s">
        <v>223</v>
      </c>
      <c r="H35" s="14" t="s">
        <v>224</v>
      </c>
      <c r="I35" s="14" t="s">
        <v>635</v>
      </c>
      <c r="J35" s="14" t="s">
        <v>636</v>
      </c>
      <c r="K35" s="14" t="s">
        <v>637</v>
      </c>
      <c r="L35" s="14" t="s">
        <v>638</v>
      </c>
      <c r="M35" s="15" t="n">
        <v>20800</v>
      </c>
      <c r="N35" s="14" t="s">
        <v>298</v>
      </c>
      <c r="O35" s="14" t="s">
        <v>447</v>
      </c>
      <c r="P35" s="16" t="s">
        <v>639</v>
      </c>
      <c r="Q35" s="6" t="s">
        <v>640</v>
      </c>
      <c r="R35" s="6" t="s">
        <v>641</v>
      </c>
      <c r="S35" s="14" t="s">
        <v>330</v>
      </c>
      <c r="T35" s="14" t="s">
        <v>235</v>
      </c>
      <c r="U35" s="14" t="s">
        <v>236</v>
      </c>
      <c r="V35" s="14" t="s">
        <v>642</v>
      </c>
      <c r="W35" s="14" t="s">
        <v>452</v>
      </c>
      <c r="X35" s="14"/>
      <c r="Y35" s="15" t="n">
        <v>84500</v>
      </c>
      <c r="Z35" s="15"/>
      <c r="AA35" s="14"/>
      <c r="AB35" s="14"/>
      <c r="AC35" s="17"/>
      <c r="AD35" s="18" t="n">
        <v>140.1</v>
      </c>
      <c r="AE35" s="18" t="n">
        <f aca="false">IF(AD35="","",MIN(AD35,100))</f>
        <v>100</v>
      </c>
      <c r="AF35" s="14"/>
      <c r="AG35" s="14" t="s">
        <v>224</v>
      </c>
      <c r="AH35" s="14" t="n">
        <v>6.3</v>
      </c>
      <c r="AI35" s="14" t="s">
        <v>224</v>
      </c>
      <c r="AJ35" s="14" t="s">
        <v>224</v>
      </c>
      <c r="AK35" s="14" t="s">
        <v>240</v>
      </c>
      <c r="AL35" s="19" t="n">
        <f aca="false">ROUND('Start Here'!$B$29*AH35+'Start Here'!$B$30*MIN(IF(AD35="",0,AD35),50)/5+IF(M35&lt;=30000,'Start Here'!$B$31,IF(M35&lt;=60000,'Start Here'!$B$32,0)),1)</f>
        <v>8.2</v>
      </c>
      <c r="AM35" s="6" t="s">
        <v>643</v>
      </c>
      <c r="AN35" s="6" t="s">
        <v>644</v>
      </c>
      <c r="AO35" s="6" t="s">
        <v>645</v>
      </c>
      <c r="AP35" s="14" t="s">
        <v>457</v>
      </c>
      <c r="AQ35" s="14" t="s">
        <v>646</v>
      </c>
      <c r="AR35" s="20" t="s">
        <v>246</v>
      </c>
      <c r="AS35" s="20"/>
    </row>
    <row r="36" customFormat="false" ht="60" hidden="false" customHeight="true" outlineLevel="0" collapsed="false">
      <c r="A36" s="14" t="n">
        <v>35</v>
      </c>
      <c r="B36" s="14" t="s">
        <v>220</v>
      </c>
      <c r="C36" s="14" t="s">
        <v>221</v>
      </c>
      <c r="D36" s="14" t="s">
        <v>222</v>
      </c>
      <c r="E36" s="14" t="s">
        <v>36</v>
      </c>
      <c r="F36" s="14" t="s">
        <v>223</v>
      </c>
      <c r="G36" s="14" t="s">
        <v>223</v>
      </c>
      <c r="H36" s="14" t="s">
        <v>223</v>
      </c>
      <c r="I36" s="14" t="s">
        <v>225</v>
      </c>
      <c r="J36" s="14" t="s">
        <v>647</v>
      </c>
      <c r="K36" s="14" t="s">
        <v>648</v>
      </c>
      <c r="L36" s="14" t="s">
        <v>649</v>
      </c>
      <c r="M36" s="15" t="n">
        <v>12481</v>
      </c>
      <c r="N36" s="14" t="s">
        <v>229</v>
      </c>
      <c r="O36" s="14" t="s">
        <v>650</v>
      </c>
      <c r="P36" s="16" t="s">
        <v>651</v>
      </c>
      <c r="Q36" s="6" t="s">
        <v>652</v>
      </c>
      <c r="R36" s="6" t="s">
        <v>653</v>
      </c>
      <c r="S36" s="14" t="s">
        <v>330</v>
      </c>
      <c r="T36" s="14" t="s">
        <v>235</v>
      </c>
      <c r="U36" s="14" t="s">
        <v>236</v>
      </c>
      <c r="V36" s="14" t="s">
        <v>288</v>
      </c>
      <c r="W36" s="14" t="s">
        <v>257</v>
      </c>
      <c r="X36" s="14" t="s">
        <v>258</v>
      </c>
      <c r="Y36" s="15" t="n">
        <v>633107</v>
      </c>
      <c r="Z36" s="15" t="n">
        <v>1000</v>
      </c>
      <c r="AA36" s="14" t="n">
        <v>36</v>
      </c>
      <c r="AB36" s="14" t="n">
        <v>73</v>
      </c>
      <c r="AC36" s="17" t="n">
        <v>0.00175167862620379</v>
      </c>
      <c r="AD36" s="18" t="n">
        <v>51.09</v>
      </c>
      <c r="AE36" s="18" t="n">
        <f aca="false">IF(AD36="","",MIN(AD36,100))</f>
        <v>51.09</v>
      </c>
      <c r="AF36" s="14" t="n">
        <v>92.2</v>
      </c>
      <c r="AG36" s="14" t="s">
        <v>224</v>
      </c>
      <c r="AH36" s="14" t="n">
        <v>6.1</v>
      </c>
      <c r="AI36" s="14" t="s">
        <v>223</v>
      </c>
      <c r="AJ36" s="14" t="s">
        <v>223</v>
      </c>
      <c r="AK36" s="14" t="s">
        <v>490</v>
      </c>
      <c r="AL36" s="19" t="n">
        <f aca="false">ROUND('Start Here'!$B$29*AH36+'Start Here'!$B$30*MIN(IF(AD36="",0,AD36),50)/5+IF(M36&lt;=30000,'Start Here'!$B$31,IF(M36&lt;=60000,'Start Here'!$B$32,0)),1)</f>
        <v>8.1</v>
      </c>
      <c r="AM36" s="6" t="s">
        <v>415</v>
      </c>
      <c r="AN36" s="6" t="s">
        <v>654</v>
      </c>
      <c r="AO36" s="6" t="s">
        <v>655</v>
      </c>
      <c r="AP36" s="14" t="s">
        <v>656</v>
      </c>
      <c r="AQ36" s="14" t="s">
        <v>657</v>
      </c>
      <c r="AR36" s="20" t="s">
        <v>246</v>
      </c>
      <c r="AS36" s="20"/>
    </row>
    <row r="37" customFormat="false" ht="60" hidden="false" customHeight="true" outlineLevel="0" collapsed="false">
      <c r="A37" s="14" t="n">
        <v>36</v>
      </c>
      <c r="B37" s="14" t="s">
        <v>374</v>
      </c>
      <c r="C37" s="14" t="s">
        <v>221</v>
      </c>
      <c r="D37" s="14" t="s">
        <v>222</v>
      </c>
      <c r="E37" s="14" t="s">
        <v>36</v>
      </c>
      <c r="F37" s="14" t="s">
        <v>223</v>
      </c>
      <c r="G37" s="14" t="s">
        <v>223</v>
      </c>
      <c r="H37" s="14" t="s">
        <v>223</v>
      </c>
      <c r="I37" s="14" t="s">
        <v>225</v>
      </c>
      <c r="J37" s="14" t="s">
        <v>658</v>
      </c>
      <c r="K37" s="14" t="s">
        <v>659</v>
      </c>
      <c r="L37" s="14" t="s">
        <v>660</v>
      </c>
      <c r="M37" s="15" t="n">
        <v>12673</v>
      </c>
      <c r="N37" s="14" t="s">
        <v>229</v>
      </c>
      <c r="O37" s="14" t="s">
        <v>661</v>
      </c>
      <c r="P37" s="16" t="s">
        <v>662</v>
      </c>
      <c r="Q37" s="6" t="s">
        <v>663</v>
      </c>
      <c r="R37" s="6" t="s">
        <v>664</v>
      </c>
      <c r="S37" s="14" t="s">
        <v>330</v>
      </c>
      <c r="T37" s="14" t="s">
        <v>235</v>
      </c>
      <c r="U37" s="14" t="s">
        <v>346</v>
      </c>
      <c r="V37" s="14" t="s">
        <v>383</v>
      </c>
      <c r="W37" s="14"/>
      <c r="X37" s="14"/>
      <c r="Y37" s="15"/>
      <c r="Z37" s="15" t="n">
        <v>1396</v>
      </c>
      <c r="AA37" s="14" t="n">
        <v>65</v>
      </c>
      <c r="AB37" s="14" t="n">
        <v>97</v>
      </c>
      <c r="AC37" s="17" t="n">
        <v>0.122938530734633</v>
      </c>
      <c r="AD37" s="18" t="n">
        <v>58.17</v>
      </c>
      <c r="AE37" s="18" t="n">
        <f aca="false">IF(AD37="","",MIN(AD37,100))</f>
        <v>58.17</v>
      </c>
      <c r="AF37" s="14" t="n">
        <v>99.6</v>
      </c>
      <c r="AG37" s="14" t="s">
        <v>224</v>
      </c>
      <c r="AH37" s="14" t="n">
        <v>6</v>
      </c>
      <c r="AI37" s="14" t="s">
        <v>224</v>
      </c>
      <c r="AJ37" s="14" t="s">
        <v>224</v>
      </c>
      <c r="AK37" s="14" t="s">
        <v>240</v>
      </c>
      <c r="AL37" s="19" t="n">
        <f aca="false">ROUND('Start Here'!$B$29*AH37+'Start Here'!$B$30*MIN(IF(AD37="",0,AD37),50)/5+IF(M37&lt;=30000,'Start Here'!$B$31,IF(M37&lt;=60000,'Start Here'!$B$32,0)),1)</f>
        <v>8</v>
      </c>
      <c r="AM37" s="6" t="s">
        <v>665</v>
      </c>
      <c r="AN37" s="6" t="s">
        <v>416</v>
      </c>
      <c r="AO37" s="6"/>
      <c r="AP37" s="14"/>
      <c r="AQ37" s="14" t="s">
        <v>386</v>
      </c>
      <c r="AR37" s="20" t="s">
        <v>246</v>
      </c>
      <c r="AS37" s="20"/>
    </row>
    <row r="38" customFormat="false" ht="60" hidden="false" customHeight="true" outlineLevel="0" collapsed="false">
      <c r="A38" s="14" t="n">
        <v>37</v>
      </c>
      <c r="B38" s="14" t="s">
        <v>220</v>
      </c>
      <c r="C38" s="14" t="s">
        <v>221</v>
      </c>
      <c r="D38" s="14" t="s">
        <v>222</v>
      </c>
      <c r="E38" s="14" t="s">
        <v>34</v>
      </c>
      <c r="F38" s="14" t="s">
        <v>223</v>
      </c>
      <c r="G38" s="14" t="s">
        <v>224</v>
      </c>
      <c r="H38" s="14" t="s">
        <v>223</v>
      </c>
      <c r="I38" s="14" t="s">
        <v>225</v>
      </c>
      <c r="J38" s="14" t="s">
        <v>666</v>
      </c>
      <c r="K38" s="14" t="s">
        <v>667</v>
      </c>
      <c r="L38" s="14" t="s">
        <v>668</v>
      </c>
      <c r="M38" s="15" t="n">
        <v>87931</v>
      </c>
      <c r="N38" s="14" t="s">
        <v>400</v>
      </c>
      <c r="O38" s="14" t="s">
        <v>669</v>
      </c>
      <c r="P38" s="16" t="s">
        <v>670</v>
      </c>
      <c r="Q38" s="6" t="s">
        <v>671</v>
      </c>
      <c r="R38" s="6" t="s">
        <v>672</v>
      </c>
      <c r="S38" s="14" t="s">
        <v>255</v>
      </c>
      <c r="T38" s="14" t="s">
        <v>673</v>
      </c>
      <c r="U38" s="14" t="s">
        <v>236</v>
      </c>
      <c r="V38" s="14" t="s">
        <v>288</v>
      </c>
      <c r="W38" s="14" t="s">
        <v>238</v>
      </c>
      <c r="X38" s="14" t="s">
        <v>546</v>
      </c>
      <c r="Y38" s="15" t="n">
        <v>177170</v>
      </c>
      <c r="Z38" s="15" t="n">
        <v>8809</v>
      </c>
      <c r="AA38" s="14" t="n">
        <v>307</v>
      </c>
      <c r="AB38" s="14" t="n">
        <v>830</v>
      </c>
      <c r="AC38" s="17" t="n">
        <v>0.0561381723768132</v>
      </c>
      <c r="AD38" s="18" t="n">
        <v>105.19</v>
      </c>
      <c r="AE38" s="18" t="n">
        <f aca="false">IF(AD38="","",MIN(AD38,100))</f>
        <v>100</v>
      </c>
      <c r="AF38" s="14" t="n">
        <v>99.3</v>
      </c>
      <c r="AG38" s="14" t="s">
        <v>224</v>
      </c>
      <c r="AH38" s="14" t="n">
        <v>10</v>
      </c>
      <c r="AI38" s="14" t="s">
        <v>224</v>
      </c>
      <c r="AJ38" s="14" t="s">
        <v>224</v>
      </c>
      <c r="AK38" s="14" t="s">
        <v>240</v>
      </c>
      <c r="AL38" s="19" t="n">
        <f aca="false">ROUND('Start Here'!$B$29*AH38+'Start Here'!$B$30*MIN(IF(AD38="",0,AD38),50)/5+IF(M38&lt;=30000,'Start Here'!$B$31,IF(M38&lt;=60000,'Start Here'!$B$32,0)),1)</f>
        <v>8</v>
      </c>
      <c r="AM38" s="6" t="s">
        <v>534</v>
      </c>
      <c r="AN38" s="6" t="s">
        <v>674</v>
      </c>
      <c r="AO38" s="6" t="s">
        <v>675</v>
      </c>
      <c r="AP38" s="14" t="s">
        <v>676</v>
      </c>
      <c r="AQ38" s="14" t="s">
        <v>677</v>
      </c>
      <c r="AR38" s="20" t="s">
        <v>246</v>
      </c>
      <c r="AS38" s="20"/>
    </row>
    <row r="39" customFormat="false" ht="60" hidden="false" customHeight="true" outlineLevel="0" collapsed="false">
      <c r="A39" s="14" t="n">
        <v>38</v>
      </c>
      <c r="B39" s="14" t="s">
        <v>220</v>
      </c>
      <c r="C39" s="14" t="s">
        <v>221</v>
      </c>
      <c r="D39" s="14" t="s">
        <v>222</v>
      </c>
      <c r="E39" s="14" t="s">
        <v>36</v>
      </c>
      <c r="F39" s="14" t="s">
        <v>223</v>
      </c>
      <c r="G39" s="14" t="s">
        <v>223</v>
      </c>
      <c r="H39" s="14" t="s">
        <v>224</v>
      </c>
      <c r="I39" s="14" t="s">
        <v>225</v>
      </c>
      <c r="J39" s="14" t="s">
        <v>678</v>
      </c>
      <c r="K39" s="14" t="s">
        <v>679</v>
      </c>
      <c r="L39" s="14" t="s">
        <v>680</v>
      </c>
      <c r="M39" s="15" t="n">
        <v>21787</v>
      </c>
      <c r="N39" s="14" t="s">
        <v>298</v>
      </c>
      <c r="O39" s="14" t="s">
        <v>681</v>
      </c>
      <c r="P39" s="16" t="s">
        <v>682</v>
      </c>
      <c r="Q39" s="6" t="s">
        <v>683</v>
      </c>
      <c r="R39" s="6" t="s">
        <v>684</v>
      </c>
      <c r="S39" s="14" t="s">
        <v>685</v>
      </c>
      <c r="T39" s="14" t="s">
        <v>235</v>
      </c>
      <c r="U39" s="14" t="s">
        <v>686</v>
      </c>
      <c r="V39" s="14" t="s">
        <v>237</v>
      </c>
      <c r="W39" s="14" t="s">
        <v>687</v>
      </c>
      <c r="X39" s="14" t="s">
        <v>688</v>
      </c>
      <c r="Y39" s="15" t="n">
        <v>159332</v>
      </c>
      <c r="Z39" s="15" t="n">
        <v>1219</v>
      </c>
      <c r="AA39" s="14" t="n">
        <v>33</v>
      </c>
      <c r="AB39" s="14" t="n">
        <v>110</v>
      </c>
      <c r="AC39" s="17" t="n">
        <v>0.00854818868777145</v>
      </c>
      <c r="AD39" s="18" t="n">
        <v>162.21</v>
      </c>
      <c r="AE39" s="18" t="n">
        <f aca="false">IF(AD39="","",MIN(AD39,100))</f>
        <v>100</v>
      </c>
      <c r="AF39" s="14" t="n">
        <v>99.9</v>
      </c>
      <c r="AG39" s="14" t="s">
        <v>224</v>
      </c>
      <c r="AH39" s="14" t="n">
        <v>6</v>
      </c>
      <c r="AI39" s="14" t="s">
        <v>224</v>
      </c>
      <c r="AJ39" s="14" t="s">
        <v>224</v>
      </c>
      <c r="AK39" s="14" t="s">
        <v>240</v>
      </c>
      <c r="AL39" s="19" t="n">
        <f aca="false">ROUND('Start Here'!$B$29*AH39+'Start Here'!$B$30*MIN(IF(AD39="",0,AD39),50)/5+IF(M39&lt;=30000,'Start Here'!$B$31,IF(M39&lt;=60000,'Start Here'!$B$32,0)),1)</f>
        <v>8</v>
      </c>
      <c r="AM39" s="6" t="s">
        <v>689</v>
      </c>
      <c r="AN39" s="6" t="s">
        <v>690</v>
      </c>
      <c r="AO39" s="6" t="s">
        <v>691</v>
      </c>
      <c r="AP39" s="14" t="s">
        <v>692</v>
      </c>
      <c r="AQ39" s="14" t="s">
        <v>693</v>
      </c>
      <c r="AR39" s="20" t="s">
        <v>246</v>
      </c>
      <c r="AS39" s="20"/>
    </row>
    <row r="40" customFormat="false" ht="60" hidden="false" customHeight="true" outlineLevel="0" collapsed="false">
      <c r="A40" s="14" t="n">
        <v>39</v>
      </c>
      <c r="B40" s="14" t="s">
        <v>247</v>
      </c>
      <c r="C40" s="14" t="s">
        <v>221</v>
      </c>
      <c r="D40" s="14" t="s">
        <v>222</v>
      </c>
      <c r="E40" s="14" t="s">
        <v>34</v>
      </c>
      <c r="F40" s="14" t="s">
        <v>223</v>
      </c>
      <c r="G40" s="14" t="s">
        <v>224</v>
      </c>
      <c r="H40" s="14" t="s">
        <v>224</v>
      </c>
      <c r="I40" s="14" t="s">
        <v>225</v>
      </c>
      <c r="J40" s="14" t="s">
        <v>694</v>
      </c>
      <c r="K40" s="14" t="s">
        <v>695</v>
      </c>
      <c r="L40" s="14" t="s">
        <v>696</v>
      </c>
      <c r="M40" s="15" t="n">
        <v>69116</v>
      </c>
      <c r="N40" s="14" t="s">
        <v>400</v>
      </c>
      <c r="O40" s="14" t="s">
        <v>230</v>
      </c>
      <c r="P40" s="16" t="s">
        <v>697</v>
      </c>
      <c r="Q40" s="6" t="s">
        <v>698</v>
      </c>
      <c r="R40" s="6" t="s">
        <v>699</v>
      </c>
      <c r="S40" s="14" t="s">
        <v>255</v>
      </c>
      <c r="T40" s="14" t="s">
        <v>235</v>
      </c>
      <c r="U40" s="14" t="s">
        <v>236</v>
      </c>
      <c r="V40" s="14" t="s">
        <v>288</v>
      </c>
      <c r="W40" s="14" t="s">
        <v>275</v>
      </c>
      <c r="X40" s="14" t="s">
        <v>239</v>
      </c>
      <c r="Y40" s="15" t="n">
        <v>38135</v>
      </c>
      <c r="Z40" s="15" t="n">
        <v>2023</v>
      </c>
      <c r="AA40" s="14" t="n">
        <v>85</v>
      </c>
      <c r="AB40" s="14"/>
      <c r="AC40" s="17" t="n">
        <v>0.0552773043136227</v>
      </c>
      <c r="AD40" s="18" t="n">
        <v>73.13</v>
      </c>
      <c r="AE40" s="18" t="n">
        <f aca="false">IF(AD40="","",MIN(AD40,100))</f>
        <v>73.13</v>
      </c>
      <c r="AF40" s="14" t="n">
        <v>99.7</v>
      </c>
      <c r="AG40" s="14" t="s">
        <v>224</v>
      </c>
      <c r="AH40" s="14" t="n">
        <v>10</v>
      </c>
      <c r="AI40" s="14" t="s">
        <v>224</v>
      </c>
      <c r="AJ40" s="14" t="s">
        <v>224</v>
      </c>
      <c r="AK40" s="14" t="s">
        <v>240</v>
      </c>
      <c r="AL40" s="19" t="n">
        <f aca="false">ROUND('Start Here'!$B$29*AH40+'Start Here'!$B$30*MIN(IF(AD40="",0,AD40),50)/5+IF(M40&lt;=30000,'Start Here'!$B$31,IF(M40&lt;=60000,'Start Here'!$B$32,0)),1)</f>
        <v>8</v>
      </c>
      <c r="AM40" s="6" t="s">
        <v>534</v>
      </c>
      <c r="AN40" s="6" t="s">
        <v>260</v>
      </c>
      <c r="AO40" s="6" t="s">
        <v>700</v>
      </c>
      <c r="AP40" s="14" t="s">
        <v>701</v>
      </c>
      <c r="AQ40" s="14" t="s">
        <v>431</v>
      </c>
      <c r="AR40" s="20" t="s">
        <v>246</v>
      </c>
      <c r="AS40" s="20"/>
    </row>
    <row r="41" customFormat="false" ht="60" hidden="false" customHeight="true" outlineLevel="0" collapsed="false">
      <c r="A41" s="14" t="n">
        <v>40</v>
      </c>
      <c r="B41" s="14" t="s">
        <v>374</v>
      </c>
      <c r="C41" s="14" t="s">
        <v>221</v>
      </c>
      <c r="D41" s="14" t="s">
        <v>222</v>
      </c>
      <c r="E41" s="14" t="s">
        <v>36</v>
      </c>
      <c r="F41" s="14" t="s">
        <v>223</v>
      </c>
      <c r="G41" s="14" t="s">
        <v>223</v>
      </c>
      <c r="H41" s="14" t="s">
        <v>223</v>
      </c>
      <c r="I41" s="14" t="s">
        <v>225</v>
      </c>
      <c r="J41" s="14" t="s">
        <v>702</v>
      </c>
      <c r="K41" s="14" t="s">
        <v>703</v>
      </c>
      <c r="L41" s="14" t="s">
        <v>704</v>
      </c>
      <c r="M41" s="15" t="n">
        <v>19371</v>
      </c>
      <c r="N41" s="14" t="s">
        <v>229</v>
      </c>
      <c r="O41" s="14" t="s">
        <v>705</v>
      </c>
      <c r="P41" s="16" t="s">
        <v>706</v>
      </c>
      <c r="Q41" s="6" t="s">
        <v>707</v>
      </c>
      <c r="R41" s="6" t="s">
        <v>708</v>
      </c>
      <c r="S41" s="14" t="s">
        <v>255</v>
      </c>
      <c r="T41" s="14" t="s">
        <v>235</v>
      </c>
      <c r="U41" s="14" t="s">
        <v>236</v>
      </c>
      <c r="V41" s="14" t="s">
        <v>383</v>
      </c>
      <c r="W41" s="14"/>
      <c r="X41" s="14"/>
      <c r="Y41" s="15"/>
      <c r="Z41" s="15" t="n">
        <v>1336</v>
      </c>
      <c r="AA41" s="14" t="n">
        <v>161</v>
      </c>
      <c r="AB41" s="14" t="n">
        <v>1</v>
      </c>
      <c r="AC41" s="17" t="n">
        <v>0.0782041242495432</v>
      </c>
      <c r="AD41" s="18" t="n">
        <v>58.09</v>
      </c>
      <c r="AE41" s="18" t="n">
        <f aca="false">IF(AD41="","",MIN(AD41,100))</f>
        <v>58.09</v>
      </c>
      <c r="AF41" s="14" t="n">
        <v>100</v>
      </c>
      <c r="AG41" s="14" t="s">
        <v>224</v>
      </c>
      <c r="AH41" s="14" t="n">
        <v>6</v>
      </c>
      <c r="AI41" s="14" t="s">
        <v>224</v>
      </c>
      <c r="AJ41" s="14" t="s">
        <v>224</v>
      </c>
      <c r="AK41" s="14" t="s">
        <v>240</v>
      </c>
      <c r="AL41" s="19" t="n">
        <f aca="false">ROUND('Start Here'!$B$29*AH41+'Start Here'!$B$30*MIN(IF(AD41="",0,AD41),50)/5+IF(M41&lt;=30000,'Start Here'!$B$31,IF(M41&lt;=60000,'Start Here'!$B$32,0)),1)</f>
        <v>8</v>
      </c>
      <c r="AM41" s="6" t="s">
        <v>259</v>
      </c>
      <c r="AN41" s="6" t="s">
        <v>674</v>
      </c>
      <c r="AO41" s="6"/>
      <c r="AP41" s="14"/>
      <c r="AQ41" s="14" t="s">
        <v>431</v>
      </c>
      <c r="AR41" s="20" t="s">
        <v>246</v>
      </c>
      <c r="AS41" s="20"/>
    </row>
    <row r="42" customFormat="false" ht="60" hidden="false" customHeight="true" outlineLevel="0" collapsed="false">
      <c r="A42" s="14" t="n">
        <v>41</v>
      </c>
      <c r="B42" s="14" t="s">
        <v>374</v>
      </c>
      <c r="C42" s="14" t="s">
        <v>221</v>
      </c>
      <c r="D42" s="14" t="s">
        <v>222</v>
      </c>
      <c r="E42" s="14" t="s">
        <v>34</v>
      </c>
      <c r="F42" s="14" t="s">
        <v>223</v>
      </c>
      <c r="G42" s="14" t="s">
        <v>224</v>
      </c>
      <c r="H42" s="14" t="s">
        <v>223</v>
      </c>
      <c r="I42" s="14" t="s">
        <v>225</v>
      </c>
      <c r="J42" s="14" t="s">
        <v>709</v>
      </c>
      <c r="K42" s="14" t="s">
        <v>710</v>
      </c>
      <c r="L42" s="14" t="s">
        <v>711</v>
      </c>
      <c r="M42" s="15" t="n">
        <v>52441</v>
      </c>
      <c r="N42" s="14" t="s">
        <v>400</v>
      </c>
      <c r="O42" s="14" t="s">
        <v>712</v>
      </c>
      <c r="P42" s="16" t="s">
        <v>713</v>
      </c>
      <c r="Q42" s="6" t="s">
        <v>714</v>
      </c>
      <c r="R42" s="6" t="s">
        <v>715</v>
      </c>
      <c r="S42" s="14" t="s">
        <v>234</v>
      </c>
      <c r="T42" s="14" t="s">
        <v>235</v>
      </c>
      <c r="U42" s="14" t="s">
        <v>236</v>
      </c>
      <c r="V42" s="14" t="s">
        <v>383</v>
      </c>
      <c r="W42" s="14"/>
      <c r="X42" s="14"/>
      <c r="Y42" s="15"/>
      <c r="Z42" s="15" t="n">
        <v>12479</v>
      </c>
      <c r="AA42" s="14" t="n">
        <v>993</v>
      </c>
      <c r="AB42" s="14" t="n">
        <v>279</v>
      </c>
      <c r="AC42" s="17" t="n">
        <v>0.262218493163746</v>
      </c>
      <c r="AD42" s="18" t="n">
        <v>351.52</v>
      </c>
      <c r="AE42" s="18" t="n">
        <f aca="false">IF(AD42="","",MIN(AD42,100))</f>
        <v>100</v>
      </c>
      <c r="AF42" s="14" t="n">
        <v>99.9</v>
      </c>
      <c r="AG42" s="14" t="s">
        <v>224</v>
      </c>
      <c r="AH42" s="14" t="n">
        <v>8</v>
      </c>
      <c r="AI42" s="14" t="s">
        <v>224</v>
      </c>
      <c r="AJ42" s="14" t="s">
        <v>224</v>
      </c>
      <c r="AK42" s="14" t="s">
        <v>240</v>
      </c>
      <c r="AL42" s="19" t="n">
        <f aca="false">ROUND('Start Here'!$B$29*AH42+'Start Here'!$B$30*MIN(IF(AD42="",0,AD42),50)/5+IF(M42&lt;=30000,'Start Here'!$B$31,IF(M42&lt;=60000,'Start Here'!$B$32,0)),1)</f>
        <v>8</v>
      </c>
      <c r="AM42" s="6" t="s">
        <v>716</v>
      </c>
      <c r="AN42" s="6" t="s">
        <v>717</v>
      </c>
      <c r="AO42" s="6"/>
      <c r="AP42" s="14"/>
      <c r="AQ42" s="14" t="s">
        <v>718</v>
      </c>
      <c r="AR42" s="20" t="s">
        <v>246</v>
      </c>
      <c r="AS42" s="20"/>
    </row>
    <row r="43" customFormat="false" ht="60" hidden="false" customHeight="true" outlineLevel="0" collapsed="false">
      <c r="A43" s="14" t="n">
        <v>42</v>
      </c>
      <c r="B43" s="14" t="s">
        <v>220</v>
      </c>
      <c r="C43" s="14" t="s">
        <v>221</v>
      </c>
      <c r="D43" s="14" t="s">
        <v>222</v>
      </c>
      <c r="E43" s="14" t="s">
        <v>36</v>
      </c>
      <c r="F43" s="14" t="s">
        <v>223</v>
      </c>
      <c r="G43" s="14" t="s">
        <v>223</v>
      </c>
      <c r="H43" s="14" t="s">
        <v>224</v>
      </c>
      <c r="I43" s="14" t="s">
        <v>322</v>
      </c>
      <c r="J43" s="14" t="s">
        <v>225</v>
      </c>
      <c r="K43" s="14" t="s">
        <v>719</v>
      </c>
      <c r="L43" s="14" t="s">
        <v>720</v>
      </c>
      <c r="M43" s="15" t="n">
        <v>10777</v>
      </c>
      <c r="N43" s="14" t="s">
        <v>229</v>
      </c>
      <c r="O43" s="14" t="s">
        <v>721</v>
      </c>
      <c r="P43" s="16" t="s">
        <v>722</v>
      </c>
      <c r="Q43" s="6" t="s">
        <v>723</v>
      </c>
      <c r="R43" s="6" t="s">
        <v>724</v>
      </c>
      <c r="S43" s="14" t="s">
        <v>685</v>
      </c>
      <c r="T43" s="14" t="s">
        <v>235</v>
      </c>
      <c r="U43" s="14" t="s">
        <v>686</v>
      </c>
      <c r="V43" s="14" t="s">
        <v>725</v>
      </c>
      <c r="W43" s="14"/>
      <c r="X43" s="14"/>
      <c r="Y43" s="15" t="n">
        <v>295249</v>
      </c>
      <c r="Z43" s="15" t="n">
        <v>1268</v>
      </c>
      <c r="AA43" s="14" t="n">
        <v>10</v>
      </c>
      <c r="AB43" s="14" t="n">
        <v>118</v>
      </c>
      <c r="AC43" s="17" t="n">
        <v>0.00472821245795921</v>
      </c>
      <c r="AD43" s="18" t="n">
        <v>59.12</v>
      </c>
      <c r="AE43" s="18" t="n">
        <f aca="false">IF(AD43="","",MIN(AD43,100))</f>
        <v>59.12</v>
      </c>
      <c r="AF43" s="14" t="n">
        <v>99.6</v>
      </c>
      <c r="AG43" s="14" t="s">
        <v>224</v>
      </c>
      <c r="AH43" s="14" t="n">
        <v>6</v>
      </c>
      <c r="AI43" s="14" t="s">
        <v>224</v>
      </c>
      <c r="AJ43" s="14" t="s">
        <v>224</v>
      </c>
      <c r="AK43" s="14" t="s">
        <v>240</v>
      </c>
      <c r="AL43" s="19" t="n">
        <f aca="false">ROUND('Start Here'!$B$29*AH43+'Start Here'!$B$30*MIN(IF(AD43="",0,AD43),50)/5+IF(M43&lt;=30000,'Start Here'!$B$31,IF(M43&lt;=60000,'Start Here'!$B$32,0)),1)</f>
        <v>8</v>
      </c>
      <c r="AM43" s="6" t="s">
        <v>726</v>
      </c>
      <c r="AN43" s="6" t="s">
        <v>727</v>
      </c>
      <c r="AO43" s="6"/>
      <c r="AP43" s="14"/>
      <c r="AQ43" s="14" t="s">
        <v>657</v>
      </c>
      <c r="AR43" s="20" t="s">
        <v>246</v>
      </c>
      <c r="AS43" s="20"/>
    </row>
    <row r="44" customFormat="false" ht="60" hidden="false" customHeight="true" outlineLevel="0" collapsed="false">
      <c r="A44" s="14" t="n">
        <v>43</v>
      </c>
      <c r="B44" s="14" t="s">
        <v>220</v>
      </c>
      <c r="C44" s="14" t="s">
        <v>221</v>
      </c>
      <c r="D44" s="14" t="s">
        <v>222</v>
      </c>
      <c r="E44" s="14" t="s">
        <v>36</v>
      </c>
      <c r="F44" s="14" t="s">
        <v>223</v>
      </c>
      <c r="G44" s="14" t="s">
        <v>223</v>
      </c>
      <c r="H44" s="14" t="s">
        <v>223</v>
      </c>
      <c r="I44" s="14" t="s">
        <v>338</v>
      </c>
      <c r="J44" s="14" t="s">
        <v>666</v>
      </c>
      <c r="K44" s="14" t="s">
        <v>648</v>
      </c>
      <c r="L44" s="14" t="s">
        <v>649</v>
      </c>
      <c r="M44" s="15" t="n">
        <v>12481</v>
      </c>
      <c r="N44" s="14" t="s">
        <v>229</v>
      </c>
      <c r="O44" s="14" t="s">
        <v>728</v>
      </c>
      <c r="P44" s="16" t="s">
        <v>729</v>
      </c>
      <c r="Q44" s="6" t="s">
        <v>730</v>
      </c>
      <c r="R44" s="6" t="s">
        <v>731</v>
      </c>
      <c r="S44" s="14" t="s">
        <v>330</v>
      </c>
      <c r="T44" s="14" t="s">
        <v>235</v>
      </c>
      <c r="U44" s="14" t="s">
        <v>236</v>
      </c>
      <c r="V44" s="14" t="s">
        <v>288</v>
      </c>
      <c r="W44" s="14" t="s">
        <v>257</v>
      </c>
      <c r="X44" s="14" t="s">
        <v>258</v>
      </c>
      <c r="Y44" s="15" t="n">
        <v>616914</v>
      </c>
      <c r="Z44" s="15" t="n">
        <v>4170</v>
      </c>
      <c r="AA44" s="14" t="n">
        <v>129</v>
      </c>
      <c r="AB44" s="14" t="n">
        <v>270</v>
      </c>
      <c r="AC44" s="17" t="n">
        <v>0.00740621869498828</v>
      </c>
      <c r="AD44" s="18" t="n">
        <v>213.08</v>
      </c>
      <c r="AE44" s="18" t="n">
        <f aca="false">IF(AD44="","",MIN(AD44,100))</f>
        <v>100</v>
      </c>
      <c r="AF44" s="14" t="n">
        <v>98.4</v>
      </c>
      <c r="AG44" s="14" t="s">
        <v>224</v>
      </c>
      <c r="AH44" s="14" t="n">
        <v>6</v>
      </c>
      <c r="AI44" s="14" t="s">
        <v>224</v>
      </c>
      <c r="AJ44" s="14" t="s">
        <v>224</v>
      </c>
      <c r="AK44" s="14" t="s">
        <v>240</v>
      </c>
      <c r="AL44" s="19" t="n">
        <f aca="false">ROUND('Start Here'!$B$29*AH44+'Start Here'!$B$30*MIN(IF(AD44="",0,AD44),50)/5+IF(M44&lt;=30000,'Start Here'!$B$31,IF(M44&lt;=60000,'Start Here'!$B$32,0)),1)</f>
        <v>8</v>
      </c>
      <c r="AM44" s="6" t="s">
        <v>415</v>
      </c>
      <c r="AN44" s="6" t="s">
        <v>732</v>
      </c>
      <c r="AO44" s="6" t="s">
        <v>733</v>
      </c>
      <c r="AP44" s="14" t="s">
        <v>734</v>
      </c>
      <c r="AQ44" s="14" t="s">
        <v>735</v>
      </c>
      <c r="AR44" s="20" t="s">
        <v>246</v>
      </c>
      <c r="AS44" s="20"/>
    </row>
    <row r="45" customFormat="false" ht="60" hidden="false" customHeight="true" outlineLevel="0" collapsed="false">
      <c r="A45" s="14" t="n">
        <v>44</v>
      </c>
      <c r="B45" s="14" t="s">
        <v>247</v>
      </c>
      <c r="C45" s="14" t="s">
        <v>221</v>
      </c>
      <c r="D45" s="14" t="s">
        <v>443</v>
      </c>
      <c r="E45" s="14" t="s">
        <v>36</v>
      </c>
      <c r="F45" s="14" t="s">
        <v>223</v>
      </c>
      <c r="G45" s="14" t="s">
        <v>223</v>
      </c>
      <c r="H45" s="14" t="s">
        <v>224</v>
      </c>
      <c r="I45" s="14" t="s">
        <v>338</v>
      </c>
      <c r="J45" s="14" t="s">
        <v>539</v>
      </c>
      <c r="K45" s="14" t="s">
        <v>736</v>
      </c>
      <c r="L45" s="14" t="s">
        <v>737</v>
      </c>
      <c r="M45" s="15" t="n">
        <v>23400</v>
      </c>
      <c r="N45" s="14" t="s">
        <v>298</v>
      </c>
      <c r="O45" s="14" t="s">
        <v>447</v>
      </c>
      <c r="P45" s="16" t="s">
        <v>738</v>
      </c>
      <c r="Q45" s="6" t="s">
        <v>739</v>
      </c>
      <c r="R45" s="6" t="s">
        <v>740</v>
      </c>
      <c r="S45" s="14" t="s">
        <v>741</v>
      </c>
      <c r="T45" s="14" t="s">
        <v>273</v>
      </c>
      <c r="U45" s="14" t="s">
        <v>274</v>
      </c>
      <c r="V45" s="14" t="s">
        <v>742</v>
      </c>
      <c r="W45" s="14" t="s">
        <v>452</v>
      </c>
      <c r="X45" s="14"/>
      <c r="Y45" s="15" t="n">
        <v>84300</v>
      </c>
      <c r="Z45" s="15"/>
      <c r="AA45" s="14"/>
      <c r="AB45" s="14"/>
      <c r="AC45" s="17"/>
      <c r="AD45" s="18" t="n">
        <v>52</v>
      </c>
      <c r="AE45" s="18" t="n">
        <f aca="false">IF(AD45="","",MIN(AD45,100))</f>
        <v>52</v>
      </c>
      <c r="AF45" s="14"/>
      <c r="AG45" s="14" t="s">
        <v>224</v>
      </c>
      <c r="AH45" s="14" t="n">
        <v>6</v>
      </c>
      <c r="AI45" s="14" t="s">
        <v>224</v>
      </c>
      <c r="AJ45" s="14" t="s">
        <v>224</v>
      </c>
      <c r="AK45" s="14" t="s">
        <v>240</v>
      </c>
      <c r="AL45" s="19" t="n">
        <f aca="false">ROUND('Start Here'!$B$29*AH45+'Start Here'!$B$30*MIN(IF(AD45="",0,AD45),50)/5+IF(M45&lt;=30000,'Start Here'!$B$31,IF(M45&lt;=60000,'Start Here'!$B$32,0)),1)</f>
        <v>8</v>
      </c>
      <c r="AM45" s="6" t="s">
        <v>743</v>
      </c>
      <c r="AN45" s="6" t="s">
        <v>744</v>
      </c>
      <c r="AO45" s="6" t="s">
        <v>745</v>
      </c>
      <c r="AP45" s="14" t="s">
        <v>746</v>
      </c>
      <c r="AQ45" s="14" t="s">
        <v>747</v>
      </c>
      <c r="AR45" s="20" t="s">
        <v>246</v>
      </c>
      <c r="AS45" s="20"/>
    </row>
    <row r="46" customFormat="false" ht="60" hidden="false" customHeight="true" outlineLevel="0" collapsed="false">
      <c r="A46" s="14" t="n">
        <v>45</v>
      </c>
      <c r="B46" s="14" t="s">
        <v>247</v>
      </c>
      <c r="C46" s="14" t="s">
        <v>221</v>
      </c>
      <c r="D46" s="14" t="s">
        <v>222</v>
      </c>
      <c r="E46" s="14" t="s">
        <v>36</v>
      </c>
      <c r="F46" s="14" t="s">
        <v>223</v>
      </c>
      <c r="G46" s="14" t="s">
        <v>223</v>
      </c>
      <c r="H46" s="14" t="s">
        <v>224</v>
      </c>
      <c r="I46" s="14" t="s">
        <v>338</v>
      </c>
      <c r="J46" s="14" t="s">
        <v>748</v>
      </c>
      <c r="K46" s="14" t="s">
        <v>749</v>
      </c>
      <c r="L46" s="14" t="s">
        <v>750</v>
      </c>
      <c r="M46" s="15" t="n">
        <v>26810</v>
      </c>
      <c r="N46" s="14" t="s">
        <v>298</v>
      </c>
      <c r="O46" s="14" t="s">
        <v>751</v>
      </c>
      <c r="P46" s="16" t="s">
        <v>752</v>
      </c>
      <c r="Q46" s="6" t="s">
        <v>753</v>
      </c>
      <c r="R46" s="6" t="s">
        <v>754</v>
      </c>
      <c r="S46" s="14" t="s">
        <v>272</v>
      </c>
      <c r="T46" s="14" t="s">
        <v>273</v>
      </c>
      <c r="U46" s="14" t="s">
        <v>274</v>
      </c>
      <c r="V46" s="14" t="s">
        <v>288</v>
      </c>
      <c r="W46" s="14" t="s">
        <v>257</v>
      </c>
      <c r="X46" s="14" t="s">
        <v>258</v>
      </c>
      <c r="Y46" s="15" t="n">
        <v>73531</v>
      </c>
      <c r="Z46" s="15" t="n">
        <v>2205</v>
      </c>
      <c r="AA46" s="14" t="n">
        <v>555</v>
      </c>
      <c r="AB46" s="14"/>
      <c r="AC46" s="17" t="n">
        <v>0.0375351892399124</v>
      </c>
      <c r="AD46" s="18" t="n">
        <v>16.08</v>
      </c>
      <c r="AE46" s="18" t="n">
        <f aca="false">IF(AD46="","",MIN(AD46,100))</f>
        <v>16.08</v>
      </c>
      <c r="AF46" s="14" t="n">
        <v>97.9</v>
      </c>
      <c r="AG46" s="14" t="s">
        <v>224</v>
      </c>
      <c r="AH46" s="14" t="n">
        <v>10</v>
      </c>
      <c r="AI46" s="14" t="s">
        <v>224</v>
      </c>
      <c r="AJ46" s="14" t="s">
        <v>224</v>
      </c>
      <c r="AK46" s="14" t="s">
        <v>240</v>
      </c>
      <c r="AL46" s="19" t="n">
        <f aca="false">ROUND('Start Here'!$B$29*AH46+'Start Here'!$B$30*MIN(IF(AD46="",0,AD46),50)/5+IF(M46&lt;=30000,'Start Here'!$B$31,IF(M46&lt;=60000,'Start Here'!$B$32,0)),1)</f>
        <v>8</v>
      </c>
      <c r="AM46" s="6" t="s">
        <v>303</v>
      </c>
      <c r="AN46" s="6" t="s">
        <v>621</v>
      </c>
      <c r="AO46" s="6" t="s">
        <v>755</v>
      </c>
      <c r="AP46" s="14" t="s">
        <v>756</v>
      </c>
      <c r="AQ46" s="14" t="s">
        <v>409</v>
      </c>
      <c r="AR46" s="20" t="s">
        <v>246</v>
      </c>
      <c r="AS46" s="20"/>
    </row>
    <row r="47" customFormat="false" ht="60" hidden="false" customHeight="true" outlineLevel="0" collapsed="false">
      <c r="A47" s="14" t="n">
        <v>46</v>
      </c>
      <c r="B47" s="14" t="s">
        <v>247</v>
      </c>
      <c r="C47" s="14" t="s">
        <v>221</v>
      </c>
      <c r="D47" s="14" t="s">
        <v>222</v>
      </c>
      <c r="E47" s="14" t="s">
        <v>36</v>
      </c>
      <c r="F47" s="14" t="s">
        <v>223</v>
      </c>
      <c r="G47" s="14" t="s">
        <v>223</v>
      </c>
      <c r="H47" s="14" t="s">
        <v>224</v>
      </c>
      <c r="I47" s="14" t="s">
        <v>225</v>
      </c>
      <c r="J47" s="14" t="s">
        <v>757</v>
      </c>
      <c r="K47" s="14" t="s">
        <v>758</v>
      </c>
      <c r="L47" s="14" t="s">
        <v>759</v>
      </c>
      <c r="M47" s="15" t="n">
        <v>29839</v>
      </c>
      <c r="N47" s="14" t="s">
        <v>298</v>
      </c>
      <c r="O47" s="14" t="s">
        <v>760</v>
      </c>
      <c r="P47" s="16" t="s">
        <v>761</v>
      </c>
      <c r="Q47" s="6" t="s">
        <v>762</v>
      </c>
      <c r="R47" s="6" t="s">
        <v>763</v>
      </c>
      <c r="S47" s="14" t="s">
        <v>685</v>
      </c>
      <c r="T47" s="14" t="s">
        <v>235</v>
      </c>
      <c r="U47" s="14" t="s">
        <v>686</v>
      </c>
      <c r="V47" s="14" t="s">
        <v>256</v>
      </c>
      <c r="W47" s="14" t="s">
        <v>257</v>
      </c>
      <c r="X47" s="14" t="s">
        <v>258</v>
      </c>
      <c r="Y47" s="15" t="n">
        <v>148208</v>
      </c>
      <c r="Z47" s="15" t="n">
        <v>5369</v>
      </c>
      <c r="AA47" s="14" t="n">
        <v>164</v>
      </c>
      <c r="AB47" s="14"/>
      <c r="AC47" s="17" t="n">
        <v>0.0373326676022887</v>
      </c>
      <c r="AD47" s="18" t="n">
        <v>14.36</v>
      </c>
      <c r="AE47" s="18" t="n">
        <f aca="false">IF(AD47="","",MIN(AD47,100))</f>
        <v>14.36</v>
      </c>
      <c r="AF47" s="14" t="n">
        <v>96.1</v>
      </c>
      <c r="AG47" s="14" t="s">
        <v>224</v>
      </c>
      <c r="AH47" s="14" t="n">
        <v>10</v>
      </c>
      <c r="AI47" s="14" t="s">
        <v>224</v>
      </c>
      <c r="AJ47" s="14" t="s">
        <v>224</v>
      </c>
      <c r="AK47" s="14" t="s">
        <v>453</v>
      </c>
      <c r="AL47" s="19" t="n">
        <f aca="false">ROUND('Start Here'!$B$29*AH47+'Start Here'!$B$30*MIN(IF(AD47="",0,AD47),50)/5+IF(M47&lt;=30000,'Start Here'!$B$31,IF(M47&lt;=60000,'Start Here'!$B$32,0)),1)</f>
        <v>7.9</v>
      </c>
      <c r="AM47" s="6" t="s">
        <v>764</v>
      </c>
      <c r="AN47" s="6" t="s">
        <v>765</v>
      </c>
      <c r="AO47" s="6" t="s">
        <v>766</v>
      </c>
      <c r="AP47" s="14" t="s">
        <v>767</v>
      </c>
      <c r="AQ47" s="14" t="s">
        <v>373</v>
      </c>
      <c r="AR47" s="20" t="s">
        <v>246</v>
      </c>
      <c r="AS47" s="20"/>
    </row>
    <row r="48" customFormat="false" ht="60" hidden="false" customHeight="true" outlineLevel="0" collapsed="false">
      <c r="A48" s="14" t="n">
        <v>47</v>
      </c>
      <c r="B48" s="14" t="s">
        <v>247</v>
      </c>
      <c r="C48" s="14" t="s">
        <v>221</v>
      </c>
      <c r="D48" s="14" t="s">
        <v>222</v>
      </c>
      <c r="E48" s="14" t="s">
        <v>36</v>
      </c>
      <c r="F48" s="14" t="s">
        <v>223</v>
      </c>
      <c r="G48" s="14" t="s">
        <v>223</v>
      </c>
      <c r="H48" s="14" t="s">
        <v>224</v>
      </c>
      <c r="I48" s="14" t="s">
        <v>225</v>
      </c>
      <c r="J48" s="14" t="s">
        <v>768</v>
      </c>
      <c r="K48" s="14" t="s">
        <v>758</v>
      </c>
      <c r="L48" s="14" t="s">
        <v>759</v>
      </c>
      <c r="M48" s="15" t="n">
        <v>29839</v>
      </c>
      <c r="N48" s="14" t="s">
        <v>298</v>
      </c>
      <c r="O48" s="14" t="s">
        <v>769</v>
      </c>
      <c r="P48" s="16" t="s">
        <v>770</v>
      </c>
      <c r="Q48" s="6" t="s">
        <v>771</v>
      </c>
      <c r="R48" s="6" t="s">
        <v>772</v>
      </c>
      <c r="S48" s="14" t="s">
        <v>330</v>
      </c>
      <c r="T48" s="14" t="s">
        <v>235</v>
      </c>
      <c r="U48" s="14" t="s">
        <v>236</v>
      </c>
      <c r="V48" s="14" t="s">
        <v>256</v>
      </c>
      <c r="W48" s="14" t="s">
        <v>275</v>
      </c>
      <c r="X48" s="14" t="s">
        <v>239</v>
      </c>
      <c r="Y48" s="15" t="n">
        <v>123705</v>
      </c>
      <c r="Z48" s="15" t="n">
        <v>2220</v>
      </c>
      <c r="AA48" s="14" t="n">
        <v>38</v>
      </c>
      <c r="AB48" s="14"/>
      <c r="AC48" s="17" t="n">
        <v>0.0182531021381513</v>
      </c>
      <c r="AD48" s="18" t="n">
        <v>11.99</v>
      </c>
      <c r="AE48" s="18" t="n">
        <f aca="false">IF(AD48="","",MIN(AD48,100))</f>
        <v>11.99</v>
      </c>
      <c r="AF48" s="14" t="n">
        <v>95</v>
      </c>
      <c r="AG48" s="14" t="s">
        <v>224</v>
      </c>
      <c r="AH48" s="14" t="n">
        <v>10</v>
      </c>
      <c r="AI48" s="14" t="s">
        <v>224</v>
      </c>
      <c r="AJ48" s="14" t="s">
        <v>224</v>
      </c>
      <c r="AK48" s="14" t="s">
        <v>453</v>
      </c>
      <c r="AL48" s="19" t="n">
        <f aca="false">ROUND('Start Here'!$B$29*AH48+'Start Here'!$B$30*MIN(IF(AD48="",0,AD48),50)/5+IF(M48&lt;=30000,'Start Here'!$B$31,IF(M48&lt;=60000,'Start Here'!$B$32,0)),1)</f>
        <v>7.7</v>
      </c>
      <c r="AM48" s="6" t="s">
        <v>334</v>
      </c>
      <c r="AN48" s="6" t="s">
        <v>773</v>
      </c>
      <c r="AO48" s="6" t="s">
        <v>774</v>
      </c>
      <c r="AP48" s="14" t="s">
        <v>775</v>
      </c>
      <c r="AQ48" s="14" t="s">
        <v>373</v>
      </c>
      <c r="AR48" s="20" t="s">
        <v>246</v>
      </c>
      <c r="AS48" s="20"/>
    </row>
    <row r="49" customFormat="false" ht="60" hidden="false" customHeight="true" outlineLevel="0" collapsed="false">
      <c r="A49" s="14" t="n">
        <v>48</v>
      </c>
      <c r="B49" s="14" t="s">
        <v>220</v>
      </c>
      <c r="C49" s="14" t="s">
        <v>221</v>
      </c>
      <c r="D49" s="14" t="s">
        <v>222</v>
      </c>
      <c r="E49" s="14" t="s">
        <v>36</v>
      </c>
      <c r="F49" s="14" t="s">
        <v>223</v>
      </c>
      <c r="G49" s="14" t="s">
        <v>223</v>
      </c>
      <c r="H49" s="14" t="s">
        <v>223</v>
      </c>
      <c r="I49" s="14" t="s">
        <v>225</v>
      </c>
      <c r="J49" s="14" t="s">
        <v>322</v>
      </c>
      <c r="K49" s="14" t="s">
        <v>353</v>
      </c>
      <c r="L49" s="14" t="s">
        <v>354</v>
      </c>
      <c r="M49" s="15" t="n">
        <v>13338</v>
      </c>
      <c r="N49" s="14" t="s">
        <v>229</v>
      </c>
      <c r="O49" s="14" t="s">
        <v>776</v>
      </c>
      <c r="P49" s="16" t="s">
        <v>777</v>
      </c>
      <c r="Q49" s="6" t="s">
        <v>778</v>
      </c>
      <c r="R49" s="6" t="s">
        <v>779</v>
      </c>
      <c r="S49" s="14" t="s">
        <v>234</v>
      </c>
      <c r="T49" s="14" t="s">
        <v>235</v>
      </c>
      <c r="U49" s="14" t="s">
        <v>236</v>
      </c>
      <c r="V49" s="14" t="s">
        <v>288</v>
      </c>
      <c r="W49" s="14" t="s">
        <v>257</v>
      </c>
      <c r="X49" s="14" t="s">
        <v>239</v>
      </c>
      <c r="Y49" s="15" t="n">
        <v>639071</v>
      </c>
      <c r="Z49" s="15" t="n">
        <v>4236</v>
      </c>
      <c r="AA49" s="14" t="n">
        <v>2412</v>
      </c>
      <c r="AB49" s="14" t="n">
        <v>249</v>
      </c>
      <c r="AC49" s="17" t="n">
        <v>0.0107922280935921</v>
      </c>
      <c r="AD49" s="18" t="n">
        <v>298.07</v>
      </c>
      <c r="AE49" s="18" t="n">
        <f aca="false">IF(AD49="","",MIN(AD49,100))</f>
        <v>100</v>
      </c>
      <c r="AF49" s="14" t="n">
        <v>99.4</v>
      </c>
      <c r="AG49" s="14" t="s">
        <v>224</v>
      </c>
      <c r="AH49" s="14" t="n">
        <v>5.3</v>
      </c>
      <c r="AI49" s="14" t="s">
        <v>224</v>
      </c>
      <c r="AJ49" s="14" t="s">
        <v>224</v>
      </c>
      <c r="AK49" s="14" t="s">
        <v>240</v>
      </c>
      <c r="AL49" s="19" t="n">
        <f aca="false">ROUND('Start Here'!$B$29*AH49+'Start Here'!$B$30*MIN(IF(AD49="",0,AD49),50)/5+IF(M49&lt;=30000,'Start Here'!$B$31,IF(M49&lt;=60000,'Start Here'!$B$32,0)),1)</f>
        <v>7.7</v>
      </c>
      <c r="AM49" s="6" t="s">
        <v>359</v>
      </c>
      <c r="AN49" s="6" t="s">
        <v>242</v>
      </c>
      <c r="AO49" s="6" t="s">
        <v>780</v>
      </c>
      <c r="AP49" s="14" t="s">
        <v>781</v>
      </c>
      <c r="AQ49" s="14" t="s">
        <v>495</v>
      </c>
      <c r="AR49" s="20" t="s">
        <v>246</v>
      </c>
      <c r="AS49" s="20"/>
    </row>
    <row r="50" customFormat="false" ht="60" hidden="false" customHeight="true" outlineLevel="0" collapsed="false">
      <c r="A50" s="14" t="n">
        <v>49</v>
      </c>
      <c r="B50" s="14" t="s">
        <v>220</v>
      </c>
      <c r="C50" s="14" t="s">
        <v>221</v>
      </c>
      <c r="D50" s="14" t="s">
        <v>222</v>
      </c>
      <c r="E50" s="14" t="s">
        <v>36</v>
      </c>
      <c r="F50" s="14" t="s">
        <v>223</v>
      </c>
      <c r="G50" s="14" t="s">
        <v>223</v>
      </c>
      <c r="H50" s="14" t="s">
        <v>223</v>
      </c>
      <c r="I50" s="14" t="s">
        <v>322</v>
      </c>
      <c r="J50" s="14" t="s">
        <v>782</v>
      </c>
      <c r="K50" s="14" t="s">
        <v>783</v>
      </c>
      <c r="L50" s="14" t="s">
        <v>784</v>
      </c>
      <c r="M50" s="15" t="n">
        <v>21310</v>
      </c>
      <c r="N50" s="14" t="s">
        <v>298</v>
      </c>
      <c r="O50" s="14" t="s">
        <v>785</v>
      </c>
      <c r="P50" s="16" t="s">
        <v>786</v>
      </c>
      <c r="Q50" s="6" t="s">
        <v>787</v>
      </c>
      <c r="R50" s="6" t="s">
        <v>788</v>
      </c>
      <c r="S50" s="14" t="s">
        <v>513</v>
      </c>
      <c r="T50" s="14" t="s">
        <v>235</v>
      </c>
      <c r="U50" s="14" t="s">
        <v>236</v>
      </c>
      <c r="V50" s="14" t="s">
        <v>331</v>
      </c>
      <c r="W50" s="14" t="s">
        <v>238</v>
      </c>
      <c r="X50" s="14" t="s">
        <v>546</v>
      </c>
      <c r="Y50" s="15" t="n">
        <v>1259263</v>
      </c>
      <c r="Z50" s="15" t="n">
        <v>9348</v>
      </c>
      <c r="AA50" s="14" t="n">
        <v>844</v>
      </c>
      <c r="AB50" s="14" t="n">
        <v>812</v>
      </c>
      <c r="AC50" s="17" t="n">
        <v>0.00873844462991448</v>
      </c>
      <c r="AD50" s="18" t="n">
        <v>51.65</v>
      </c>
      <c r="AE50" s="18" t="n">
        <f aca="false">IF(AD50="","",MIN(AD50,100))</f>
        <v>51.65</v>
      </c>
      <c r="AF50" s="14" t="n">
        <v>98.5</v>
      </c>
      <c r="AG50" s="14" t="s">
        <v>224</v>
      </c>
      <c r="AH50" s="14" t="n">
        <v>5.3</v>
      </c>
      <c r="AI50" s="14" t="s">
        <v>224</v>
      </c>
      <c r="AJ50" s="14" t="s">
        <v>224</v>
      </c>
      <c r="AK50" s="14" t="s">
        <v>240</v>
      </c>
      <c r="AL50" s="19" t="n">
        <f aca="false">ROUND('Start Here'!$B$29*AH50+'Start Here'!$B$30*MIN(IF(AD50="",0,AD50),50)/5+IF(M50&lt;=30000,'Start Here'!$B$31,IF(M50&lt;=60000,'Start Here'!$B$32,0)),1)</f>
        <v>7.7</v>
      </c>
      <c r="AM50" s="6" t="s">
        <v>789</v>
      </c>
      <c r="AN50" s="6" t="s">
        <v>790</v>
      </c>
      <c r="AO50" s="6" t="s">
        <v>791</v>
      </c>
      <c r="AP50" s="14" t="s">
        <v>792</v>
      </c>
      <c r="AQ50" s="14" t="s">
        <v>657</v>
      </c>
      <c r="AR50" s="20" t="s">
        <v>246</v>
      </c>
      <c r="AS50" s="20"/>
    </row>
    <row r="51" customFormat="false" ht="60" hidden="false" customHeight="true" outlineLevel="0" collapsed="false">
      <c r="A51" s="14" t="n">
        <v>50</v>
      </c>
      <c r="B51" s="14" t="s">
        <v>247</v>
      </c>
      <c r="C51" s="14" t="s">
        <v>221</v>
      </c>
      <c r="D51" s="14" t="s">
        <v>222</v>
      </c>
      <c r="E51" s="14" t="s">
        <v>36</v>
      </c>
      <c r="F51" s="14" t="s">
        <v>223</v>
      </c>
      <c r="G51" s="14" t="s">
        <v>223</v>
      </c>
      <c r="H51" s="14" t="s">
        <v>224</v>
      </c>
      <c r="I51" s="14" t="s">
        <v>264</v>
      </c>
      <c r="J51" s="14" t="s">
        <v>793</v>
      </c>
      <c r="K51" s="14" t="s">
        <v>794</v>
      </c>
      <c r="L51" s="14" t="s">
        <v>795</v>
      </c>
      <c r="M51" s="15" t="n">
        <v>11632</v>
      </c>
      <c r="N51" s="14" t="s">
        <v>229</v>
      </c>
      <c r="O51" s="14" t="s">
        <v>796</v>
      </c>
      <c r="P51" s="16" t="s">
        <v>797</v>
      </c>
      <c r="Q51" s="6" t="s">
        <v>798</v>
      </c>
      <c r="R51" s="6" t="s">
        <v>799</v>
      </c>
      <c r="S51" s="14" t="s">
        <v>255</v>
      </c>
      <c r="T51" s="14" t="s">
        <v>235</v>
      </c>
      <c r="U51" s="14" t="s">
        <v>236</v>
      </c>
      <c r="V51" s="14" t="s">
        <v>256</v>
      </c>
      <c r="W51" s="14" t="s">
        <v>238</v>
      </c>
      <c r="X51" s="14" t="s">
        <v>239</v>
      </c>
      <c r="Y51" s="15" t="n">
        <v>16560</v>
      </c>
      <c r="Z51" s="15" t="n">
        <v>91</v>
      </c>
      <c r="AA51" s="14" t="n">
        <v>3</v>
      </c>
      <c r="AB51" s="14"/>
      <c r="AC51" s="17" t="n">
        <v>0.00567632850241546</v>
      </c>
      <c r="AD51" s="18" t="n">
        <v>10.71</v>
      </c>
      <c r="AE51" s="18" t="n">
        <f aca="false">IF(AD51="","",MIN(AD51,100))</f>
        <v>10.71</v>
      </c>
      <c r="AF51" s="14" t="n">
        <v>93.2</v>
      </c>
      <c r="AG51" s="14" t="s">
        <v>224</v>
      </c>
      <c r="AH51" s="14" t="n">
        <v>10</v>
      </c>
      <c r="AI51" s="14" t="s">
        <v>224</v>
      </c>
      <c r="AJ51" s="14" t="s">
        <v>224</v>
      </c>
      <c r="AK51" s="14" t="s">
        <v>240</v>
      </c>
      <c r="AL51" s="19" t="n">
        <f aca="false">ROUND('Start Here'!$B$29*AH51+'Start Here'!$B$30*MIN(IF(AD51="",0,AD51),50)/5+IF(M51&lt;=30000,'Start Here'!$B$31,IF(M51&lt;=60000,'Start Here'!$B$32,0)),1)</f>
        <v>7.6</v>
      </c>
      <c r="AM51" s="6" t="s">
        <v>259</v>
      </c>
      <c r="AN51" s="6" t="s">
        <v>800</v>
      </c>
      <c r="AO51" s="6" t="s">
        <v>801</v>
      </c>
      <c r="AP51" s="14" t="s">
        <v>802</v>
      </c>
      <c r="AQ51" s="14" t="s">
        <v>307</v>
      </c>
      <c r="AR51" s="20" t="s">
        <v>246</v>
      </c>
      <c r="AS51" s="20"/>
    </row>
    <row r="52" customFormat="false" ht="60" hidden="false" customHeight="true" outlineLevel="0" collapsed="false">
      <c r="A52" s="14" t="n">
        <v>51</v>
      </c>
      <c r="B52" s="14" t="s">
        <v>247</v>
      </c>
      <c r="C52" s="14" t="s">
        <v>221</v>
      </c>
      <c r="D52" s="14" t="s">
        <v>222</v>
      </c>
      <c r="E52" s="14" t="s">
        <v>36</v>
      </c>
      <c r="F52" s="14" t="s">
        <v>223</v>
      </c>
      <c r="G52" s="14" t="s">
        <v>223</v>
      </c>
      <c r="H52" s="14" t="s">
        <v>224</v>
      </c>
      <c r="I52" s="14" t="s">
        <v>375</v>
      </c>
      <c r="J52" s="14" t="s">
        <v>803</v>
      </c>
      <c r="K52" s="14" t="s">
        <v>804</v>
      </c>
      <c r="L52" s="14" t="s">
        <v>805</v>
      </c>
      <c r="M52" s="15" t="n">
        <v>7184</v>
      </c>
      <c r="N52" s="14" t="s">
        <v>283</v>
      </c>
      <c r="O52" s="14" t="s">
        <v>806</v>
      </c>
      <c r="P52" s="16" t="s">
        <v>807</v>
      </c>
      <c r="Q52" s="6" t="s">
        <v>808</v>
      </c>
      <c r="R52" s="6" t="s">
        <v>809</v>
      </c>
      <c r="S52" s="14" t="s">
        <v>255</v>
      </c>
      <c r="T52" s="14" t="s">
        <v>466</v>
      </c>
      <c r="U52" s="14" t="s">
        <v>236</v>
      </c>
      <c r="V52" s="14" t="s">
        <v>810</v>
      </c>
      <c r="W52" s="14"/>
      <c r="X52" s="14"/>
      <c r="Y52" s="15" t="n">
        <v>23276</v>
      </c>
      <c r="Z52" s="15" t="n">
        <v>38</v>
      </c>
      <c r="AA52" s="14" t="n">
        <v>0</v>
      </c>
      <c r="AB52" s="14"/>
      <c r="AC52" s="17" t="n">
        <v>0.00163258291802715</v>
      </c>
      <c r="AD52" s="18" t="n">
        <v>26.11</v>
      </c>
      <c r="AE52" s="18" t="n">
        <f aca="false">IF(AD52="","",MIN(AD52,100))</f>
        <v>26.11</v>
      </c>
      <c r="AF52" s="14" t="n">
        <v>95.8</v>
      </c>
      <c r="AG52" s="14" t="s">
        <v>224</v>
      </c>
      <c r="AH52" s="14" t="n">
        <v>8</v>
      </c>
      <c r="AI52" s="14" t="s">
        <v>224</v>
      </c>
      <c r="AJ52" s="14" t="s">
        <v>224</v>
      </c>
      <c r="AK52" s="14" t="s">
        <v>240</v>
      </c>
      <c r="AL52" s="19" t="n">
        <f aca="false">ROUND('Start Here'!$B$29*AH52+'Start Here'!$B$30*MIN(IF(AD52="",0,AD52),50)/5+IF(M52&lt;=30000,'Start Here'!$B$31,IF(M52&lt;=60000,'Start Here'!$B$32,0)),1)</f>
        <v>7.6</v>
      </c>
      <c r="AM52" s="6" t="s">
        <v>259</v>
      </c>
      <c r="AN52" s="6" t="s">
        <v>811</v>
      </c>
      <c r="AO52" s="6"/>
      <c r="AP52" s="14"/>
      <c r="AQ52" s="14" t="s">
        <v>373</v>
      </c>
      <c r="AR52" s="20" t="s">
        <v>246</v>
      </c>
      <c r="AS52" s="20"/>
    </row>
    <row r="53" customFormat="false" ht="60" hidden="false" customHeight="true" outlineLevel="0" collapsed="false">
      <c r="A53" s="14" t="n">
        <v>52</v>
      </c>
      <c r="B53" s="14" t="s">
        <v>374</v>
      </c>
      <c r="C53" s="14" t="s">
        <v>221</v>
      </c>
      <c r="D53" s="14" t="s">
        <v>222</v>
      </c>
      <c r="E53" s="14" t="s">
        <v>36</v>
      </c>
      <c r="F53" s="14" t="s">
        <v>223</v>
      </c>
      <c r="G53" s="14" t="s">
        <v>223</v>
      </c>
      <c r="H53" s="14" t="s">
        <v>223</v>
      </c>
      <c r="I53" s="14" t="s">
        <v>225</v>
      </c>
      <c r="J53" s="14" t="s">
        <v>812</v>
      </c>
      <c r="K53" s="14" t="s">
        <v>813</v>
      </c>
      <c r="L53" s="14" t="s">
        <v>814</v>
      </c>
      <c r="M53" s="15" t="n">
        <v>11901</v>
      </c>
      <c r="N53" s="14" t="s">
        <v>229</v>
      </c>
      <c r="O53" s="14" t="s">
        <v>815</v>
      </c>
      <c r="P53" s="16" t="s">
        <v>816</v>
      </c>
      <c r="Q53" s="6" t="s">
        <v>817</v>
      </c>
      <c r="R53" s="6" t="s">
        <v>818</v>
      </c>
      <c r="S53" s="14" t="s">
        <v>234</v>
      </c>
      <c r="T53" s="14" t="s">
        <v>235</v>
      </c>
      <c r="U53" s="14" t="s">
        <v>236</v>
      </c>
      <c r="V53" s="14" t="s">
        <v>331</v>
      </c>
      <c r="W53" s="14" t="s">
        <v>819</v>
      </c>
      <c r="X53" s="14" t="s">
        <v>239</v>
      </c>
      <c r="Y53" s="15"/>
      <c r="Z53" s="15" t="n">
        <v>1066</v>
      </c>
      <c r="AA53" s="14" t="n">
        <v>104</v>
      </c>
      <c r="AB53" s="14" t="n">
        <v>42</v>
      </c>
      <c r="AC53" s="17" t="n">
        <v>0.0856955748900739</v>
      </c>
      <c r="AD53" s="18" t="n">
        <v>103.14</v>
      </c>
      <c r="AE53" s="18" t="n">
        <f aca="false">IF(AD53="","",MIN(AD53,100))</f>
        <v>100</v>
      </c>
      <c r="AF53" s="14" t="n">
        <v>99.7</v>
      </c>
      <c r="AG53" s="14" t="s">
        <v>224</v>
      </c>
      <c r="AH53" s="14" t="n">
        <v>5</v>
      </c>
      <c r="AI53" s="14" t="s">
        <v>224</v>
      </c>
      <c r="AJ53" s="14" t="s">
        <v>224</v>
      </c>
      <c r="AK53" s="14" t="s">
        <v>240</v>
      </c>
      <c r="AL53" s="19" t="n">
        <f aca="false">ROUND('Start Here'!$B$29*AH53+'Start Here'!$B$30*MIN(IF(AD53="",0,AD53),50)/5+IF(M53&lt;=30000,'Start Here'!$B$31,IF(M53&lt;=60000,'Start Here'!$B$32,0)),1)</f>
        <v>7.5</v>
      </c>
      <c r="AM53" s="6" t="s">
        <v>290</v>
      </c>
      <c r="AN53" s="6" t="s">
        <v>242</v>
      </c>
      <c r="AO53" s="6" t="s">
        <v>820</v>
      </c>
      <c r="AP53" s="14" t="s">
        <v>821</v>
      </c>
      <c r="AQ53" s="14" t="s">
        <v>822</v>
      </c>
      <c r="AR53" s="20" t="s">
        <v>246</v>
      </c>
      <c r="AS53" s="20"/>
    </row>
    <row r="54" customFormat="false" ht="60" hidden="false" customHeight="true" outlineLevel="0" collapsed="false">
      <c r="A54" s="14" t="n">
        <v>53</v>
      </c>
      <c r="B54" s="14" t="s">
        <v>247</v>
      </c>
      <c r="C54" s="14" t="s">
        <v>221</v>
      </c>
      <c r="D54" s="14" t="s">
        <v>222</v>
      </c>
      <c r="E54" s="14" t="s">
        <v>36</v>
      </c>
      <c r="F54" s="14" t="s">
        <v>223</v>
      </c>
      <c r="G54" s="14" t="s">
        <v>223</v>
      </c>
      <c r="H54" s="14" t="s">
        <v>224</v>
      </c>
      <c r="I54" s="14" t="s">
        <v>338</v>
      </c>
      <c r="J54" s="14" t="s">
        <v>823</v>
      </c>
      <c r="K54" s="14" t="s">
        <v>824</v>
      </c>
      <c r="L54" s="14" t="s">
        <v>825</v>
      </c>
      <c r="M54" s="15" t="n">
        <v>11957</v>
      </c>
      <c r="N54" s="14" t="s">
        <v>229</v>
      </c>
      <c r="O54" s="14" t="s">
        <v>826</v>
      </c>
      <c r="P54" s="16" t="s">
        <v>827</v>
      </c>
      <c r="Q54" s="6" t="s">
        <v>828</v>
      </c>
      <c r="R54" s="6" t="s">
        <v>829</v>
      </c>
      <c r="S54" s="14" t="s">
        <v>330</v>
      </c>
      <c r="T54" s="14" t="s">
        <v>273</v>
      </c>
      <c r="U54" s="14" t="s">
        <v>274</v>
      </c>
      <c r="V54" s="14" t="s">
        <v>256</v>
      </c>
      <c r="W54" s="14" t="s">
        <v>257</v>
      </c>
      <c r="X54" s="14" t="s">
        <v>258</v>
      </c>
      <c r="Y54" s="15" t="n">
        <v>114567</v>
      </c>
      <c r="Z54" s="15" t="n">
        <v>3565</v>
      </c>
      <c r="AA54" s="14" t="n">
        <v>219</v>
      </c>
      <c r="AB54" s="14"/>
      <c r="AC54" s="17" t="n">
        <v>0.0330287080922081</v>
      </c>
      <c r="AD54" s="18" t="n">
        <v>55.79</v>
      </c>
      <c r="AE54" s="18" t="n">
        <f aca="false">IF(AD54="","",MIN(AD54,100))</f>
        <v>55.79</v>
      </c>
      <c r="AF54" s="14" t="n">
        <v>98.8</v>
      </c>
      <c r="AG54" s="14" t="s">
        <v>224</v>
      </c>
      <c r="AH54" s="14" t="n">
        <v>5</v>
      </c>
      <c r="AI54" s="14" t="s">
        <v>224</v>
      </c>
      <c r="AJ54" s="14" t="s">
        <v>224</v>
      </c>
      <c r="AK54" s="14" t="s">
        <v>240</v>
      </c>
      <c r="AL54" s="19" t="n">
        <f aca="false">ROUND('Start Here'!$B$29*AH54+'Start Here'!$B$30*MIN(IF(AD54="",0,AD54),50)/5+IF(M54&lt;=30000,'Start Here'!$B$31,IF(M54&lt;=60000,'Start Here'!$B$32,0)),1)</f>
        <v>7.5</v>
      </c>
      <c r="AM54" s="6" t="s">
        <v>830</v>
      </c>
      <c r="AN54" s="6" t="s">
        <v>831</v>
      </c>
      <c r="AO54" s="6" t="s">
        <v>832</v>
      </c>
      <c r="AP54" s="14" t="s">
        <v>833</v>
      </c>
      <c r="AQ54" s="14" t="s">
        <v>538</v>
      </c>
      <c r="AR54" s="20" t="s">
        <v>246</v>
      </c>
      <c r="AS54" s="20"/>
    </row>
    <row r="55" customFormat="false" ht="60" hidden="false" customHeight="true" outlineLevel="0" collapsed="false">
      <c r="A55" s="14" t="n">
        <v>54</v>
      </c>
      <c r="B55" s="14" t="s">
        <v>220</v>
      </c>
      <c r="C55" s="14" t="s">
        <v>221</v>
      </c>
      <c r="D55" s="14" t="s">
        <v>222</v>
      </c>
      <c r="E55" s="14" t="s">
        <v>36</v>
      </c>
      <c r="F55" s="14" t="s">
        <v>223</v>
      </c>
      <c r="G55" s="14" t="s">
        <v>223</v>
      </c>
      <c r="H55" s="14" t="s">
        <v>223</v>
      </c>
      <c r="I55" s="14" t="s">
        <v>308</v>
      </c>
      <c r="J55" s="14" t="s">
        <v>834</v>
      </c>
      <c r="K55" s="14" t="s">
        <v>835</v>
      </c>
      <c r="L55" s="14" t="s">
        <v>836</v>
      </c>
      <c r="M55" s="15" t="n">
        <v>22288</v>
      </c>
      <c r="N55" s="14" t="s">
        <v>298</v>
      </c>
      <c r="O55" s="14" t="s">
        <v>837</v>
      </c>
      <c r="P55" s="16" t="s">
        <v>838</v>
      </c>
      <c r="Q55" s="6" t="s">
        <v>839</v>
      </c>
      <c r="R55" s="6" t="s">
        <v>839</v>
      </c>
      <c r="S55" s="14" t="s">
        <v>255</v>
      </c>
      <c r="T55" s="14" t="s">
        <v>673</v>
      </c>
      <c r="U55" s="14" t="s">
        <v>236</v>
      </c>
      <c r="V55" s="14" t="s">
        <v>288</v>
      </c>
      <c r="W55" s="14" t="s">
        <v>257</v>
      </c>
      <c r="X55" s="14" t="s">
        <v>239</v>
      </c>
      <c r="Y55" s="15" t="n">
        <v>2321726</v>
      </c>
      <c r="Z55" s="15" t="n">
        <v>8645</v>
      </c>
      <c r="AA55" s="14" t="n">
        <v>133</v>
      </c>
      <c r="AB55" s="14" t="n">
        <v>418</v>
      </c>
      <c r="AC55" s="17" t="n">
        <v>0.00396084637032966</v>
      </c>
      <c r="AD55" s="18" t="n">
        <v>54.32</v>
      </c>
      <c r="AE55" s="18" t="n">
        <f aca="false">IF(AD55="","",MIN(AD55,100))</f>
        <v>54.32</v>
      </c>
      <c r="AF55" s="14" t="n">
        <v>98.4</v>
      </c>
      <c r="AG55" s="14" t="s">
        <v>224</v>
      </c>
      <c r="AH55" s="14" t="n">
        <v>5</v>
      </c>
      <c r="AI55" s="14" t="s">
        <v>224</v>
      </c>
      <c r="AJ55" s="14" t="s">
        <v>224</v>
      </c>
      <c r="AK55" s="14" t="s">
        <v>240</v>
      </c>
      <c r="AL55" s="19" t="n">
        <f aca="false">ROUND('Start Here'!$B$29*AH55+'Start Here'!$B$30*MIN(IF(AD55="",0,AD55),50)/5+IF(M55&lt;=30000,'Start Here'!$B$31,IF(M55&lt;=60000,'Start Here'!$B$32,0)),1)</f>
        <v>7.5</v>
      </c>
      <c r="AM55" s="6" t="s">
        <v>534</v>
      </c>
      <c r="AN55" s="6" t="s">
        <v>840</v>
      </c>
      <c r="AO55" s="6" t="s">
        <v>841</v>
      </c>
      <c r="AP55" s="14" t="s">
        <v>842</v>
      </c>
      <c r="AQ55" s="14" t="s">
        <v>538</v>
      </c>
      <c r="AR55" s="20" t="s">
        <v>246</v>
      </c>
      <c r="AS55" s="20"/>
    </row>
    <row r="56" customFormat="false" ht="60" hidden="false" customHeight="true" outlineLevel="0" collapsed="false">
      <c r="A56" s="14" t="n">
        <v>55</v>
      </c>
      <c r="B56" s="14" t="s">
        <v>220</v>
      </c>
      <c r="C56" s="14" t="s">
        <v>221</v>
      </c>
      <c r="D56" s="14" t="s">
        <v>222</v>
      </c>
      <c r="E56" s="14" t="s">
        <v>36</v>
      </c>
      <c r="F56" s="14" t="s">
        <v>223</v>
      </c>
      <c r="G56" s="14" t="s">
        <v>223</v>
      </c>
      <c r="H56" s="14" t="s">
        <v>223</v>
      </c>
      <c r="I56" s="14" t="s">
        <v>308</v>
      </c>
      <c r="J56" s="14" t="s">
        <v>843</v>
      </c>
      <c r="K56" s="14" t="s">
        <v>844</v>
      </c>
      <c r="L56" s="14" t="s">
        <v>845</v>
      </c>
      <c r="M56" s="15" t="n">
        <v>19649</v>
      </c>
      <c r="N56" s="14" t="s">
        <v>229</v>
      </c>
      <c r="O56" s="14" t="s">
        <v>846</v>
      </c>
      <c r="P56" s="16" t="s">
        <v>847</v>
      </c>
      <c r="Q56" s="6" t="s">
        <v>848</v>
      </c>
      <c r="R56" s="6" t="s">
        <v>848</v>
      </c>
      <c r="S56" s="14" t="s">
        <v>255</v>
      </c>
      <c r="T56" s="14" t="s">
        <v>235</v>
      </c>
      <c r="U56" s="14" t="s">
        <v>236</v>
      </c>
      <c r="V56" s="14" t="s">
        <v>237</v>
      </c>
      <c r="W56" s="14" t="s">
        <v>238</v>
      </c>
      <c r="X56" s="14" t="s">
        <v>546</v>
      </c>
      <c r="Y56" s="15" t="n">
        <v>152073</v>
      </c>
      <c r="Z56" s="15" t="n">
        <v>2192</v>
      </c>
      <c r="AA56" s="14" t="n">
        <v>27</v>
      </c>
      <c r="AB56" s="14" t="n">
        <v>243</v>
      </c>
      <c r="AC56" s="17" t="n">
        <v>0.0161895931559185</v>
      </c>
      <c r="AD56" s="18" t="n">
        <v>438.4</v>
      </c>
      <c r="AE56" s="18" t="n">
        <f aca="false">IF(AD56="","",MIN(AD56,100))</f>
        <v>100</v>
      </c>
      <c r="AF56" s="14" t="n">
        <v>99.4</v>
      </c>
      <c r="AG56" s="14" t="s">
        <v>224</v>
      </c>
      <c r="AH56" s="14" t="n">
        <v>5</v>
      </c>
      <c r="AI56" s="14" t="s">
        <v>224</v>
      </c>
      <c r="AJ56" s="14" t="s">
        <v>224</v>
      </c>
      <c r="AK56" s="14" t="s">
        <v>240</v>
      </c>
      <c r="AL56" s="19" t="n">
        <f aca="false">ROUND('Start Here'!$B$29*AH56+'Start Here'!$B$30*MIN(IF(AD56="",0,AD56),50)/5+IF(M56&lt;=30000,'Start Here'!$B$31,IF(M56&lt;=60000,'Start Here'!$B$32,0)),1)</f>
        <v>7.5</v>
      </c>
      <c r="AM56" s="6" t="s">
        <v>259</v>
      </c>
      <c r="AN56" s="6" t="s">
        <v>840</v>
      </c>
      <c r="AO56" s="6" t="s">
        <v>849</v>
      </c>
      <c r="AP56" s="14" t="s">
        <v>850</v>
      </c>
      <c r="AQ56" s="14" t="s">
        <v>677</v>
      </c>
      <c r="AR56" s="20" t="s">
        <v>246</v>
      </c>
      <c r="AS56" s="20"/>
    </row>
    <row r="57" customFormat="false" ht="60" hidden="false" customHeight="true" outlineLevel="0" collapsed="false">
      <c r="A57" s="14" t="n">
        <v>56</v>
      </c>
      <c r="B57" s="14" t="s">
        <v>220</v>
      </c>
      <c r="C57" s="14" t="s">
        <v>221</v>
      </c>
      <c r="D57" s="14" t="s">
        <v>222</v>
      </c>
      <c r="E57" s="14" t="s">
        <v>34</v>
      </c>
      <c r="F57" s="14" t="s">
        <v>223</v>
      </c>
      <c r="G57" s="14" t="s">
        <v>224</v>
      </c>
      <c r="H57" s="14" t="s">
        <v>223</v>
      </c>
      <c r="I57" s="14" t="s">
        <v>225</v>
      </c>
      <c r="J57" s="14" t="s">
        <v>851</v>
      </c>
      <c r="K57" s="14" t="s">
        <v>852</v>
      </c>
      <c r="L57" s="14" t="s">
        <v>853</v>
      </c>
      <c r="M57" s="15" t="n">
        <v>41537</v>
      </c>
      <c r="N57" s="14" t="s">
        <v>462</v>
      </c>
      <c r="O57" s="14" t="s">
        <v>854</v>
      </c>
      <c r="P57" s="16" t="s">
        <v>855</v>
      </c>
      <c r="Q57" s="6" t="s">
        <v>856</v>
      </c>
      <c r="R57" s="6" t="s">
        <v>857</v>
      </c>
      <c r="S57" s="14" t="s">
        <v>255</v>
      </c>
      <c r="T57" s="14" t="s">
        <v>235</v>
      </c>
      <c r="U57" s="14" t="s">
        <v>236</v>
      </c>
      <c r="V57" s="14" t="s">
        <v>237</v>
      </c>
      <c r="W57" s="14" t="s">
        <v>238</v>
      </c>
      <c r="X57" s="14" t="s">
        <v>239</v>
      </c>
      <c r="Y57" s="15" t="n">
        <v>474354</v>
      </c>
      <c r="Z57" s="15" t="n">
        <v>27088</v>
      </c>
      <c r="AA57" s="14" t="n">
        <v>163</v>
      </c>
      <c r="AB57" s="14" t="n">
        <v>6640</v>
      </c>
      <c r="AC57" s="17" t="n">
        <v>0.0714466411161285</v>
      </c>
      <c r="AD57" s="18" t="n">
        <v>358.59</v>
      </c>
      <c r="AE57" s="18" t="n">
        <f aca="false">IF(AD57="","",MIN(AD57,100))</f>
        <v>100</v>
      </c>
      <c r="AF57" s="14" t="n">
        <v>99.9</v>
      </c>
      <c r="AG57" s="14" t="s">
        <v>224</v>
      </c>
      <c r="AH57" s="14" t="n">
        <v>7</v>
      </c>
      <c r="AI57" s="14" t="s">
        <v>224</v>
      </c>
      <c r="AJ57" s="14" t="s">
        <v>224</v>
      </c>
      <c r="AK57" s="14" t="s">
        <v>240</v>
      </c>
      <c r="AL57" s="19" t="n">
        <f aca="false">ROUND('Start Here'!$B$29*AH57+'Start Here'!$B$30*MIN(IF(AD57="",0,AD57),50)/5+IF(M57&lt;=30000,'Start Here'!$B$31,IF(M57&lt;=60000,'Start Here'!$B$32,0)),1)</f>
        <v>7.5</v>
      </c>
      <c r="AM57" s="6" t="s">
        <v>858</v>
      </c>
      <c r="AN57" s="6" t="s">
        <v>859</v>
      </c>
      <c r="AO57" s="6" t="s">
        <v>860</v>
      </c>
      <c r="AP57" s="14" t="s">
        <v>861</v>
      </c>
      <c r="AQ57" s="14" t="s">
        <v>294</v>
      </c>
      <c r="AR57" s="20" t="s">
        <v>246</v>
      </c>
      <c r="AS57" s="20"/>
    </row>
    <row r="58" customFormat="false" ht="60" hidden="false" customHeight="true" outlineLevel="0" collapsed="false">
      <c r="A58" s="14" t="n">
        <v>57</v>
      </c>
      <c r="B58" s="14" t="s">
        <v>220</v>
      </c>
      <c r="C58" s="14" t="s">
        <v>221</v>
      </c>
      <c r="D58" s="14" t="s">
        <v>222</v>
      </c>
      <c r="E58" s="14" t="s">
        <v>36</v>
      </c>
      <c r="F58" s="14" t="s">
        <v>223</v>
      </c>
      <c r="G58" s="14" t="s">
        <v>223</v>
      </c>
      <c r="H58" s="14" t="s">
        <v>223</v>
      </c>
      <c r="I58" s="14" t="s">
        <v>225</v>
      </c>
      <c r="J58" s="14" t="s">
        <v>862</v>
      </c>
      <c r="K58" s="14" t="s">
        <v>863</v>
      </c>
      <c r="L58" s="14" t="s">
        <v>864</v>
      </c>
      <c r="M58" s="15" t="n">
        <v>20541</v>
      </c>
      <c r="N58" s="14" t="s">
        <v>298</v>
      </c>
      <c r="O58" s="14" t="s">
        <v>865</v>
      </c>
      <c r="P58" s="16" t="s">
        <v>866</v>
      </c>
      <c r="Q58" s="6" t="s">
        <v>867</v>
      </c>
      <c r="R58" s="6" t="s">
        <v>868</v>
      </c>
      <c r="S58" s="14" t="s">
        <v>234</v>
      </c>
      <c r="T58" s="14" t="s">
        <v>235</v>
      </c>
      <c r="U58" s="14" t="s">
        <v>236</v>
      </c>
      <c r="V58" s="14" t="s">
        <v>439</v>
      </c>
      <c r="W58" s="14"/>
      <c r="X58" s="14"/>
      <c r="Y58" s="15" t="n">
        <v>1495660</v>
      </c>
      <c r="Z58" s="15" t="n">
        <v>2537</v>
      </c>
      <c r="AA58" s="14" t="n">
        <v>128</v>
      </c>
      <c r="AB58" s="14" t="n">
        <v>71</v>
      </c>
      <c r="AC58" s="17" t="n">
        <v>0.00182929275370071</v>
      </c>
      <c r="AD58" s="18" t="n">
        <v>103.94</v>
      </c>
      <c r="AE58" s="18" t="n">
        <f aca="false">IF(AD58="","",MIN(AD58,100))</f>
        <v>100</v>
      </c>
      <c r="AF58" s="14" t="n">
        <v>98.9</v>
      </c>
      <c r="AG58" s="14" t="s">
        <v>224</v>
      </c>
      <c r="AH58" s="14" t="n">
        <v>5</v>
      </c>
      <c r="AI58" s="14" t="s">
        <v>224</v>
      </c>
      <c r="AJ58" s="14" t="s">
        <v>224</v>
      </c>
      <c r="AK58" s="14" t="s">
        <v>240</v>
      </c>
      <c r="AL58" s="19" t="n">
        <f aca="false">ROUND('Start Here'!$B$29*AH58+'Start Here'!$B$30*MIN(IF(AD58="",0,AD58),50)/5+IF(M58&lt;=30000,'Start Here'!$B$31,IF(M58&lt;=60000,'Start Here'!$B$32,0)),1)</f>
        <v>7.5</v>
      </c>
      <c r="AM58" s="6" t="s">
        <v>503</v>
      </c>
      <c r="AN58" s="6" t="s">
        <v>242</v>
      </c>
      <c r="AO58" s="6"/>
      <c r="AP58" s="14"/>
      <c r="AQ58" s="14" t="s">
        <v>431</v>
      </c>
      <c r="AR58" s="20" t="s">
        <v>246</v>
      </c>
      <c r="AS58" s="20"/>
    </row>
    <row r="59" customFormat="false" ht="60" hidden="false" customHeight="true" outlineLevel="0" collapsed="false">
      <c r="A59" s="14" t="n">
        <v>58</v>
      </c>
      <c r="B59" s="14" t="s">
        <v>220</v>
      </c>
      <c r="C59" s="14" t="s">
        <v>221</v>
      </c>
      <c r="D59" s="14" t="s">
        <v>222</v>
      </c>
      <c r="E59" s="14" t="s">
        <v>36</v>
      </c>
      <c r="F59" s="14" t="s">
        <v>223</v>
      </c>
      <c r="G59" s="14" t="s">
        <v>223</v>
      </c>
      <c r="H59" s="14" t="s">
        <v>223</v>
      </c>
      <c r="I59" s="14" t="s">
        <v>586</v>
      </c>
      <c r="J59" s="14" t="s">
        <v>225</v>
      </c>
      <c r="K59" s="14" t="s">
        <v>869</v>
      </c>
      <c r="L59" s="14" t="s">
        <v>870</v>
      </c>
      <c r="M59" s="15" t="n">
        <v>8603</v>
      </c>
      <c r="N59" s="14" t="s">
        <v>283</v>
      </c>
      <c r="O59" s="14" t="s">
        <v>681</v>
      </c>
      <c r="P59" s="16" t="s">
        <v>871</v>
      </c>
      <c r="Q59" s="6" t="s">
        <v>872</v>
      </c>
      <c r="R59" s="6" t="s">
        <v>873</v>
      </c>
      <c r="S59" s="14" t="s">
        <v>685</v>
      </c>
      <c r="T59" s="14" t="s">
        <v>235</v>
      </c>
      <c r="U59" s="14" t="s">
        <v>686</v>
      </c>
      <c r="V59" s="14" t="s">
        <v>288</v>
      </c>
      <c r="W59" s="14" t="s">
        <v>257</v>
      </c>
      <c r="X59" s="14" t="s">
        <v>258</v>
      </c>
      <c r="Y59" s="15" t="n">
        <v>349353</v>
      </c>
      <c r="Z59" s="15" t="n">
        <v>3044</v>
      </c>
      <c r="AA59" s="14" t="n">
        <v>164</v>
      </c>
      <c r="AB59" s="14" t="n">
        <v>326</v>
      </c>
      <c r="AC59" s="17" t="n">
        <v>0.0101158427149617</v>
      </c>
      <c r="AD59" s="18" t="n">
        <v>54.38</v>
      </c>
      <c r="AE59" s="18" t="n">
        <f aca="false">IF(AD59="","",MIN(AD59,100))</f>
        <v>54.38</v>
      </c>
      <c r="AF59" s="14" t="n">
        <v>99.6</v>
      </c>
      <c r="AG59" s="14" t="s">
        <v>224</v>
      </c>
      <c r="AH59" s="14" t="n">
        <v>5</v>
      </c>
      <c r="AI59" s="14" t="s">
        <v>224</v>
      </c>
      <c r="AJ59" s="14" t="s">
        <v>224</v>
      </c>
      <c r="AK59" s="14" t="s">
        <v>240</v>
      </c>
      <c r="AL59" s="19" t="n">
        <f aca="false">ROUND('Start Here'!$B$29*AH59+'Start Here'!$B$30*MIN(IF(AD59="",0,AD59),50)/5+IF(M59&lt;=30000,'Start Here'!$B$31,IF(M59&lt;=60000,'Start Here'!$B$32,0)),1)</f>
        <v>7.5</v>
      </c>
      <c r="AM59" s="6" t="s">
        <v>874</v>
      </c>
      <c r="AN59" s="6" t="s">
        <v>875</v>
      </c>
      <c r="AO59" s="6" t="s">
        <v>876</v>
      </c>
      <c r="AP59" s="14" t="s">
        <v>877</v>
      </c>
      <c r="AQ59" s="14" t="s">
        <v>431</v>
      </c>
      <c r="AR59" s="20" t="s">
        <v>246</v>
      </c>
      <c r="AS59" s="20"/>
    </row>
    <row r="60" customFormat="false" ht="60" hidden="false" customHeight="true" outlineLevel="0" collapsed="false">
      <c r="A60" s="14" t="n">
        <v>59</v>
      </c>
      <c r="B60" s="14" t="s">
        <v>220</v>
      </c>
      <c r="C60" s="14" t="s">
        <v>221</v>
      </c>
      <c r="D60" s="14" t="s">
        <v>222</v>
      </c>
      <c r="E60" s="14" t="s">
        <v>36</v>
      </c>
      <c r="F60" s="14" t="s">
        <v>223</v>
      </c>
      <c r="G60" s="14" t="s">
        <v>223</v>
      </c>
      <c r="H60" s="14" t="s">
        <v>223</v>
      </c>
      <c r="I60" s="14" t="s">
        <v>308</v>
      </c>
      <c r="J60" s="14" t="s">
        <v>878</v>
      </c>
      <c r="K60" s="14" t="s">
        <v>879</v>
      </c>
      <c r="L60" s="14" t="s">
        <v>880</v>
      </c>
      <c r="M60" s="15" t="n">
        <v>27268</v>
      </c>
      <c r="N60" s="14" t="s">
        <v>298</v>
      </c>
      <c r="O60" s="14" t="s">
        <v>854</v>
      </c>
      <c r="P60" s="16" t="s">
        <v>881</v>
      </c>
      <c r="Q60" s="6" t="s">
        <v>882</v>
      </c>
      <c r="R60" s="6" t="s">
        <v>883</v>
      </c>
      <c r="S60" s="14" t="s">
        <v>884</v>
      </c>
      <c r="T60" s="14" t="s">
        <v>235</v>
      </c>
      <c r="U60" s="14" t="s">
        <v>236</v>
      </c>
      <c r="V60" s="14" t="s">
        <v>288</v>
      </c>
      <c r="W60" s="14" t="s">
        <v>819</v>
      </c>
      <c r="X60" s="14" t="s">
        <v>239</v>
      </c>
      <c r="Y60" s="15" t="n">
        <v>600724</v>
      </c>
      <c r="Z60" s="15" t="n">
        <v>5880</v>
      </c>
      <c r="AA60" s="14" t="n">
        <v>179</v>
      </c>
      <c r="AB60" s="14" t="n">
        <v>416</v>
      </c>
      <c r="AC60" s="17" t="n">
        <v>0.0107786604164308</v>
      </c>
      <c r="AD60" s="18" t="n">
        <v>164.49</v>
      </c>
      <c r="AE60" s="18" t="n">
        <f aca="false">IF(AD60="","",MIN(AD60,100))</f>
        <v>100</v>
      </c>
      <c r="AF60" s="14" t="n">
        <v>97.6</v>
      </c>
      <c r="AG60" s="14" t="s">
        <v>224</v>
      </c>
      <c r="AH60" s="14" t="n">
        <v>5</v>
      </c>
      <c r="AI60" s="14" t="s">
        <v>224</v>
      </c>
      <c r="AJ60" s="14" t="s">
        <v>224</v>
      </c>
      <c r="AK60" s="14" t="s">
        <v>240</v>
      </c>
      <c r="AL60" s="19" t="n">
        <f aca="false">ROUND('Start Here'!$B$29*AH60+'Start Here'!$B$30*MIN(IF(AD60="",0,AD60),50)/5+IF(M60&lt;=30000,'Start Here'!$B$31,IF(M60&lt;=60000,'Start Here'!$B$32,0)),1)</f>
        <v>7.5</v>
      </c>
      <c r="AM60" s="6" t="s">
        <v>885</v>
      </c>
      <c r="AN60" s="6" t="s">
        <v>886</v>
      </c>
      <c r="AO60" s="6" t="s">
        <v>887</v>
      </c>
      <c r="AP60" s="14" t="s">
        <v>888</v>
      </c>
      <c r="AQ60" s="14" t="s">
        <v>657</v>
      </c>
      <c r="AR60" s="20" t="s">
        <v>246</v>
      </c>
      <c r="AS60" s="20"/>
    </row>
    <row r="61" customFormat="false" ht="60" hidden="false" customHeight="true" outlineLevel="0" collapsed="false">
      <c r="A61" s="14" t="n">
        <v>60</v>
      </c>
      <c r="B61" s="14" t="s">
        <v>247</v>
      </c>
      <c r="C61" s="14" t="s">
        <v>221</v>
      </c>
      <c r="D61" s="14" t="s">
        <v>443</v>
      </c>
      <c r="E61" s="14" t="s">
        <v>36</v>
      </c>
      <c r="F61" s="14" t="s">
        <v>223</v>
      </c>
      <c r="G61" s="14" t="s">
        <v>223</v>
      </c>
      <c r="H61" s="14" t="s">
        <v>224</v>
      </c>
      <c r="I61" s="14" t="s">
        <v>338</v>
      </c>
      <c r="J61" s="14" t="s">
        <v>889</v>
      </c>
      <c r="K61" s="14" t="s">
        <v>890</v>
      </c>
      <c r="L61" s="14" t="s">
        <v>891</v>
      </c>
      <c r="M61" s="15" t="n">
        <v>18100</v>
      </c>
      <c r="N61" s="14" t="s">
        <v>229</v>
      </c>
      <c r="O61" s="14" t="s">
        <v>447</v>
      </c>
      <c r="P61" s="16" t="s">
        <v>892</v>
      </c>
      <c r="Q61" s="6" t="s">
        <v>893</v>
      </c>
      <c r="R61" s="6" t="s">
        <v>894</v>
      </c>
      <c r="S61" s="14" t="s">
        <v>741</v>
      </c>
      <c r="T61" s="14" t="s">
        <v>235</v>
      </c>
      <c r="U61" s="14" t="s">
        <v>236</v>
      </c>
      <c r="V61" s="14" t="s">
        <v>895</v>
      </c>
      <c r="W61" s="14" t="s">
        <v>452</v>
      </c>
      <c r="X61" s="14"/>
      <c r="Y61" s="15" t="n">
        <v>385300</v>
      </c>
      <c r="Z61" s="15"/>
      <c r="AA61" s="14"/>
      <c r="AB61" s="14"/>
      <c r="AC61" s="17"/>
      <c r="AD61" s="18" t="n">
        <v>96</v>
      </c>
      <c r="AE61" s="18" t="n">
        <f aca="false">IF(AD61="","",MIN(AD61,100))</f>
        <v>96</v>
      </c>
      <c r="AF61" s="14"/>
      <c r="AG61" s="14" t="s">
        <v>224</v>
      </c>
      <c r="AH61" s="14" t="n">
        <v>5</v>
      </c>
      <c r="AI61" s="14" t="s">
        <v>224</v>
      </c>
      <c r="AJ61" s="14" t="s">
        <v>224</v>
      </c>
      <c r="AK61" s="14" t="s">
        <v>240</v>
      </c>
      <c r="AL61" s="19" t="n">
        <f aca="false">ROUND('Start Here'!$B$29*AH61+'Start Here'!$B$30*MIN(IF(AD61="",0,AD61),50)/5+IF(M61&lt;=30000,'Start Here'!$B$31,IF(M61&lt;=60000,'Start Here'!$B$32,0)),1)</f>
        <v>7.5</v>
      </c>
      <c r="AM61" s="6" t="s">
        <v>896</v>
      </c>
      <c r="AN61" s="6" t="s">
        <v>744</v>
      </c>
      <c r="AO61" s="6" t="s">
        <v>897</v>
      </c>
      <c r="AP61" s="14" t="s">
        <v>898</v>
      </c>
      <c r="AQ61" s="14" t="s">
        <v>899</v>
      </c>
      <c r="AR61" s="20" t="s">
        <v>246</v>
      </c>
      <c r="AS61" s="20"/>
    </row>
    <row r="62" customFormat="false" ht="60" hidden="false" customHeight="true" outlineLevel="0" collapsed="false">
      <c r="A62" s="14" t="n">
        <v>61</v>
      </c>
      <c r="B62" s="14" t="s">
        <v>247</v>
      </c>
      <c r="C62" s="14" t="s">
        <v>221</v>
      </c>
      <c r="D62" s="14" t="s">
        <v>443</v>
      </c>
      <c r="E62" s="14" t="s">
        <v>34</v>
      </c>
      <c r="F62" s="14" t="s">
        <v>223</v>
      </c>
      <c r="G62" s="14" t="s">
        <v>224</v>
      </c>
      <c r="H62" s="14" t="s">
        <v>223</v>
      </c>
      <c r="I62" s="14" t="s">
        <v>338</v>
      </c>
      <c r="J62" s="14" t="s">
        <v>900</v>
      </c>
      <c r="K62" s="14" t="s">
        <v>901</v>
      </c>
      <c r="L62" s="14" t="s">
        <v>902</v>
      </c>
      <c r="M62" s="15" t="n">
        <v>47100</v>
      </c>
      <c r="N62" s="14" t="s">
        <v>462</v>
      </c>
      <c r="O62" s="14" t="s">
        <v>447</v>
      </c>
      <c r="P62" s="16" t="s">
        <v>903</v>
      </c>
      <c r="Q62" s="6" t="s">
        <v>904</v>
      </c>
      <c r="R62" s="6" t="s">
        <v>905</v>
      </c>
      <c r="S62" s="14" t="s">
        <v>906</v>
      </c>
      <c r="T62" s="14" t="s">
        <v>235</v>
      </c>
      <c r="U62" s="14" t="s">
        <v>236</v>
      </c>
      <c r="V62" s="14" t="s">
        <v>907</v>
      </c>
      <c r="W62" s="14" t="s">
        <v>452</v>
      </c>
      <c r="X62" s="14"/>
      <c r="Y62" s="15" t="n">
        <v>1700000</v>
      </c>
      <c r="Z62" s="15"/>
      <c r="AA62" s="14"/>
      <c r="AB62" s="14"/>
      <c r="AC62" s="17"/>
      <c r="AD62" s="18" t="n">
        <v>765</v>
      </c>
      <c r="AE62" s="18" t="n">
        <f aca="false">IF(AD62="","",MIN(AD62,100))</f>
        <v>100</v>
      </c>
      <c r="AF62" s="14"/>
      <c r="AG62" s="14" t="s">
        <v>224</v>
      </c>
      <c r="AH62" s="14" t="n">
        <v>7</v>
      </c>
      <c r="AI62" s="14" t="s">
        <v>224</v>
      </c>
      <c r="AJ62" s="14" t="s">
        <v>224</v>
      </c>
      <c r="AK62" s="14" t="s">
        <v>240</v>
      </c>
      <c r="AL62" s="19" t="n">
        <f aca="false">ROUND('Start Here'!$B$29*AH62+'Start Here'!$B$30*MIN(IF(AD62="",0,AD62),50)/5+IF(M62&lt;=30000,'Start Here'!$B$31,IF(M62&lt;=60000,'Start Here'!$B$32,0)),1)</f>
        <v>7.5</v>
      </c>
      <c r="AM62" s="6" t="s">
        <v>908</v>
      </c>
      <c r="AN62" s="6" t="s">
        <v>909</v>
      </c>
      <c r="AO62" s="6" t="s">
        <v>910</v>
      </c>
      <c r="AP62" s="14" t="s">
        <v>457</v>
      </c>
      <c r="AQ62" s="14" t="s">
        <v>899</v>
      </c>
      <c r="AR62" s="20" t="s">
        <v>246</v>
      </c>
      <c r="AS62" s="20"/>
    </row>
    <row r="63" customFormat="false" ht="60" hidden="false" customHeight="true" outlineLevel="0" collapsed="false">
      <c r="A63" s="14" t="n">
        <v>62</v>
      </c>
      <c r="B63" s="14" t="s">
        <v>247</v>
      </c>
      <c r="C63" s="14" t="s">
        <v>221</v>
      </c>
      <c r="D63" s="14" t="s">
        <v>443</v>
      </c>
      <c r="E63" s="14" t="s">
        <v>36</v>
      </c>
      <c r="F63" s="14" t="s">
        <v>223</v>
      </c>
      <c r="G63" s="14" t="s">
        <v>223</v>
      </c>
      <c r="H63" s="14" t="s">
        <v>223</v>
      </c>
      <c r="I63" s="14" t="s">
        <v>338</v>
      </c>
      <c r="J63" s="14" t="s">
        <v>322</v>
      </c>
      <c r="K63" s="14" t="s">
        <v>911</v>
      </c>
      <c r="L63" s="14" t="s">
        <v>912</v>
      </c>
      <c r="M63" s="15" t="n">
        <v>14400</v>
      </c>
      <c r="N63" s="14" t="s">
        <v>229</v>
      </c>
      <c r="O63" s="14" t="s">
        <v>447</v>
      </c>
      <c r="P63" s="16" t="s">
        <v>913</v>
      </c>
      <c r="Q63" s="6" t="s">
        <v>914</v>
      </c>
      <c r="R63" s="6" t="s">
        <v>915</v>
      </c>
      <c r="S63" s="14" t="s">
        <v>916</v>
      </c>
      <c r="T63" s="14" t="s">
        <v>917</v>
      </c>
      <c r="U63" s="14" t="s">
        <v>236</v>
      </c>
      <c r="V63" s="14" t="s">
        <v>918</v>
      </c>
      <c r="W63" s="14" t="s">
        <v>452</v>
      </c>
      <c r="X63" s="14"/>
      <c r="Y63" s="15" t="n">
        <v>771100</v>
      </c>
      <c r="Z63" s="15"/>
      <c r="AA63" s="14"/>
      <c r="AB63" s="14"/>
      <c r="AC63" s="17"/>
      <c r="AD63" s="18" t="n">
        <v>276.1</v>
      </c>
      <c r="AE63" s="18" t="n">
        <f aca="false">IF(AD63="","",MIN(AD63,100))</f>
        <v>100</v>
      </c>
      <c r="AF63" s="14"/>
      <c r="AG63" s="14" t="s">
        <v>224</v>
      </c>
      <c r="AH63" s="14" t="n">
        <v>5</v>
      </c>
      <c r="AI63" s="14" t="s">
        <v>224</v>
      </c>
      <c r="AJ63" s="14" t="s">
        <v>224</v>
      </c>
      <c r="AK63" s="14" t="s">
        <v>240</v>
      </c>
      <c r="AL63" s="19" t="n">
        <f aca="false">ROUND('Start Here'!$B$29*AH63+'Start Here'!$B$30*MIN(IF(AD63="",0,AD63),50)/5+IF(M63&lt;=30000,'Start Here'!$B$31,IF(M63&lt;=60000,'Start Here'!$B$32,0)),1)</f>
        <v>7.5</v>
      </c>
      <c r="AM63" s="6" t="s">
        <v>919</v>
      </c>
      <c r="AN63" s="6" t="s">
        <v>920</v>
      </c>
      <c r="AO63" s="6" t="s">
        <v>921</v>
      </c>
      <c r="AP63" s="14" t="s">
        <v>922</v>
      </c>
      <c r="AQ63" s="14" t="s">
        <v>923</v>
      </c>
      <c r="AR63" s="20" t="s">
        <v>246</v>
      </c>
      <c r="AS63" s="20"/>
    </row>
    <row r="64" customFormat="false" ht="60" hidden="false" customHeight="true" outlineLevel="0" collapsed="false">
      <c r="A64" s="14" t="n">
        <v>63</v>
      </c>
      <c r="B64" s="14" t="s">
        <v>247</v>
      </c>
      <c r="C64" s="14" t="s">
        <v>442</v>
      </c>
      <c r="D64" s="14" t="s">
        <v>443</v>
      </c>
      <c r="E64" s="14" t="s">
        <v>36</v>
      </c>
      <c r="F64" s="14" t="s">
        <v>223</v>
      </c>
      <c r="G64" s="14" t="s">
        <v>223</v>
      </c>
      <c r="H64" s="14" t="s">
        <v>224</v>
      </c>
      <c r="I64" s="14" t="s">
        <v>364</v>
      </c>
      <c r="J64" s="14" t="s">
        <v>924</v>
      </c>
      <c r="K64" s="14" t="s">
        <v>925</v>
      </c>
      <c r="L64" s="14" t="s">
        <v>926</v>
      </c>
      <c r="M64" s="15" t="n">
        <v>18900</v>
      </c>
      <c r="N64" s="14" t="s">
        <v>229</v>
      </c>
      <c r="O64" s="14" t="s">
        <v>447</v>
      </c>
      <c r="P64" s="16" t="s">
        <v>927</v>
      </c>
      <c r="Q64" s="6" t="s">
        <v>928</v>
      </c>
      <c r="R64" s="6" t="s">
        <v>929</v>
      </c>
      <c r="S64" s="14" t="s">
        <v>330</v>
      </c>
      <c r="T64" s="14" t="s">
        <v>235</v>
      </c>
      <c r="U64" s="14" t="s">
        <v>236</v>
      </c>
      <c r="V64" s="14" t="s">
        <v>930</v>
      </c>
      <c r="W64" s="14" t="s">
        <v>452</v>
      </c>
      <c r="X64" s="14"/>
      <c r="Y64" s="15" t="n">
        <v>263300</v>
      </c>
      <c r="Z64" s="15"/>
      <c r="AA64" s="14"/>
      <c r="AB64" s="14"/>
      <c r="AC64" s="17"/>
      <c r="AD64" s="18" t="n">
        <v>92.8</v>
      </c>
      <c r="AE64" s="18" t="n">
        <f aca="false">IF(AD64="","",MIN(AD64,100))</f>
        <v>92.8</v>
      </c>
      <c r="AF64" s="14"/>
      <c r="AG64" s="14" t="s">
        <v>224</v>
      </c>
      <c r="AH64" s="14" t="n">
        <v>5</v>
      </c>
      <c r="AI64" s="14" t="s">
        <v>224</v>
      </c>
      <c r="AJ64" s="14" t="s">
        <v>224</v>
      </c>
      <c r="AK64" s="14" t="s">
        <v>453</v>
      </c>
      <c r="AL64" s="19" t="n">
        <f aca="false">ROUND('Start Here'!$B$29*AH64+'Start Here'!$B$30*MIN(IF(AD64="",0,AD64),50)/5+IF(M64&lt;=30000,'Start Here'!$B$31,IF(M64&lt;=60000,'Start Here'!$B$32,0)),1)</f>
        <v>7.5</v>
      </c>
      <c r="AM64" s="6" t="s">
        <v>931</v>
      </c>
      <c r="AN64" s="6" t="s">
        <v>932</v>
      </c>
      <c r="AO64" s="6" t="s">
        <v>933</v>
      </c>
      <c r="AP64" s="14" t="s">
        <v>922</v>
      </c>
      <c r="AQ64" s="14" t="s">
        <v>458</v>
      </c>
      <c r="AR64" s="20" t="s">
        <v>246</v>
      </c>
      <c r="AS64" s="20"/>
    </row>
    <row r="65" customFormat="false" ht="60" hidden="false" customHeight="true" outlineLevel="0" collapsed="false">
      <c r="A65" s="14" t="n">
        <v>64</v>
      </c>
      <c r="B65" s="14" t="s">
        <v>247</v>
      </c>
      <c r="C65" s="14" t="s">
        <v>221</v>
      </c>
      <c r="D65" s="14" t="s">
        <v>443</v>
      </c>
      <c r="E65" s="14" t="s">
        <v>36</v>
      </c>
      <c r="F65" s="14" t="s">
        <v>223</v>
      </c>
      <c r="G65" s="14" t="s">
        <v>223</v>
      </c>
      <c r="H65" s="14" t="s">
        <v>224</v>
      </c>
      <c r="I65" s="14" t="s">
        <v>338</v>
      </c>
      <c r="J65" s="14" t="s">
        <v>934</v>
      </c>
      <c r="K65" s="14" t="s">
        <v>935</v>
      </c>
      <c r="L65" s="14" t="s">
        <v>936</v>
      </c>
      <c r="M65" s="15" t="n">
        <v>17500</v>
      </c>
      <c r="N65" s="14" t="s">
        <v>229</v>
      </c>
      <c r="O65" s="14" t="s">
        <v>447</v>
      </c>
      <c r="P65" s="16" t="s">
        <v>937</v>
      </c>
      <c r="Q65" s="6" t="s">
        <v>938</v>
      </c>
      <c r="R65" s="6" t="s">
        <v>939</v>
      </c>
      <c r="S65" s="14" t="s">
        <v>513</v>
      </c>
      <c r="T65" s="14" t="s">
        <v>235</v>
      </c>
      <c r="U65" s="14" t="s">
        <v>236</v>
      </c>
      <c r="V65" s="14" t="s">
        <v>940</v>
      </c>
      <c r="W65" s="14" t="s">
        <v>452</v>
      </c>
      <c r="X65" s="14"/>
      <c r="Y65" s="15" t="n">
        <v>211000</v>
      </c>
      <c r="Z65" s="15"/>
      <c r="AA65" s="14"/>
      <c r="AB65" s="14"/>
      <c r="AC65" s="17"/>
      <c r="AD65" s="18" t="n">
        <v>199.3</v>
      </c>
      <c r="AE65" s="18" t="n">
        <f aca="false">IF(AD65="","",MIN(AD65,100))</f>
        <v>100</v>
      </c>
      <c r="AF65" s="14"/>
      <c r="AG65" s="14" t="s">
        <v>224</v>
      </c>
      <c r="AH65" s="14" t="n">
        <v>5</v>
      </c>
      <c r="AI65" s="14" t="s">
        <v>224</v>
      </c>
      <c r="AJ65" s="14" t="s">
        <v>224</v>
      </c>
      <c r="AK65" s="14" t="s">
        <v>240</v>
      </c>
      <c r="AL65" s="19" t="n">
        <f aca="false">ROUND('Start Here'!$B$29*AH65+'Start Here'!$B$30*MIN(IF(AD65="",0,AD65),50)/5+IF(M65&lt;=30000,'Start Here'!$B$31,IF(M65&lt;=60000,'Start Here'!$B$32,0)),1)</f>
        <v>7.5</v>
      </c>
      <c r="AM65" s="6" t="s">
        <v>941</v>
      </c>
      <c r="AN65" s="6" t="s">
        <v>942</v>
      </c>
      <c r="AO65" s="6" t="s">
        <v>943</v>
      </c>
      <c r="AP65" s="14" t="s">
        <v>457</v>
      </c>
      <c r="AQ65" s="14" t="s">
        <v>747</v>
      </c>
      <c r="AR65" s="20" t="s">
        <v>246</v>
      </c>
      <c r="AS65" s="20"/>
    </row>
    <row r="66" customFormat="false" ht="60" hidden="false" customHeight="true" outlineLevel="0" collapsed="false">
      <c r="A66" s="14" t="n">
        <v>65</v>
      </c>
      <c r="B66" s="14" t="s">
        <v>247</v>
      </c>
      <c r="C66" s="14" t="s">
        <v>442</v>
      </c>
      <c r="D66" s="14" t="s">
        <v>443</v>
      </c>
      <c r="E66" s="14" t="s">
        <v>36</v>
      </c>
      <c r="F66" s="14" t="s">
        <v>223</v>
      </c>
      <c r="G66" s="14" t="s">
        <v>223</v>
      </c>
      <c r="H66" s="14" t="s">
        <v>224</v>
      </c>
      <c r="I66" s="14" t="s">
        <v>364</v>
      </c>
      <c r="J66" s="14" t="s">
        <v>225</v>
      </c>
      <c r="K66" s="14" t="s">
        <v>944</v>
      </c>
      <c r="L66" s="14" t="s">
        <v>945</v>
      </c>
      <c r="M66" s="15" t="n">
        <v>5600</v>
      </c>
      <c r="N66" s="14" t="s">
        <v>283</v>
      </c>
      <c r="O66" s="14" t="s">
        <v>447</v>
      </c>
      <c r="P66" s="16" t="s">
        <v>946</v>
      </c>
      <c r="Q66" s="6" t="s">
        <v>947</v>
      </c>
      <c r="R66" s="6" t="s">
        <v>948</v>
      </c>
      <c r="S66" s="14" t="s">
        <v>255</v>
      </c>
      <c r="T66" s="14" t="s">
        <v>235</v>
      </c>
      <c r="U66" s="14" t="s">
        <v>236</v>
      </c>
      <c r="V66" s="14" t="s">
        <v>895</v>
      </c>
      <c r="W66" s="14" t="s">
        <v>452</v>
      </c>
      <c r="X66" s="14"/>
      <c r="Y66" s="15" t="n">
        <v>151400</v>
      </c>
      <c r="Z66" s="15"/>
      <c r="AA66" s="14"/>
      <c r="AB66" s="14"/>
      <c r="AC66" s="17"/>
      <c r="AD66" s="18" t="n">
        <v>52.6</v>
      </c>
      <c r="AE66" s="18" t="n">
        <f aca="false">IF(AD66="","",MIN(AD66,100))</f>
        <v>52.6</v>
      </c>
      <c r="AF66" s="14"/>
      <c r="AG66" s="14" t="s">
        <v>224</v>
      </c>
      <c r="AH66" s="14" t="n">
        <v>5</v>
      </c>
      <c r="AI66" s="14" t="s">
        <v>224</v>
      </c>
      <c r="AJ66" s="14" t="s">
        <v>224</v>
      </c>
      <c r="AK66" s="14" t="s">
        <v>453</v>
      </c>
      <c r="AL66" s="19" t="n">
        <f aca="false">ROUND('Start Here'!$B$29*AH66+'Start Here'!$B$30*MIN(IF(AD66="",0,AD66),50)/5+IF(M66&lt;=30000,'Start Here'!$B$31,IF(M66&lt;=60000,'Start Here'!$B$32,0)),1)</f>
        <v>7.5</v>
      </c>
      <c r="AM66" s="6" t="s">
        <v>949</v>
      </c>
      <c r="AN66" s="6" t="s">
        <v>950</v>
      </c>
      <c r="AO66" s="6" t="s">
        <v>951</v>
      </c>
      <c r="AP66" s="14" t="s">
        <v>922</v>
      </c>
      <c r="AQ66" s="14" t="s">
        <v>952</v>
      </c>
      <c r="AR66" s="20" t="s">
        <v>246</v>
      </c>
      <c r="AS66" s="20"/>
    </row>
    <row r="67" customFormat="false" ht="60" hidden="false" customHeight="true" outlineLevel="0" collapsed="false">
      <c r="A67" s="14" t="n">
        <v>66</v>
      </c>
      <c r="B67" s="14" t="s">
        <v>220</v>
      </c>
      <c r="C67" s="14" t="s">
        <v>221</v>
      </c>
      <c r="D67" s="14" t="s">
        <v>222</v>
      </c>
      <c r="E67" s="14" t="s">
        <v>36</v>
      </c>
      <c r="F67" s="14" t="s">
        <v>223</v>
      </c>
      <c r="G67" s="14" t="s">
        <v>223</v>
      </c>
      <c r="H67" s="14" t="s">
        <v>223</v>
      </c>
      <c r="I67" s="14" t="s">
        <v>375</v>
      </c>
      <c r="J67" s="14" t="s">
        <v>924</v>
      </c>
      <c r="K67" s="14" t="s">
        <v>953</v>
      </c>
      <c r="L67" s="14" t="s">
        <v>954</v>
      </c>
      <c r="M67" s="15" t="n">
        <v>23777</v>
      </c>
      <c r="N67" s="14" t="s">
        <v>298</v>
      </c>
      <c r="O67" s="14" t="s">
        <v>955</v>
      </c>
      <c r="P67" s="16" t="s">
        <v>956</v>
      </c>
      <c r="Q67" s="6" t="s">
        <v>957</v>
      </c>
      <c r="R67" s="6" t="s">
        <v>957</v>
      </c>
      <c r="S67" s="14" t="s">
        <v>234</v>
      </c>
      <c r="T67" s="14" t="s">
        <v>235</v>
      </c>
      <c r="U67" s="14" t="s">
        <v>236</v>
      </c>
      <c r="V67" s="14" t="s">
        <v>237</v>
      </c>
      <c r="W67" s="14" t="s">
        <v>238</v>
      </c>
      <c r="X67" s="14" t="s">
        <v>239</v>
      </c>
      <c r="Y67" s="15" t="n">
        <v>284556</v>
      </c>
      <c r="Z67" s="15" t="n">
        <v>2213</v>
      </c>
      <c r="AA67" s="14" t="n">
        <v>23</v>
      </c>
      <c r="AB67" s="14" t="n">
        <v>64</v>
      </c>
      <c r="AC67" s="17" t="n">
        <v>0.00808276753960556</v>
      </c>
      <c r="AD67" s="18" t="n">
        <v>57.3</v>
      </c>
      <c r="AE67" s="18" t="n">
        <f aca="false">IF(AD67="","",MIN(AD67,100))</f>
        <v>57.3</v>
      </c>
      <c r="AF67" s="14" t="n">
        <v>99.1</v>
      </c>
      <c r="AG67" s="14" t="s">
        <v>224</v>
      </c>
      <c r="AH67" s="14" t="n">
        <v>4.9</v>
      </c>
      <c r="AI67" s="14" t="s">
        <v>223</v>
      </c>
      <c r="AJ67" s="14" t="s">
        <v>224</v>
      </c>
      <c r="AK67" s="14" t="s">
        <v>240</v>
      </c>
      <c r="AL67" s="19" t="n">
        <f aca="false">ROUND('Start Here'!$B$29*AH67+'Start Here'!$B$30*MIN(IF(AD67="",0,AD67),50)/5+IF(M67&lt;=30000,'Start Here'!$B$31,IF(M67&lt;=60000,'Start Here'!$B$32,0)),1)</f>
        <v>7.5</v>
      </c>
      <c r="AM67" s="6" t="s">
        <v>958</v>
      </c>
      <c r="AN67" s="6" t="s">
        <v>959</v>
      </c>
      <c r="AO67" s="6" t="s">
        <v>960</v>
      </c>
      <c r="AP67" s="14" t="s">
        <v>961</v>
      </c>
      <c r="AQ67" s="14" t="s">
        <v>386</v>
      </c>
      <c r="AR67" s="20" t="s">
        <v>246</v>
      </c>
      <c r="AS67" s="20"/>
    </row>
    <row r="68" customFormat="false" ht="60" hidden="false" customHeight="true" outlineLevel="0" collapsed="false">
      <c r="A68" s="14" t="n">
        <v>67</v>
      </c>
      <c r="B68" s="14" t="s">
        <v>220</v>
      </c>
      <c r="C68" s="14" t="s">
        <v>221</v>
      </c>
      <c r="D68" s="14" t="s">
        <v>222</v>
      </c>
      <c r="E68" s="14" t="s">
        <v>36</v>
      </c>
      <c r="F68" s="14" t="s">
        <v>223</v>
      </c>
      <c r="G68" s="14" t="s">
        <v>223</v>
      </c>
      <c r="H68" s="14" t="s">
        <v>224</v>
      </c>
      <c r="I68" s="14" t="s">
        <v>322</v>
      </c>
      <c r="J68" s="14" t="s">
        <v>962</v>
      </c>
      <c r="K68" s="14" t="s">
        <v>963</v>
      </c>
      <c r="L68" s="14" t="s">
        <v>964</v>
      </c>
      <c r="M68" s="15" t="n">
        <v>13198</v>
      </c>
      <c r="N68" s="14" t="s">
        <v>229</v>
      </c>
      <c r="O68" s="14" t="s">
        <v>965</v>
      </c>
      <c r="P68" s="16" t="s">
        <v>966</v>
      </c>
      <c r="Q68" s="6" t="s">
        <v>967</v>
      </c>
      <c r="R68" s="6" t="s">
        <v>968</v>
      </c>
      <c r="S68" s="14" t="s">
        <v>330</v>
      </c>
      <c r="T68" s="14" t="s">
        <v>235</v>
      </c>
      <c r="U68" s="14" t="s">
        <v>346</v>
      </c>
      <c r="V68" s="14" t="s">
        <v>237</v>
      </c>
      <c r="W68" s="14" t="s">
        <v>257</v>
      </c>
      <c r="X68" s="14" t="s">
        <v>239</v>
      </c>
      <c r="Y68" s="15" t="n">
        <v>381948</v>
      </c>
      <c r="Z68" s="15" t="n">
        <v>1812</v>
      </c>
      <c r="AA68" s="14" t="n">
        <v>111</v>
      </c>
      <c r="AB68" s="14" t="n">
        <v>142</v>
      </c>
      <c r="AC68" s="17" t="n">
        <v>0.00540649512499084</v>
      </c>
      <c r="AD68" s="18" t="n">
        <v>895.76</v>
      </c>
      <c r="AE68" s="18" t="n">
        <f aca="false">IF(AD68="","",MIN(AD68,100))</f>
        <v>100</v>
      </c>
      <c r="AF68" s="14" t="n">
        <v>99.8</v>
      </c>
      <c r="AG68" s="14" t="s">
        <v>224</v>
      </c>
      <c r="AH68" s="14" t="n">
        <v>4.9</v>
      </c>
      <c r="AI68" s="14" t="s">
        <v>223</v>
      </c>
      <c r="AJ68" s="14" t="s">
        <v>224</v>
      </c>
      <c r="AK68" s="14" t="s">
        <v>240</v>
      </c>
      <c r="AL68" s="19" t="n">
        <f aca="false">ROUND('Start Here'!$B$29*AH68+'Start Here'!$B$30*MIN(IF(AD68="",0,AD68),50)/5+IF(M68&lt;=30000,'Start Here'!$B$31,IF(M68&lt;=60000,'Start Here'!$B$32,0)),1)</f>
        <v>7.5</v>
      </c>
      <c r="AM68" s="6" t="s">
        <v>415</v>
      </c>
      <c r="AN68" s="6" t="s">
        <v>335</v>
      </c>
      <c r="AO68" s="6" t="s">
        <v>969</v>
      </c>
      <c r="AP68" s="14" t="s">
        <v>970</v>
      </c>
      <c r="AQ68" s="14" t="s">
        <v>373</v>
      </c>
      <c r="AR68" s="20" t="s">
        <v>246</v>
      </c>
      <c r="AS68" s="20"/>
    </row>
    <row r="69" customFormat="false" ht="60" hidden="false" customHeight="true" outlineLevel="0" collapsed="false">
      <c r="A69" s="14" t="n">
        <v>68</v>
      </c>
      <c r="B69" s="14" t="s">
        <v>247</v>
      </c>
      <c r="C69" s="14" t="s">
        <v>221</v>
      </c>
      <c r="D69" s="14" t="s">
        <v>443</v>
      </c>
      <c r="E69" s="14" t="s">
        <v>36</v>
      </c>
      <c r="F69" s="14" t="s">
        <v>223</v>
      </c>
      <c r="G69" s="14" t="s">
        <v>223</v>
      </c>
      <c r="H69" s="14" t="s">
        <v>224</v>
      </c>
      <c r="I69" s="14" t="s">
        <v>225</v>
      </c>
      <c r="J69" s="14" t="s">
        <v>971</v>
      </c>
      <c r="K69" s="14" t="s">
        <v>637</v>
      </c>
      <c r="L69" s="14" t="s">
        <v>638</v>
      </c>
      <c r="M69" s="15" t="n">
        <v>20800</v>
      </c>
      <c r="N69" s="14" t="s">
        <v>298</v>
      </c>
      <c r="O69" s="14" t="s">
        <v>447</v>
      </c>
      <c r="P69" s="16" t="s">
        <v>972</v>
      </c>
      <c r="Q69" s="6" t="s">
        <v>640</v>
      </c>
      <c r="R69" s="6" t="s">
        <v>973</v>
      </c>
      <c r="S69" s="14" t="s">
        <v>330</v>
      </c>
      <c r="T69" s="14" t="s">
        <v>235</v>
      </c>
      <c r="U69" s="14" t="s">
        <v>236</v>
      </c>
      <c r="V69" s="14" t="s">
        <v>642</v>
      </c>
      <c r="W69" s="14" t="s">
        <v>452</v>
      </c>
      <c r="X69" s="14"/>
      <c r="Y69" s="15" t="n">
        <v>162700</v>
      </c>
      <c r="Z69" s="15"/>
      <c r="AA69" s="14"/>
      <c r="AB69" s="14"/>
      <c r="AC69" s="17"/>
      <c r="AD69" s="18" t="n">
        <v>629.2</v>
      </c>
      <c r="AE69" s="18" t="n">
        <f aca="false">IF(AD69="","",MIN(AD69,100))</f>
        <v>100</v>
      </c>
      <c r="AF69" s="14"/>
      <c r="AG69" s="14" t="s">
        <v>224</v>
      </c>
      <c r="AH69" s="14" t="n">
        <v>4.9</v>
      </c>
      <c r="AI69" s="14" t="s">
        <v>223</v>
      </c>
      <c r="AJ69" s="14" t="s">
        <v>224</v>
      </c>
      <c r="AK69" s="14" t="s">
        <v>240</v>
      </c>
      <c r="AL69" s="19" t="n">
        <f aca="false">ROUND('Start Here'!$B$29*AH69+'Start Here'!$B$30*MIN(IF(AD69="",0,AD69),50)/5+IF(M69&lt;=30000,'Start Here'!$B$31,IF(M69&lt;=60000,'Start Here'!$B$32,0)),1)</f>
        <v>7.5</v>
      </c>
      <c r="AM69" s="6" t="s">
        <v>974</v>
      </c>
      <c r="AN69" s="6" t="s">
        <v>975</v>
      </c>
      <c r="AO69" s="6" t="s">
        <v>976</v>
      </c>
      <c r="AP69" s="14" t="s">
        <v>561</v>
      </c>
      <c r="AQ69" s="14" t="s">
        <v>574</v>
      </c>
      <c r="AR69" s="20" t="s">
        <v>246</v>
      </c>
      <c r="AS69" s="20"/>
    </row>
    <row r="70" customFormat="false" ht="60" hidden="false" customHeight="true" outlineLevel="0" collapsed="false">
      <c r="A70" s="14" t="n">
        <v>69</v>
      </c>
      <c r="B70" s="14" t="s">
        <v>220</v>
      </c>
      <c r="C70" s="14" t="s">
        <v>221</v>
      </c>
      <c r="D70" s="14" t="s">
        <v>222</v>
      </c>
      <c r="E70" s="14" t="s">
        <v>36</v>
      </c>
      <c r="F70" s="14" t="s">
        <v>224</v>
      </c>
      <c r="G70" s="14" t="s">
        <v>223</v>
      </c>
      <c r="H70" s="14" t="s">
        <v>224</v>
      </c>
      <c r="I70" s="14" t="s">
        <v>225</v>
      </c>
      <c r="J70" s="14" t="s">
        <v>575</v>
      </c>
      <c r="K70" s="14" t="s">
        <v>310</v>
      </c>
      <c r="L70" s="14" t="s">
        <v>311</v>
      </c>
      <c r="M70" s="15" t="n">
        <v>10660</v>
      </c>
      <c r="N70" s="14" t="s">
        <v>229</v>
      </c>
      <c r="O70" s="14" t="s">
        <v>977</v>
      </c>
      <c r="P70" s="16" t="s">
        <v>978</v>
      </c>
      <c r="Q70" s="6" t="s">
        <v>979</v>
      </c>
      <c r="R70" s="6" t="s">
        <v>980</v>
      </c>
      <c r="S70" s="14" t="s">
        <v>234</v>
      </c>
      <c r="T70" s="14" t="s">
        <v>235</v>
      </c>
      <c r="U70" s="14" t="s">
        <v>236</v>
      </c>
      <c r="V70" s="14" t="s">
        <v>237</v>
      </c>
      <c r="W70" s="14" t="s">
        <v>257</v>
      </c>
      <c r="X70" s="14" t="s">
        <v>239</v>
      </c>
      <c r="Y70" s="15" t="n">
        <v>20732</v>
      </c>
      <c r="Z70" s="15" t="n">
        <v>258</v>
      </c>
      <c r="AA70" s="14" t="n">
        <v>49</v>
      </c>
      <c r="AB70" s="14" t="n">
        <v>31</v>
      </c>
      <c r="AC70" s="17" t="n">
        <v>0.01630329924754</v>
      </c>
      <c r="AD70" s="18" t="n">
        <v>7.19</v>
      </c>
      <c r="AE70" s="18" t="n">
        <f aca="false">IF(AD70="","",MIN(AD70,100))</f>
        <v>7.19</v>
      </c>
      <c r="AF70" s="14" t="n">
        <v>96.2</v>
      </c>
      <c r="AG70" s="14" t="s">
        <v>224</v>
      </c>
      <c r="AH70" s="14" t="n">
        <v>10</v>
      </c>
      <c r="AI70" s="14" t="s">
        <v>224</v>
      </c>
      <c r="AJ70" s="14" t="s">
        <v>224</v>
      </c>
      <c r="AK70" s="14" t="s">
        <v>240</v>
      </c>
      <c r="AL70" s="19" t="n">
        <f aca="false">ROUND('Start Here'!$B$29*AH70+'Start Here'!$B$30*MIN(IF(AD70="",0,AD70),50)/5+IF(M70&lt;=30000,'Start Here'!$B$31,IF(M70&lt;=60000,'Start Here'!$B$32,0)),1)</f>
        <v>7.4</v>
      </c>
      <c r="AM70" s="6" t="s">
        <v>503</v>
      </c>
      <c r="AN70" s="6" t="s">
        <v>242</v>
      </c>
      <c r="AO70" s="6" t="s">
        <v>981</v>
      </c>
      <c r="AP70" s="14" t="s">
        <v>982</v>
      </c>
      <c r="AQ70" s="14" t="s">
        <v>386</v>
      </c>
      <c r="AR70" s="20" t="s">
        <v>246</v>
      </c>
      <c r="AS70" s="20"/>
    </row>
    <row r="71" customFormat="false" ht="60" hidden="false" customHeight="true" outlineLevel="0" collapsed="false">
      <c r="A71" s="14" t="n">
        <v>70</v>
      </c>
      <c r="B71" s="14" t="s">
        <v>220</v>
      </c>
      <c r="C71" s="14" t="s">
        <v>221</v>
      </c>
      <c r="D71" s="14" t="s">
        <v>222</v>
      </c>
      <c r="E71" s="14" t="s">
        <v>36</v>
      </c>
      <c r="F71" s="14" t="s">
        <v>224</v>
      </c>
      <c r="G71" s="14" t="s">
        <v>223</v>
      </c>
      <c r="H71" s="14" t="s">
        <v>224</v>
      </c>
      <c r="I71" s="14" t="s">
        <v>308</v>
      </c>
      <c r="J71" s="14" t="s">
        <v>983</v>
      </c>
      <c r="K71" s="14" t="s">
        <v>421</v>
      </c>
      <c r="L71" s="14" t="s">
        <v>422</v>
      </c>
      <c r="M71" s="15" t="n">
        <v>13265</v>
      </c>
      <c r="N71" s="14" t="s">
        <v>229</v>
      </c>
      <c r="O71" s="14" t="s">
        <v>984</v>
      </c>
      <c r="P71" s="16" t="s">
        <v>985</v>
      </c>
      <c r="Q71" s="6" t="s">
        <v>986</v>
      </c>
      <c r="R71" s="6" t="s">
        <v>987</v>
      </c>
      <c r="S71" s="14" t="s">
        <v>685</v>
      </c>
      <c r="T71" s="14" t="s">
        <v>235</v>
      </c>
      <c r="U71" s="14" t="s">
        <v>686</v>
      </c>
      <c r="V71" s="14" t="s">
        <v>331</v>
      </c>
      <c r="W71" s="14" t="s">
        <v>257</v>
      </c>
      <c r="X71" s="14" t="s">
        <v>258</v>
      </c>
      <c r="Y71" s="15" t="n">
        <v>11000</v>
      </c>
      <c r="Z71" s="15" t="n">
        <v>107</v>
      </c>
      <c r="AA71" s="14" t="n">
        <v>11</v>
      </c>
      <c r="AB71" s="14" t="n">
        <v>15</v>
      </c>
      <c r="AC71" s="17" t="n">
        <v>0.0120909090909091</v>
      </c>
      <c r="AD71" s="18" t="n">
        <v>7.08</v>
      </c>
      <c r="AE71" s="18" t="n">
        <f aca="false">IF(AD71="","",MIN(AD71,100))</f>
        <v>7.08</v>
      </c>
      <c r="AF71" s="14" t="n">
        <v>84.6</v>
      </c>
      <c r="AG71" s="14" t="s">
        <v>224</v>
      </c>
      <c r="AH71" s="14" t="n">
        <v>10</v>
      </c>
      <c r="AI71" s="14" t="s">
        <v>224</v>
      </c>
      <c r="AJ71" s="14" t="s">
        <v>224</v>
      </c>
      <c r="AK71" s="14" t="s">
        <v>240</v>
      </c>
      <c r="AL71" s="19" t="n">
        <f aca="false">ROUND('Start Here'!$B$29*AH71+'Start Here'!$B$30*MIN(IF(AD71="",0,AD71),50)/5+IF(M71&lt;=30000,'Start Here'!$B$31,IF(M71&lt;=60000,'Start Here'!$B$32,0)),1)</f>
        <v>7.4</v>
      </c>
      <c r="AM71" s="6" t="s">
        <v>988</v>
      </c>
      <c r="AN71" s="6" t="s">
        <v>989</v>
      </c>
      <c r="AO71" s="6" t="s">
        <v>990</v>
      </c>
      <c r="AP71" s="14" t="s">
        <v>991</v>
      </c>
      <c r="AQ71" s="14" t="s">
        <v>351</v>
      </c>
      <c r="AR71" s="20" t="s">
        <v>246</v>
      </c>
      <c r="AS71" s="20"/>
    </row>
    <row r="72" customFormat="false" ht="60" hidden="false" customHeight="true" outlineLevel="0" collapsed="false">
      <c r="A72" s="14" t="n">
        <v>71</v>
      </c>
      <c r="B72" s="14" t="s">
        <v>247</v>
      </c>
      <c r="C72" s="14" t="s">
        <v>221</v>
      </c>
      <c r="D72" s="14" t="s">
        <v>222</v>
      </c>
      <c r="E72" s="14" t="s">
        <v>34</v>
      </c>
      <c r="F72" s="14" t="s">
        <v>223</v>
      </c>
      <c r="G72" s="14" t="s">
        <v>224</v>
      </c>
      <c r="H72" s="14" t="s">
        <v>224</v>
      </c>
      <c r="I72" s="14" t="s">
        <v>375</v>
      </c>
      <c r="J72" s="14" t="s">
        <v>624</v>
      </c>
      <c r="K72" s="14" t="s">
        <v>460</v>
      </c>
      <c r="L72" s="14" t="s">
        <v>461</v>
      </c>
      <c r="M72" s="15" t="n">
        <v>46241</v>
      </c>
      <c r="N72" s="14" t="s">
        <v>462</v>
      </c>
      <c r="O72" s="14" t="s">
        <v>992</v>
      </c>
      <c r="P72" s="16" t="s">
        <v>993</v>
      </c>
      <c r="Q72" s="6" t="s">
        <v>994</v>
      </c>
      <c r="R72" s="6" t="s">
        <v>995</v>
      </c>
      <c r="S72" s="14" t="s">
        <v>234</v>
      </c>
      <c r="T72" s="14" t="s">
        <v>235</v>
      </c>
      <c r="U72" s="14" t="s">
        <v>346</v>
      </c>
      <c r="V72" s="14" t="s">
        <v>256</v>
      </c>
      <c r="W72" s="14" t="s">
        <v>275</v>
      </c>
      <c r="X72" s="14" t="s">
        <v>239</v>
      </c>
      <c r="Y72" s="15" t="n">
        <v>42229</v>
      </c>
      <c r="Z72" s="15" t="n">
        <v>966</v>
      </c>
      <c r="AA72" s="14" t="n">
        <v>4</v>
      </c>
      <c r="AB72" s="14"/>
      <c r="AC72" s="17" t="n">
        <v>0.0229699969215468</v>
      </c>
      <c r="AD72" s="18" t="n">
        <v>23.62</v>
      </c>
      <c r="AE72" s="18" t="n">
        <f aca="false">IF(AD72="","",MIN(AD72,100))</f>
        <v>23.62</v>
      </c>
      <c r="AF72" s="14" t="n">
        <v>96.7</v>
      </c>
      <c r="AG72" s="14" t="s">
        <v>224</v>
      </c>
      <c r="AH72" s="14" t="n">
        <v>10</v>
      </c>
      <c r="AI72" s="14" t="s">
        <v>224</v>
      </c>
      <c r="AJ72" s="14" t="s">
        <v>224</v>
      </c>
      <c r="AK72" s="14" t="s">
        <v>240</v>
      </c>
      <c r="AL72" s="19" t="n">
        <f aca="false">ROUND('Start Here'!$B$29*AH72+'Start Here'!$B$30*MIN(IF(AD72="",0,AD72),50)/5+IF(M72&lt;=30000,'Start Here'!$B$31,IF(M72&lt;=60000,'Start Here'!$B$32,0)),1)</f>
        <v>7.4</v>
      </c>
      <c r="AM72" s="6" t="s">
        <v>503</v>
      </c>
      <c r="AN72" s="6" t="s">
        <v>996</v>
      </c>
      <c r="AO72" s="6" t="s">
        <v>997</v>
      </c>
      <c r="AP72" s="14" t="s">
        <v>998</v>
      </c>
      <c r="AQ72" s="14" t="s">
        <v>524</v>
      </c>
      <c r="AR72" s="20" t="s">
        <v>246</v>
      </c>
      <c r="AS72" s="20"/>
    </row>
    <row r="73" customFormat="false" ht="60" hidden="false" customHeight="true" outlineLevel="0" collapsed="false">
      <c r="A73" s="14" t="n">
        <v>72</v>
      </c>
      <c r="B73" s="14" t="s">
        <v>220</v>
      </c>
      <c r="C73" s="14" t="s">
        <v>221</v>
      </c>
      <c r="D73" s="14" t="s">
        <v>222</v>
      </c>
      <c r="E73" s="14" t="s">
        <v>36</v>
      </c>
      <c r="F73" s="14" t="s">
        <v>223</v>
      </c>
      <c r="G73" s="14" t="s">
        <v>223</v>
      </c>
      <c r="H73" s="14" t="s">
        <v>224</v>
      </c>
      <c r="I73" s="14" t="s">
        <v>225</v>
      </c>
      <c r="J73" s="14" t="s">
        <v>999</v>
      </c>
      <c r="K73" s="14" t="s">
        <v>1000</v>
      </c>
      <c r="L73" s="14" t="s">
        <v>1001</v>
      </c>
      <c r="M73" s="15" t="n">
        <v>5892</v>
      </c>
      <c r="N73" s="14" t="s">
        <v>283</v>
      </c>
      <c r="O73" s="14" t="s">
        <v>1002</v>
      </c>
      <c r="P73" s="16" t="s">
        <v>1003</v>
      </c>
      <c r="Q73" s="6" t="s">
        <v>1004</v>
      </c>
      <c r="R73" s="6" t="s">
        <v>1005</v>
      </c>
      <c r="S73" s="14" t="s">
        <v>255</v>
      </c>
      <c r="T73" s="14" t="s">
        <v>235</v>
      </c>
      <c r="U73" s="14" t="s">
        <v>236</v>
      </c>
      <c r="V73" s="14" t="s">
        <v>331</v>
      </c>
      <c r="W73" s="14" t="s">
        <v>238</v>
      </c>
      <c r="X73" s="14" t="s">
        <v>239</v>
      </c>
      <c r="Y73" s="15" t="n">
        <v>20004</v>
      </c>
      <c r="Z73" s="15" t="n">
        <v>97</v>
      </c>
      <c r="AA73" s="14" t="n">
        <v>10</v>
      </c>
      <c r="AB73" s="14" t="n">
        <v>12</v>
      </c>
      <c r="AC73" s="17" t="n">
        <v>0.00594881023795241</v>
      </c>
      <c r="AD73" s="18" t="n">
        <v>39.8</v>
      </c>
      <c r="AE73" s="18" t="n">
        <f aca="false">IF(AD73="","",MIN(AD73,100))</f>
        <v>39.8</v>
      </c>
      <c r="AF73" s="14" t="n">
        <v>91.7</v>
      </c>
      <c r="AG73" s="14" t="s">
        <v>224</v>
      </c>
      <c r="AH73" s="14" t="n">
        <v>6</v>
      </c>
      <c r="AI73" s="14" t="s">
        <v>224</v>
      </c>
      <c r="AJ73" s="14" t="s">
        <v>224</v>
      </c>
      <c r="AK73" s="14" t="s">
        <v>240</v>
      </c>
      <c r="AL73" s="19" t="n">
        <f aca="false">ROUND('Start Here'!$B$29*AH73+'Start Here'!$B$30*MIN(IF(AD73="",0,AD73),50)/5+IF(M73&lt;=30000,'Start Here'!$B$31,IF(M73&lt;=60000,'Start Here'!$B$32,0)),1)</f>
        <v>7.4</v>
      </c>
      <c r="AM73" s="6" t="s">
        <v>259</v>
      </c>
      <c r="AN73" s="6" t="s">
        <v>674</v>
      </c>
      <c r="AO73" s="6" t="s">
        <v>1006</v>
      </c>
      <c r="AP73" s="14" t="s">
        <v>1007</v>
      </c>
      <c r="AQ73" s="14" t="s">
        <v>409</v>
      </c>
      <c r="AR73" s="20" t="s">
        <v>246</v>
      </c>
      <c r="AS73" s="20"/>
    </row>
    <row r="74" customFormat="false" ht="60" hidden="false" customHeight="true" outlineLevel="0" collapsed="false">
      <c r="A74" s="14" t="n">
        <v>73</v>
      </c>
      <c r="B74" s="14" t="s">
        <v>220</v>
      </c>
      <c r="C74" s="14" t="s">
        <v>221</v>
      </c>
      <c r="D74" s="14" t="s">
        <v>222</v>
      </c>
      <c r="E74" s="14" t="s">
        <v>36</v>
      </c>
      <c r="F74" s="14" t="s">
        <v>223</v>
      </c>
      <c r="G74" s="14" t="s">
        <v>223</v>
      </c>
      <c r="H74" s="14" t="s">
        <v>224</v>
      </c>
      <c r="I74" s="14" t="s">
        <v>338</v>
      </c>
      <c r="J74" s="14" t="s">
        <v>1008</v>
      </c>
      <c r="K74" s="14" t="s">
        <v>507</v>
      </c>
      <c r="L74" s="14" t="s">
        <v>508</v>
      </c>
      <c r="M74" s="15" t="n">
        <v>12398</v>
      </c>
      <c r="N74" s="14" t="s">
        <v>229</v>
      </c>
      <c r="O74" s="14" t="s">
        <v>1009</v>
      </c>
      <c r="P74" s="16" t="s">
        <v>1010</v>
      </c>
      <c r="Q74" s="6" t="s">
        <v>1011</v>
      </c>
      <c r="R74" s="6" t="s">
        <v>1012</v>
      </c>
      <c r="S74" s="14" t="s">
        <v>685</v>
      </c>
      <c r="T74" s="14" t="s">
        <v>235</v>
      </c>
      <c r="U74" s="14" t="s">
        <v>686</v>
      </c>
      <c r="V74" s="14" t="s">
        <v>1013</v>
      </c>
      <c r="W74" s="14" t="s">
        <v>332</v>
      </c>
      <c r="X74" s="14" t="s">
        <v>333</v>
      </c>
      <c r="Y74" s="15" t="n">
        <v>18875</v>
      </c>
      <c r="Z74" s="15" t="n">
        <v>200</v>
      </c>
      <c r="AA74" s="14" t="n">
        <v>18</v>
      </c>
      <c r="AB74" s="14" t="n">
        <v>15</v>
      </c>
      <c r="AC74" s="17" t="n">
        <v>0.0123443708609272</v>
      </c>
      <c r="AD74" s="18" t="n">
        <v>27.02</v>
      </c>
      <c r="AE74" s="18" t="n">
        <f aca="false">IF(AD74="","",MIN(AD74,100))</f>
        <v>27.02</v>
      </c>
      <c r="AF74" s="14" t="n">
        <v>87.5</v>
      </c>
      <c r="AG74" s="14" t="s">
        <v>224</v>
      </c>
      <c r="AH74" s="14" t="n">
        <v>7.5</v>
      </c>
      <c r="AI74" s="14" t="s">
        <v>224</v>
      </c>
      <c r="AJ74" s="14" t="s">
        <v>223</v>
      </c>
      <c r="AK74" s="14" t="s">
        <v>490</v>
      </c>
      <c r="AL74" s="19" t="n">
        <f aca="false">ROUND('Start Here'!$B$29*AH74+'Start Here'!$B$30*MIN(IF(AD74="",0,AD74),50)/5+IF(M74&lt;=30000,'Start Here'!$B$31,IF(M74&lt;=60000,'Start Here'!$B$32,0)),1)</f>
        <v>7.4</v>
      </c>
      <c r="AM74" s="6" t="s">
        <v>726</v>
      </c>
      <c r="AN74" s="6" t="s">
        <v>1014</v>
      </c>
      <c r="AO74" s="6" t="s">
        <v>1015</v>
      </c>
      <c r="AP74" s="14" t="s">
        <v>1016</v>
      </c>
      <c r="AQ74" s="14" t="s">
        <v>538</v>
      </c>
      <c r="AR74" s="20" t="s">
        <v>246</v>
      </c>
      <c r="AS74" s="20"/>
    </row>
    <row r="75" customFormat="false" ht="60" hidden="false" customHeight="true" outlineLevel="0" collapsed="false">
      <c r="A75" s="14" t="n">
        <v>74</v>
      </c>
      <c r="B75" s="14" t="s">
        <v>220</v>
      </c>
      <c r="C75" s="14" t="s">
        <v>221</v>
      </c>
      <c r="D75" s="14" t="s">
        <v>222</v>
      </c>
      <c r="E75" s="14" t="s">
        <v>40</v>
      </c>
      <c r="F75" s="14" t="s">
        <v>224</v>
      </c>
      <c r="G75" s="14" t="s">
        <v>224</v>
      </c>
      <c r="H75" s="14" t="s">
        <v>224</v>
      </c>
      <c r="I75" s="14" t="s">
        <v>308</v>
      </c>
      <c r="J75" s="14" t="s">
        <v>1017</v>
      </c>
      <c r="K75" s="14" t="s">
        <v>1018</v>
      </c>
      <c r="L75" s="14" t="s">
        <v>1019</v>
      </c>
      <c r="M75" s="15" t="n">
        <v>7003</v>
      </c>
      <c r="N75" s="14" t="s">
        <v>283</v>
      </c>
      <c r="O75" s="14" t="s">
        <v>1020</v>
      </c>
      <c r="P75" s="16" t="s">
        <v>1021</v>
      </c>
      <c r="Q75" s="6" t="s">
        <v>1022</v>
      </c>
      <c r="R75" s="6" t="s">
        <v>1023</v>
      </c>
      <c r="S75" s="14" t="s">
        <v>234</v>
      </c>
      <c r="T75" s="14" t="s">
        <v>235</v>
      </c>
      <c r="U75" s="14" t="s">
        <v>236</v>
      </c>
      <c r="V75" s="14" t="s">
        <v>331</v>
      </c>
      <c r="W75" s="14" t="s">
        <v>238</v>
      </c>
      <c r="X75" s="14" t="s">
        <v>239</v>
      </c>
      <c r="Y75" s="15" t="n">
        <v>8491</v>
      </c>
      <c r="Z75" s="15" t="n">
        <v>102</v>
      </c>
      <c r="AA75" s="14" t="n">
        <v>9</v>
      </c>
      <c r="AB75" s="14" t="n">
        <v>5</v>
      </c>
      <c r="AC75" s="17" t="n">
        <v>0.0136615239665528</v>
      </c>
      <c r="AD75" s="18" t="n">
        <v>4.64</v>
      </c>
      <c r="AE75" s="18" t="n">
        <f aca="false">IF(AD75="","",MIN(AD75,100))</f>
        <v>4.64</v>
      </c>
      <c r="AF75" s="14" t="n">
        <v>92.7</v>
      </c>
      <c r="AG75" s="14" t="s">
        <v>224</v>
      </c>
      <c r="AH75" s="14" t="n">
        <v>10</v>
      </c>
      <c r="AI75" s="14" t="s">
        <v>224</v>
      </c>
      <c r="AJ75" s="14" t="s">
        <v>224</v>
      </c>
      <c r="AK75" s="14" t="s">
        <v>240</v>
      </c>
      <c r="AL75" s="19" t="n">
        <f aca="false">ROUND('Start Here'!$B$29*AH75+'Start Here'!$B$30*MIN(IF(AD75="",0,AD75),50)/5+IF(M75&lt;=30000,'Start Here'!$B$31,IF(M75&lt;=60000,'Start Here'!$B$32,0)),1)</f>
        <v>7.3</v>
      </c>
      <c r="AM75" s="6" t="s">
        <v>958</v>
      </c>
      <c r="AN75" s="6" t="s">
        <v>1024</v>
      </c>
      <c r="AO75" s="6" t="s">
        <v>1025</v>
      </c>
      <c r="AP75" s="14" t="s">
        <v>1026</v>
      </c>
      <c r="AQ75" s="14" t="s">
        <v>538</v>
      </c>
      <c r="AR75" s="20" t="s">
        <v>246</v>
      </c>
      <c r="AS75" s="20"/>
    </row>
    <row r="76" customFormat="false" ht="60" hidden="false" customHeight="true" outlineLevel="0" collapsed="false">
      <c r="A76" s="14" t="n">
        <v>75</v>
      </c>
      <c r="B76" s="14" t="s">
        <v>220</v>
      </c>
      <c r="C76" s="14" t="s">
        <v>221</v>
      </c>
      <c r="D76" s="14" t="s">
        <v>222</v>
      </c>
      <c r="E76" s="14" t="s">
        <v>40</v>
      </c>
      <c r="F76" s="14" t="s">
        <v>224</v>
      </c>
      <c r="G76" s="14" t="s">
        <v>224</v>
      </c>
      <c r="H76" s="14" t="s">
        <v>224</v>
      </c>
      <c r="I76" s="14" t="s">
        <v>225</v>
      </c>
      <c r="J76" s="14" t="s">
        <v>1027</v>
      </c>
      <c r="K76" s="14" t="s">
        <v>1028</v>
      </c>
      <c r="L76" s="14" t="s">
        <v>1029</v>
      </c>
      <c r="M76" s="15" t="n">
        <v>17724</v>
      </c>
      <c r="N76" s="14" t="s">
        <v>229</v>
      </c>
      <c r="O76" s="14" t="s">
        <v>1030</v>
      </c>
      <c r="P76" s="16" t="s">
        <v>1031</v>
      </c>
      <c r="Q76" s="6" t="s">
        <v>1032</v>
      </c>
      <c r="R76" s="6" t="s">
        <v>1033</v>
      </c>
      <c r="S76" s="14" t="s">
        <v>685</v>
      </c>
      <c r="T76" s="14" t="s">
        <v>235</v>
      </c>
      <c r="U76" s="14" t="s">
        <v>686</v>
      </c>
      <c r="V76" s="14" t="s">
        <v>237</v>
      </c>
      <c r="W76" s="14" t="s">
        <v>257</v>
      </c>
      <c r="X76" s="14" t="s">
        <v>239</v>
      </c>
      <c r="Y76" s="15" t="n">
        <v>54659</v>
      </c>
      <c r="Z76" s="15" t="n">
        <v>532</v>
      </c>
      <c r="AA76" s="14" t="n">
        <v>62</v>
      </c>
      <c r="AB76" s="14" t="n">
        <v>46</v>
      </c>
      <c r="AC76" s="17" t="n">
        <v>0.0117089591833001</v>
      </c>
      <c r="AD76" s="18" t="n">
        <v>4.46</v>
      </c>
      <c r="AE76" s="18" t="n">
        <f aca="false">IF(AD76="","",MIN(AD76,100))</f>
        <v>4.46</v>
      </c>
      <c r="AF76" s="14" t="n">
        <v>94.8</v>
      </c>
      <c r="AG76" s="14" t="s">
        <v>224</v>
      </c>
      <c r="AH76" s="14" t="n">
        <v>10</v>
      </c>
      <c r="AI76" s="14" t="s">
        <v>224</v>
      </c>
      <c r="AJ76" s="14" t="s">
        <v>224</v>
      </c>
      <c r="AK76" s="14" t="s">
        <v>240</v>
      </c>
      <c r="AL76" s="19" t="n">
        <f aca="false">ROUND('Start Here'!$B$29*AH76+'Start Here'!$B$30*MIN(IF(AD76="",0,AD76),50)/5+IF(M76&lt;=30000,'Start Here'!$B$31,IF(M76&lt;=60000,'Start Here'!$B$32,0)),1)</f>
        <v>7.3</v>
      </c>
      <c r="AM76" s="6" t="s">
        <v>689</v>
      </c>
      <c r="AN76" s="6" t="s">
        <v>690</v>
      </c>
      <c r="AO76" s="6" t="s">
        <v>1034</v>
      </c>
      <c r="AP76" s="14" t="s">
        <v>1035</v>
      </c>
      <c r="AQ76" s="14" t="s">
        <v>351</v>
      </c>
      <c r="AR76" s="20" t="s">
        <v>246</v>
      </c>
      <c r="AS76" s="20"/>
    </row>
    <row r="77" customFormat="false" ht="60" hidden="false" customHeight="true" outlineLevel="0" collapsed="false">
      <c r="A77" s="14" t="n">
        <v>76</v>
      </c>
      <c r="B77" s="14" t="s">
        <v>220</v>
      </c>
      <c r="C77" s="14" t="s">
        <v>221</v>
      </c>
      <c r="D77" s="14" t="s">
        <v>222</v>
      </c>
      <c r="E77" s="14" t="s">
        <v>40</v>
      </c>
      <c r="F77" s="14" t="s">
        <v>224</v>
      </c>
      <c r="G77" s="14" t="s">
        <v>224</v>
      </c>
      <c r="H77" s="14" t="s">
        <v>224</v>
      </c>
      <c r="I77" s="14" t="s">
        <v>322</v>
      </c>
      <c r="J77" s="14" t="s">
        <v>1036</v>
      </c>
      <c r="K77" s="14" t="s">
        <v>1037</v>
      </c>
      <c r="L77" s="14" t="s">
        <v>1038</v>
      </c>
      <c r="M77" s="15" t="n">
        <v>29814</v>
      </c>
      <c r="N77" s="14" t="s">
        <v>298</v>
      </c>
      <c r="O77" s="14" t="s">
        <v>1039</v>
      </c>
      <c r="P77" s="16" t="s">
        <v>1040</v>
      </c>
      <c r="Q77" s="6" t="s">
        <v>1041</v>
      </c>
      <c r="R77" s="6" t="s">
        <v>1042</v>
      </c>
      <c r="S77" s="14" t="s">
        <v>234</v>
      </c>
      <c r="T77" s="14" t="s">
        <v>235</v>
      </c>
      <c r="U77" s="14" t="s">
        <v>346</v>
      </c>
      <c r="V77" s="14" t="s">
        <v>237</v>
      </c>
      <c r="W77" s="14" t="s">
        <v>238</v>
      </c>
      <c r="X77" s="14" t="s">
        <v>258</v>
      </c>
      <c r="Y77" s="15" t="n">
        <v>5588</v>
      </c>
      <c r="Z77" s="15" t="n">
        <v>63</v>
      </c>
      <c r="AA77" s="14" t="n">
        <v>7</v>
      </c>
      <c r="AB77" s="14" t="n">
        <v>1</v>
      </c>
      <c r="AC77" s="17" t="n">
        <v>0.012705798138869</v>
      </c>
      <c r="AD77" s="18" t="n">
        <v>4.44</v>
      </c>
      <c r="AE77" s="18" t="n">
        <f aca="false">IF(AD77="","",MIN(AD77,100))</f>
        <v>4.44</v>
      </c>
      <c r="AF77" s="14" t="n">
        <v>98.8</v>
      </c>
      <c r="AG77" s="14" t="s">
        <v>224</v>
      </c>
      <c r="AH77" s="14" t="n">
        <v>10</v>
      </c>
      <c r="AI77" s="14" t="s">
        <v>224</v>
      </c>
      <c r="AJ77" s="14" t="s">
        <v>224</v>
      </c>
      <c r="AK77" s="14" t="s">
        <v>240</v>
      </c>
      <c r="AL77" s="19" t="n">
        <f aca="false">ROUND('Start Here'!$B$29*AH77+'Start Here'!$B$30*MIN(IF(AD77="",0,AD77),50)/5+IF(M77&lt;=30000,'Start Here'!$B$31,IF(M77&lt;=60000,'Start Here'!$B$32,0)),1)</f>
        <v>7.3</v>
      </c>
      <c r="AM77" s="6" t="s">
        <v>1043</v>
      </c>
      <c r="AN77" s="6" t="s">
        <v>1044</v>
      </c>
      <c r="AO77" s="6" t="s">
        <v>1045</v>
      </c>
      <c r="AP77" s="14" t="s">
        <v>1046</v>
      </c>
      <c r="AQ77" s="14" t="s">
        <v>351</v>
      </c>
      <c r="AR77" s="20" t="s">
        <v>246</v>
      </c>
      <c r="AS77" s="20"/>
    </row>
    <row r="78" customFormat="false" ht="60" hidden="false" customHeight="true" outlineLevel="0" collapsed="false">
      <c r="A78" s="14" t="n">
        <v>77</v>
      </c>
      <c r="B78" s="14" t="s">
        <v>374</v>
      </c>
      <c r="C78" s="14" t="s">
        <v>221</v>
      </c>
      <c r="D78" s="14" t="s">
        <v>222</v>
      </c>
      <c r="E78" s="14" t="s">
        <v>36</v>
      </c>
      <c r="F78" s="14" t="s">
        <v>223</v>
      </c>
      <c r="G78" s="14" t="s">
        <v>223</v>
      </c>
      <c r="H78" s="14" t="s">
        <v>224</v>
      </c>
      <c r="I78" s="14" t="s">
        <v>375</v>
      </c>
      <c r="J78" s="14" t="s">
        <v>924</v>
      </c>
      <c r="K78" s="14" t="s">
        <v>377</v>
      </c>
      <c r="L78" s="14" t="s">
        <v>378</v>
      </c>
      <c r="M78" s="15" t="n">
        <v>18671</v>
      </c>
      <c r="N78" s="14" t="s">
        <v>229</v>
      </c>
      <c r="O78" s="14" t="s">
        <v>1047</v>
      </c>
      <c r="P78" s="16" t="s">
        <v>1048</v>
      </c>
      <c r="Q78" s="6" t="s">
        <v>1049</v>
      </c>
      <c r="R78" s="6" t="s">
        <v>1050</v>
      </c>
      <c r="S78" s="14" t="s">
        <v>234</v>
      </c>
      <c r="T78" s="14" t="s">
        <v>235</v>
      </c>
      <c r="U78" s="14" t="s">
        <v>236</v>
      </c>
      <c r="V78" s="14" t="s">
        <v>383</v>
      </c>
      <c r="W78" s="14"/>
      <c r="X78" s="14"/>
      <c r="Y78" s="15"/>
      <c r="Z78" s="15" t="n">
        <v>144</v>
      </c>
      <c r="AA78" s="14" t="n">
        <v>445</v>
      </c>
      <c r="AB78" s="14" t="n">
        <v>0</v>
      </c>
      <c r="AC78" s="17" t="n">
        <v>0.0325234676974048</v>
      </c>
      <c r="AD78" s="18" t="n">
        <v>29.4</v>
      </c>
      <c r="AE78" s="18" t="n">
        <f aca="false">IF(AD78="","",MIN(AD78,100))</f>
        <v>29.4</v>
      </c>
      <c r="AF78" s="14" t="n">
        <v>97.3</v>
      </c>
      <c r="AG78" s="14" t="s">
        <v>224</v>
      </c>
      <c r="AH78" s="14" t="n">
        <v>7</v>
      </c>
      <c r="AI78" s="14" t="s">
        <v>224</v>
      </c>
      <c r="AJ78" s="14" t="s">
        <v>224</v>
      </c>
      <c r="AK78" s="14" t="s">
        <v>240</v>
      </c>
      <c r="AL78" s="19" t="n">
        <f aca="false">ROUND('Start Here'!$B$29*AH78+'Start Here'!$B$30*MIN(IF(AD78="",0,AD78),50)/5+IF(M78&lt;=30000,'Start Here'!$B$31,IF(M78&lt;=60000,'Start Here'!$B$32,0)),1)</f>
        <v>7.3</v>
      </c>
      <c r="AM78" s="6" t="s">
        <v>1051</v>
      </c>
      <c r="AN78" s="6" t="s">
        <v>959</v>
      </c>
      <c r="AO78" s="6"/>
      <c r="AP78" s="14"/>
      <c r="AQ78" s="14" t="s">
        <v>524</v>
      </c>
      <c r="AR78" s="20" t="s">
        <v>246</v>
      </c>
      <c r="AS78" s="20"/>
    </row>
    <row r="79" customFormat="false" ht="60" hidden="false" customHeight="true" outlineLevel="0" collapsed="false">
      <c r="A79" s="14" t="n">
        <v>78</v>
      </c>
      <c r="B79" s="14" t="s">
        <v>220</v>
      </c>
      <c r="C79" s="14" t="s">
        <v>221</v>
      </c>
      <c r="D79" s="14" t="s">
        <v>222</v>
      </c>
      <c r="E79" s="14" t="s">
        <v>36</v>
      </c>
      <c r="F79" s="14" t="s">
        <v>223</v>
      </c>
      <c r="G79" s="14" t="s">
        <v>223</v>
      </c>
      <c r="H79" s="14" t="s">
        <v>224</v>
      </c>
      <c r="I79" s="14" t="s">
        <v>338</v>
      </c>
      <c r="J79" s="14" t="s">
        <v>924</v>
      </c>
      <c r="K79" s="14" t="s">
        <v>1052</v>
      </c>
      <c r="L79" s="14" t="s">
        <v>1053</v>
      </c>
      <c r="M79" s="15" t="n">
        <v>19758</v>
      </c>
      <c r="N79" s="14" t="s">
        <v>229</v>
      </c>
      <c r="O79" s="14" t="s">
        <v>1054</v>
      </c>
      <c r="P79" s="16" t="s">
        <v>1055</v>
      </c>
      <c r="Q79" s="6" t="s">
        <v>1056</v>
      </c>
      <c r="R79" s="6" t="s">
        <v>1057</v>
      </c>
      <c r="S79" s="14" t="s">
        <v>234</v>
      </c>
      <c r="T79" s="14" t="s">
        <v>235</v>
      </c>
      <c r="U79" s="14" t="s">
        <v>346</v>
      </c>
      <c r="V79" s="14" t="s">
        <v>237</v>
      </c>
      <c r="W79" s="14" t="s">
        <v>332</v>
      </c>
      <c r="X79" s="14" t="s">
        <v>333</v>
      </c>
      <c r="Y79" s="15" t="n">
        <v>196004</v>
      </c>
      <c r="Z79" s="15" t="n">
        <v>1905</v>
      </c>
      <c r="AA79" s="14" t="n">
        <v>150</v>
      </c>
      <c r="AB79" s="14" t="n">
        <v>46</v>
      </c>
      <c r="AC79" s="17" t="n">
        <v>0.0107191689965511</v>
      </c>
      <c r="AD79" s="18" t="n">
        <v>131.32</v>
      </c>
      <c r="AE79" s="18" t="n">
        <f aca="false">IF(AD79="","",MIN(AD79,100))</f>
        <v>100</v>
      </c>
      <c r="AF79" s="14" t="n">
        <v>99.7</v>
      </c>
      <c r="AG79" s="14" t="s">
        <v>224</v>
      </c>
      <c r="AH79" s="14" t="n">
        <v>4.5</v>
      </c>
      <c r="AI79" s="14" t="s">
        <v>224</v>
      </c>
      <c r="AJ79" s="14" t="s">
        <v>223</v>
      </c>
      <c r="AK79" s="14" t="s">
        <v>490</v>
      </c>
      <c r="AL79" s="19" t="n">
        <f aca="false">ROUND('Start Here'!$B$29*AH79+'Start Here'!$B$30*MIN(IF(AD79="",0,AD79),50)/5+IF(M79&lt;=30000,'Start Here'!$B$31,IF(M79&lt;=60000,'Start Here'!$B$32,0)),1)</f>
        <v>7.3</v>
      </c>
      <c r="AM79" s="6" t="s">
        <v>290</v>
      </c>
      <c r="AN79" s="6" t="s">
        <v>1058</v>
      </c>
      <c r="AO79" s="6" t="s">
        <v>1059</v>
      </c>
      <c r="AP79" s="14" t="s">
        <v>1060</v>
      </c>
      <c r="AQ79" s="14" t="s">
        <v>538</v>
      </c>
      <c r="AR79" s="20" t="s">
        <v>246</v>
      </c>
      <c r="AS79" s="20"/>
    </row>
    <row r="80" customFormat="false" ht="60" hidden="false" customHeight="true" outlineLevel="0" collapsed="false">
      <c r="A80" s="14" t="n">
        <v>79</v>
      </c>
      <c r="B80" s="14" t="s">
        <v>220</v>
      </c>
      <c r="C80" s="14" t="s">
        <v>221</v>
      </c>
      <c r="D80" s="14" t="s">
        <v>222</v>
      </c>
      <c r="E80" s="14" t="s">
        <v>36</v>
      </c>
      <c r="F80" s="14" t="s">
        <v>223</v>
      </c>
      <c r="G80" s="14" t="s">
        <v>223</v>
      </c>
      <c r="H80" s="14" t="s">
        <v>224</v>
      </c>
      <c r="I80" s="14" t="s">
        <v>225</v>
      </c>
      <c r="J80" s="14" t="s">
        <v>1061</v>
      </c>
      <c r="K80" s="14" t="s">
        <v>1062</v>
      </c>
      <c r="L80" s="14" t="s">
        <v>1063</v>
      </c>
      <c r="M80" s="15" t="n">
        <v>27689</v>
      </c>
      <c r="N80" s="14" t="s">
        <v>298</v>
      </c>
      <c r="O80" s="14" t="s">
        <v>1064</v>
      </c>
      <c r="P80" s="16" t="s">
        <v>1065</v>
      </c>
      <c r="Q80" s="6" t="s">
        <v>1066</v>
      </c>
      <c r="R80" s="6" t="s">
        <v>1067</v>
      </c>
      <c r="S80" s="14" t="s">
        <v>330</v>
      </c>
      <c r="T80" s="14" t="s">
        <v>235</v>
      </c>
      <c r="U80" s="14" t="s">
        <v>346</v>
      </c>
      <c r="V80" s="14" t="s">
        <v>237</v>
      </c>
      <c r="W80" s="14" t="s">
        <v>238</v>
      </c>
      <c r="X80" s="14" t="s">
        <v>239</v>
      </c>
      <c r="Y80" s="15" t="n">
        <v>264060</v>
      </c>
      <c r="Z80" s="15" t="n">
        <v>1489</v>
      </c>
      <c r="AA80" s="14" t="n">
        <v>41</v>
      </c>
      <c r="AB80" s="14" t="n">
        <v>145</v>
      </c>
      <c r="AC80" s="17" t="n">
        <v>0.00634325532076043</v>
      </c>
      <c r="AD80" s="18" t="n">
        <v>227.8</v>
      </c>
      <c r="AE80" s="18" t="n">
        <f aca="false">IF(AD80="","",MIN(AD80,100))</f>
        <v>100</v>
      </c>
      <c r="AF80" s="14" t="n">
        <v>99.9</v>
      </c>
      <c r="AG80" s="14" t="s">
        <v>224</v>
      </c>
      <c r="AH80" s="14" t="n">
        <v>4.5</v>
      </c>
      <c r="AI80" s="14" t="s">
        <v>224</v>
      </c>
      <c r="AJ80" s="14" t="s">
        <v>223</v>
      </c>
      <c r="AK80" s="14" t="s">
        <v>490</v>
      </c>
      <c r="AL80" s="19" t="n">
        <f aca="false">ROUND('Start Here'!$B$29*AH80+'Start Here'!$B$30*MIN(IF(AD80="",0,AD80),50)/5+IF(M80&lt;=30000,'Start Here'!$B$31,IF(M80&lt;=60000,'Start Here'!$B$32,0)),1)</f>
        <v>7.3</v>
      </c>
      <c r="AM80" s="6" t="s">
        <v>334</v>
      </c>
      <c r="AN80" s="6" t="s">
        <v>654</v>
      </c>
      <c r="AO80" s="6" t="s">
        <v>1068</v>
      </c>
      <c r="AP80" s="14" t="s">
        <v>1069</v>
      </c>
      <c r="AQ80" s="14" t="s">
        <v>1070</v>
      </c>
      <c r="AR80" s="20" t="s">
        <v>246</v>
      </c>
      <c r="AS80" s="20"/>
    </row>
    <row r="81" customFormat="false" ht="60" hidden="false" customHeight="true" outlineLevel="0" collapsed="false">
      <c r="A81" s="14" t="n">
        <v>80</v>
      </c>
      <c r="B81" s="14" t="s">
        <v>220</v>
      </c>
      <c r="C81" s="14" t="s">
        <v>221</v>
      </c>
      <c r="D81" s="14" t="s">
        <v>222</v>
      </c>
      <c r="E81" s="14" t="s">
        <v>36</v>
      </c>
      <c r="F81" s="14" t="s">
        <v>223</v>
      </c>
      <c r="G81" s="14" t="s">
        <v>223</v>
      </c>
      <c r="H81" s="14" t="s">
        <v>223</v>
      </c>
      <c r="I81" s="14" t="s">
        <v>308</v>
      </c>
      <c r="J81" s="14" t="s">
        <v>1071</v>
      </c>
      <c r="K81" s="14" t="s">
        <v>1072</v>
      </c>
      <c r="L81" s="14" t="s">
        <v>1073</v>
      </c>
      <c r="M81" s="15" t="n">
        <v>10989</v>
      </c>
      <c r="N81" s="14" t="s">
        <v>229</v>
      </c>
      <c r="O81" s="14" t="s">
        <v>1074</v>
      </c>
      <c r="P81" s="16" t="s">
        <v>1075</v>
      </c>
      <c r="Q81" s="6" t="s">
        <v>1076</v>
      </c>
      <c r="R81" s="6" t="s">
        <v>1077</v>
      </c>
      <c r="S81" s="14" t="s">
        <v>685</v>
      </c>
      <c r="T81" s="14" t="s">
        <v>673</v>
      </c>
      <c r="U81" s="14" t="s">
        <v>686</v>
      </c>
      <c r="V81" s="14" t="s">
        <v>237</v>
      </c>
      <c r="W81" s="14" t="s">
        <v>238</v>
      </c>
      <c r="X81" s="14" t="s">
        <v>239</v>
      </c>
      <c r="Y81" s="15" t="n">
        <v>1669148</v>
      </c>
      <c r="Z81" s="15" t="n">
        <v>4241</v>
      </c>
      <c r="AA81" s="14" t="n">
        <v>35</v>
      </c>
      <c r="AB81" s="14" t="n">
        <v>378</v>
      </c>
      <c r="AC81" s="17" t="n">
        <v>0.00278824885510452</v>
      </c>
      <c r="AD81" s="18" t="n">
        <v>363.71</v>
      </c>
      <c r="AE81" s="18" t="n">
        <f aca="false">IF(AD81="","",MIN(AD81,100))</f>
        <v>100</v>
      </c>
      <c r="AF81" s="14" t="n">
        <v>98</v>
      </c>
      <c r="AG81" s="14" t="s">
        <v>224</v>
      </c>
      <c r="AH81" s="14" t="n">
        <v>4.5</v>
      </c>
      <c r="AI81" s="14" t="s">
        <v>224</v>
      </c>
      <c r="AJ81" s="14" t="s">
        <v>223</v>
      </c>
      <c r="AK81" s="14" t="s">
        <v>490</v>
      </c>
      <c r="AL81" s="19" t="n">
        <f aca="false">ROUND('Start Here'!$B$29*AH81+'Start Here'!$B$30*MIN(IF(AD81="",0,AD81),50)/5+IF(M81&lt;=30000,'Start Here'!$B$31,IF(M81&lt;=60000,'Start Here'!$B$32,0)),1)</f>
        <v>7.3</v>
      </c>
      <c r="AM81" s="6" t="s">
        <v>874</v>
      </c>
      <c r="AN81" s="6" t="s">
        <v>1078</v>
      </c>
      <c r="AO81" s="6" t="s">
        <v>1079</v>
      </c>
      <c r="AP81" s="14" t="s">
        <v>1080</v>
      </c>
      <c r="AQ81" s="14" t="s">
        <v>1081</v>
      </c>
      <c r="AR81" s="20" t="s">
        <v>246</v>
      </c>
      <c r="AS81" s="20"/>
    </row>
    <row r="82" customFormat="false" ht="60" hidden="false" customHeight="true" outlineLevel="0" collapsed="false">
      <c r="A82" s="14" t="n">
        <v>81</v>
      </c>
      <c r="B82" s="14" t="s">
        <v>220</v>
      </c>
      <c r="C82" s="14" t="s">
        <v>221</v>
      </c>
      <c r="D82" s="14" t="s">
        <v>222</v>
      </c>
      <c r="E82" s="14" t="s">
        <v>36</v>
      </c>
      <c r="F82" s="14" t="s">
        <v>223</v>
      </c>
      <c r="G82" s="14" t="s">
        <v>223</v>
      </c>
      <c r="H82" s="14" t="s">
        <v>224</v>
      </c>
      <c r="I82" s="14" t="s">
        <v>322</v>
      </c>
      <c r="J82" s="14" t="s">
        <v>1082</v>
      </c>
      <c r="K82" s="14" t="s">
        <v>507</v>
      </c>
      <c r="L82" s="14" t="s">
        <v>508</v>
      </c>
      <c r="M82" s="15" t="n">
        <v>12398</v>
      </c>
      <c r="N82" s="14" t="s">
        <v>229</v>
      </c>
      <c r="O82" s="14" t="s">
        <v>1083</v>
      </c>
      <c r="P82" s="16" t="s">
        <v>1084</v>
      </c>
      <c r="Q82" s="6" t="s">
        <v>1085</v>
      </c>
      <c r="R82" s="6" t="s">
        <v>1086</v>
      </c>
      <c r="S82" s="14" t="s">
        <v>884</v>
      </c>
      <c r="T82" s="14" t="s">
        <v>235</v>
      </c>
      <c r="U82" s="14" t="s">
        <v>236</v>
      </c>
      <c r="V82" s="14" t="s">
        <v>1013</v>
      </c>
      <c r="W82" s="14" t="s">
        <v>238</v>
      </c>
      <c r="X82" s="14" t="s">
        <v>239</v>
      </c>
      <c r="Y82" s="15" t="n">
        <v>115102</v>
      </c>
      <c r="Z82" s="15" t="n">
        <v>1027</v>
      </c>
      <c r="AA82" s="14" t="n">
        <v>262</v>
      </c>
      <c r="AB82" s="14" t="n">
        <v>153</v>
      </c>
      <c r="AC82" s="17" t="n">
        <v>0.012528018626957</v>
      </c>
      <c r="AD82" s="18" t="n">
        <v>138.75</v>
      </c>
      <c r="AE82" s="18" t="n">
        <f aca="false">IF(AD82="","",MIN(AD82,100))</f>
        <v>100</v>
      </c>
      <c r="AF82" s="14" t="n">
        <v>97.7</v>
      </c>
      <c r="AG82" s="14" t="s">
        <v>224</v>
      </c>
      <c r="AH82" s="14" t="n">
        <v>4.5</v>
      </c>
      <c r="AI82" s="14" t="s">
        <v>224</v>
      </c>
      <c r="AJ82" s="14" t="s">
        <v>223</v>
      </c>
      <c r="AK82" s="14" t="s">
        <v>490</v>
      </c>
      <c r="AL82" s="19" t="n">
        <f aca="false">ROUND('Start Here'!$B$29*AH82+'Start Here'!$B$30*MIN(IF(AD82="",0,AD82),50)/5+IF(M82&lt;=30000,'Start Here'!$B$31,IF(M82&lt;=60000,'Start Here'!$B$32,0)),1)</f>
        <v>7.3</v>
      </c>
      <c r="AM82" s="6" t="s">
        <v>1087</v>
      </c>
      <c r="AN82" s="6" t="s">
        <v>1088</v>
      </c>
      <c r="AO82" s="6" t="s">
        <v>1089</v>
      </c>
      <c r="AP82" s="14" t="s">
        <v>1090</v>
      </c>
      <c r="AQ82" s="14" t="s">
        <v>409</v>
      </c>
      <c r="AR82" s="20" t="s">
        <v>246</v>
      </c>
      <c r="AS82" s="20"/>
    </row>
    <row r="83" customFormat="false" ht="60" hidden="false" customHeight="true" outlineLevel="0" collapsed="false">
      <c r="A83" s="14" t="n">
        <v>82</v>
      </c>
      <c r="B83" s="14" t="s">
        <v>220</v>
      </c>
      <c r="C83" s="14" t="s">
        <v>221</v>
      </c>
      <c r="D83" s="14" t="s">
        <v>222</v>
      </c>
      <c r="E83" s="14" t="s">
        <v>40</v>
      </c>
      <c r="F83" s="14" t="s">
        <v>224</v>
      </c>
      <c r="G83" s="14" t="s">
        <v>224</v>
      </c>
      <c r="H83" s="14" t="s">
        <v>224</v>
      </c>
      <c r="I83" s="14" t="s">
        <v>225</v>
      </c>
      <c r="J83" s="14" t="s">
        <v>1091</v>
      </c>
      <c r="K83" s="14" t="s">
        <v>1092</v>
      </c>
      <c r="L83" s="14" t="s">
        <v>1093</v>
      </c>
      <c r="M83" s="15" t="n">
        <v>17119</v>
      </c>
      <c r="N83" s="14" t="s">
        <v>229</v>
      </c>
      <c r="O83" s="14" t="s">
        <v>965</v>
      </c>
      <c r="P83" s="16" t="s">
        <v>1094</v>
      </c>
      <c r="Q83" s="6" t="s">
        <v>1095</v>
      </c>
      <c r="R83" s="6" t="s">
        <v>1096</v>
      </c>
      <c r="S83" s="14" t="s">
        <v>513</v>
      </c>
      <c r="T83" s="14" t="s">
        <v>235</v>
      </c>
      <c r="U83" s="14" t="s">
        <v>236</v>
      </c>
      <c r="V83" s="14" t="s">
        <v>237</v>
      </c>
      <c r="W83" s="14" t="s">
        <v>257</v>
      </c>
      <c r="X83" s="14" t="s">
        <v>239</v>
      </c>
      <c r="Y83" s="15" t="n">
        <v>11996</v>
      </c>
      <c r="Z83" s="15" t="n">
        <v>149</v>
      </c>
      <c r="AA83" s="14" t="n">
        <v>7</v>
      </c>
      <c r="AB83" s="14" t="n">
        <v>9</v>
      </c>
      <c r="AC83" s="17" t="n">
        <v>0.0137545848616205</v>
      </c>
      <c r="AD83" s="18" t="n">
        <v>3.82</v>
      </c>
      <c r="AE83" s="18" t="n">
        <f aca="false">IF(AD83="","",MIN(AD83,100))</f>
        <v>3.82</v>
      </c>
      <c r="AF83" s="14" t="n">
        <v>89.3</v>
      </c>
      <c r="AG83" s="14" t="s">
        <v>224</v>
      </c>
      <c r="AH83" s="14" t="n">
        <v>10</v>
      </c>
      <c r="AI83" s="14" t="s">
        <v>224</v>
      </c>
      <c r="AJ83" s="14" t="s">
        <v>224</v>
      </c>
      <c r="AK83" s="14" t="s">
        <v>240</v>
      </c>
      <c r="AL83" s="19" t="n">
        <f aca="false">ROUND('Start Here'!$B$29*AH83+'Start Here'!$B$30*MIN(IF(AD83="",0,AD83),50)/5+IF(M83&lt;=30000,'Start Here'!$B$31,IF(M83&lt;=60000,'Start Here'!$B$32,0)),1)</f>
        <v>7.2</v>
      </c>
      <c r="AM83" s="6" t="s">
        <v>1097</v>
      </c>
      <c r="AN83" s="6" t="s">
        <v>1098</v>
      </c>
      <c r="AO83" s="6" t="s">
        <v>1099</v>
      </c>
      <c r="AP83" s="14" t="s">
        <v>1100</v>
      </c>
      <c r="AQ83" s="14" t="s">
        <v>524</v>
      </c>
      <c r="AR83" s="20" t="s">
        <v>246</v>
      </c>
      <c r="AS83" s="20"/>
    </row>
    <row r="84" customFormat="false" ht="60" hidden="false" customHeight="true" outlineLevel="0" collapsed="false">
      <c r="A84" s="14" t="n">
        <v>83</v>
      </c>
      <c r="B84" s="14" t="s">
        <v>220</v>
      </c>
      <c r="C84" s="14" t="s">
        <v>221</v>
      </c>
      <c r="D84" s="14" t="s">
        <v>222</v>
      </c>
      <c r="E84" s="14" t="s">
        <v>36</v>
      </c>
      <c r="F84" s="14" t="s">
        <v>223</v>
      </c>
      <c r="G84" s="14" t="s">
        <v>223</v>
      </c>
      <c r="H84" s="14" t="s">
        <v>224</v>
      </c>
      <c r="I84" s="14" t="s">
        <v>308</v>
      </c>
      <c r="J84" s="14" t="s">
        <v>1101</v>
      </c>
      <c r="K84" s="14" t="s">
        <v>1102</v>
      </c>
      <c r="L84" s="14" t="s">
        <v>1103</v>
      </c>
      <c r="M84" s="15" t="n">
        <v>8592</v>
      </c>
      <c r="N84" s="14" t="s">
        <v>283</v>
      </c>
      <c r="O84" s="14" t="s">
        <v>1104</v>
      </c>
      <c r="P84" s="16" t="s">
        <v>1105</v>
      </c>
      <c r="Q84" s="6" t="s">
        <v>1106</v>
      </c>
      <c r="R84" s="6" t="s">
        <v>1107</v>
      </c>
      <c r="S84" s="14" t="s">
        <v>234</v>
      </c>
      <c r="T84" s="14" t="s">
        <v>316</v>
      </c>
      <c r="U84" s="14" t="s">
        <v>236</v>
      </c>
      <c r="V84" s="14" t="s">
        <v>331</v>
      </c>
      <c r="W84" s="14" t="s">
        <v>332</v>
      </c>
      <c r="X84" s="14" t="s">
        <v>333</v>
      </c>
      <c r="Y84" s="15" t="n">
        <v>14235</v>
      </c>
      <c r="Z84" s="15" t="n">
        <v>133</v>
      </c>
      <c r="AA84" s="14" t="n">
        <v>22</v>
      </c>
      <c r="AB84" s="14" t="n">
        <v>5</v>
      </c>
      <c r="AC84" s="17" t="n">
        <v>0.0112399016508606</v>
      </c>
      <c r="AD84" s="18" t="n">
        <v>20.44</v>
      </c>
      <c r="AE84" s="18" t="n">
        <f aca="false">IF(AD84="","",MIN(AD84,100))</f>
        <v>20.44</v>
      </c>
      <c r="AF84" s="14" t="n">
        <v>97.9</v>
      </c>
      <c r="AG84" s="14" t="s">
        <v>224</v>
      </c>
      <c r="AH84" s="14" t="n">
        <v>8</v>
      </c>
      <c r="AI84" s="14" t="s">
        <v>224</v>
      </c>
      <c r="AJ84" s="14" t="s">
        <v>224</v>
      </c>
      <c r="AK84" s="14" t="s">
        <v>240</v>
      </c>
      <c r="AL84" s="19" t="n">
        <f aca="false">ROUND('Start Here'!$B$29*AH84+'Start Here'!$B$30*MIN(IF(AD84="",0,AD84),50)/5+IF(M84&lt;=30000,'Start Here'!$B$31,IF(M84&lt;=60000,'Start Here'!$B$32,0)),1)</f>
        <v>7.2</v>
      </c>
      <c r="AM84" s="6" t="s">
        <v>290</v>
      </c>
      <c r="AN84" s="6" t="s">
        <v>1024</v>
      </c>
      <c r="AO84" s="6" t="s">
        <v>1108</v>
      </c>
      <c r="AP84" s="14" t="s">
        <v>1109</v>
      </c>
      <c r="AQ84" s="14" t="s">
        <v>373</v>
      </c>
      <c r="AR84" s="20" t="s">
        <v>246</v>
      </c>
      <c r="AS84" s="20"/>
    </row>
    <row r="85" customFormat="false" ht="60" hidden="false" customHeight="true" outlineLevel="0" collapsed="false">
      <c r="A85" s="14" t="n">
        <v>84</v>
      </c>
      <c r="B85" s="14" t="s">
        <v>220</v>
      </c>
      <c r="C85" s="14" t="s">
        <v>221</v>
      </c>
      <c r="D85" s="14" t="s">
        <v>222</v>
      </c>
      <c r="E85" s="14" t="s">
        <v>40</v>
      </c>
      <c r="F85" s="14" t="s">
        <v>224</v>
      </c>
      <c r="G85" s="14" t="s">
        <v>224</v>
      </c>
      <c r="H85" s="14" t="s">
        <v>224</v>
      </c>
      <c r="I85" s="14" t="s">
        <v>225</v>
      </c>
      <c r="J85" s="14" t="s">
        <v>1110</v>
      </c>
      <c r="K85" s="14" t="s">
        <v>1111</v>
      </c>
      <c r="L85" s="14" t="s">
        <v>1112</v>
      </c>
      <c r="M85" s="15" t="n">
        <v>7366</v>
      </c>
      <c r="N85" s="14" t="s">
        <v>283</v>
      </c>
      <c r="O85" s="14" t="s">
        <v>1113</v>
      </c>
      <c r="P85" s="16" t="s">
        <v>1114</v>
      </c>
      <c r="Q85" s="6" t="s">
        <v>1115</v>
      </c>
      <c r="R85" s="6" t="s">
        <v>1116</v>
      </c>
      <c r="S85" s="14" t="s">
        <v>330</v>
      </c>
      <c r="T85" s="14" t="s">
        <v>235</v>
      </c>
      <c r="U85" s="14" t="s">
        <v>236</v>
      </c>
      <c r="V85" s="14" t="s">
        <v>331</v>
      </c>
      <c r="W85" s="14" t="s">
        <v>257</v>
      </c>
      <c r="X85" s="14" t="s">
        <v>258</v>
      </c>
      <c r="Y85" s="15" t="n">
        <v>10563</v>
      </c>
      <c r="Z85" s="15" t="n">
        <v>92</v>
      </c>
      <c r="AA85" s="14" t="n">
        <v>6</v>
      </c>
      <c r="AB85" s="14" t="n">
        <v>3</v>
      </c>
      <c r="AC85" s="17" t="n">
        <v>0.00956167755372527</v>
      </c>
      <c r="AD85" s="18" t="n">
        <v>3.72</v>
      </c>
      <c r="AE85" s="18" t="n">
        <f aca="false">IF(AD85="","",MIN(AD85,100))</f>
        <v>3.72</v>
      </c>
      <c r="AF85" s="14" t="n">
        <v>83.8</v>
      </c>
      <c r="AG85" s="14" t="s">
        <v>224</v>
      </c>
      <c r="AH85" s="14" t="n">
        <v>10</v>
      </c>
      <c r="AI85" s="14" t="s">
        <v>224</v>
      </c>
      <c r="AJ85" s="14" t="s">
        <v>224</v>
      </c>
      <c r="AK85" s="14" t="s">
        <v>240</v>
      </c>
      <c r="AL85" s="19" t="n">
        <f aca="false">ROUND('Start Here'!$B$29*AH85+'Start Here'!$B$30*MIN(IF(AD85="",0,AD85),50)/5+IF(M85&lt;=30000,'Start Here'!$B$31,IF(M85&lt;=60000,'Start Here'!$B$32,0)),1)</f>
        <v>7.2</v>
      </c>
      <c r="AM85" s="6" t="s">
        <v>1117</v>
      </c>
      <c r="AN85" s="6" t="s">
        <v>416</v>
      </c>
      <c r="AO85" s="6" t="s">
        <v>1118</v>
      </c>
      <c r="AP85" s="14" t="s">
        <v>1119</v>
      </c>
      <c r="AQ85" s="14" t="s">
        <v>1120</v>
      </c>
      <c r="AR85" s="20" t="s">
        <v>246</v>
      </c>
      <c r="AS85" s="20"/>
    </row>
    <row r="86" customFormat="false" ht="60" hidden="false" customHeight="true" outlineLevel="0" collapsed="false">
      <c r="A86" s="14" t="n">
        <v>85</v>
      </c>
      <c r="B86" s="14" t="s">
        <v>374</v>
      </c>
      <c r="C86" s="14" t="s">
        <v>221</v>
      </c>
      <c r="D86" s="14" t="s">
        <v>222</v>
      </c>
      <c r="E86" s="14" t="s">
        <v>40</v>
      </c>
      <c r="F86" s="14" t="s">
        <v>224</v>
      </c>
      <c r="G86" s="14" t="s">
        <v>224</v>
      </c>
      <c r="H86" s="14" t="s">
        <v>224</v>
      </c>
      <c r="I86" s="14" t="s">
        <v>338</v>
      </c>
      <c r="J86" s="14" t="s">
        <v>1121</v>
      </c>
      <c r="K86" s="14" t="s">
        <v>1122</v>
      </c>
      <c r="L86" s="14" t="s">
        <v>1123</v>
      </c>
      <c r="M86" s="15" t="n">
        <v>10064</v>
      </c>
      <c r="N86" s="14" t="s">
        <v>229</v>
      </c>
      <c r="O86" s="14" t="s">
        <v>1124</v>
      </c>
      <c r="P86" s="16" t="s">
        <v>1125</v>
      </c>
      <c r="Q86" s="6" t="s">
        <v>1126</v>
      </c>
      <c r="R86" s="6" t="s">
        <v>1127</v>
      </c>
      <c r="S86" s="14" t="s">
        <v>741</v>
      </c>
      <c r="T86" s="14" t="s">
        <v>235</v>
      </c>
      <c r="U86" s="14" t="s">
        <v>236</v>
      </c>
      <c r="V86" s="14" t="s">
        <v>237</v>
      </c>
      <c r="W86" s="14" t="s">
        <v>238</v>
      </c>
      <c r="X86" s="14" t="s">
        <v>546</v>
      </c>
      <c r="Y86" s="15"/>
      <c r="Z86" s="15" t="n">
        <v>56</v>
      </c>
      <c r="AA86" s="14" t="n">
        <v>14</v>
      </c>
      <c r="AB86" s="14" t="n">
        <v>0</v>
      </c>
      <c r="AC86" s="17" t="n">
        <v>0.00723215208182664</v>
      </c>
      <c r="AD86" s="18" t="n">
        <v>3.62</v>
      </c>
      <c r="AE86" s="18" t="n">
        <f aca="false">IF(AD86="","",MIN(AD86,100))</f>
        <v>3.62</v>
      </c>
      <c r="AF86" s="14" t="n">
        <v>85.1</v>
      </c>
      <c r="AG86" s="14" t="s">
        <v>224</v>
      </c>
      <c r="AH86" s="14" t="n">
        <v>10</v>
      </c>
      <c r="AI86" s="14" t="s">
        <v>224</v>
      </c>
      <c r="AJ86" s="14" t="s">
        <v>224</v>
      </c>
      <c r="AK86" s="14" t="s">
        <v>240</v>
      </c>
      <c r="AL86" s="19" t="n">
        <f aca="false">ROUND('Start Here'!$B$29*AH86+'Start Here'!$B$30*MIN(IF(AD86="",0,AD86),50)/5+IF(M86&lt;=30000,'Start Here'!$B$31,IF(M86&lt;=60000,'Start Here'!$B$32,0)),1)</f>
        <v>7.2</v>
      </c>
      <c r="AM86" s="6" t="s">
        <v>1128</v>
      </c>
      <c r="AN86" s="6" t="s">
        <v>1129</v>
      </c>
      <c r="AO86" s="6" t="s">
        <v>1130</v>
      </c>
      <c r="AP86" s="14" t="s">
        <v>1131</v>
      </c>
      <c r="AQ86" s="14" t="s">
        <v>351</v>
      </c>
      <c r="AR86" s="20" t="s">
        <v>246</v>
      </c>
      <c r="AS86" s="20"/>
    </row>
    <row r="87" customFormat="false" ht="60" hidden="false" customHeight="true" outlineLevel="0" collapsed="false">
      <c r="A87" s="14" t="n">
        <v>86</v>
      </c>
      <c r="B87" s="14" t="s">
        <v>220</v>
      </c>
      <c r="C87" s="14" t="s">
        <v>221</v>
      </c>
      <c r="D87" s="14" t="s">
        <v>222</v>
      </c>
      <c r="E87" s="14" t="s">
        <v>40</v>
      </c>
      <c r="F87" s="14" t="s">
        <v>224</v>
      </c>
      <c r="G87" s="14" t="s">
        <v>224</v>
      </c>
      <c r="H87" s="14" t="s">
        <v>224</v>
      </c>
      <c r="I87" s="14" t="s">
        <v>308</v>
      </c>
      <c r="J87" s="14" t="s">
        <v>295</v>
      </c>
      <c r="K87" s="14" t="s">
        <v>1037</v>
      </c>
      <c r="L87" s="14" t="s">
        <v>1038</v>
      </c>
      <c r="M87" s="15" t="n">
        <v>29814</v>
      </c>
      <c r="N87" s="14" t="s">
        <v>298</v>
      </c>
      <c r="O87" s="14" t="s">
        <v>1124</v>
      </c>
      <c r="P87" s="16" t="s">
        <v>1132</v>
      </c>
      <c r="Q87" s="6" t="s">
        <v>1133</v>
      </c>
      <c r="R87" s="6" t="s">
        <v>1134</v>
      </c>
      <c r="S87" s="14" t="s">
        <v>234</v>
      </c>
      <c r="T87" s="14" t="s">
        <v>316</v>
      </c>
      <c r="U87" s="14" t="s">
        <v>236</v>
      </c>
      <c r="V87" s="14" t="s">
        <v>237</v>
      </c>
      <c r="W87" s="14" t="s">
        <v>238</v>
      </c>
      <c r="X87" s="14" t="s">
        <v>688</v>
      </c>
      <c r="Y87" s="15" t="n">
        <v>20647</v>
      </c>
      <c r="Z87" s="15" t="n">
        <v>50</v>
      </c>
      <c r="AA87" s="14" t="n">
        <v>1</v>
      </c>
      <c r="AB87" s="14" t="n">
        <v>5</v>
      </c>
      <c r="AC87" s="17" t="n">
        <v>0.00271225843948273</v>
      </c>
      <c r="AD87" s="18" t="n">
        <v>3.53</v>
      </c>
      <c r="AE87" s="18" t="n">
        <f aca="false">IF(AD87="","",MIN(AD87,100))</f>
        <v>3.53</v>
      </c>
      <c r="AF87" s="14" t="n">
        <v>97.8</v>
      </c>
      <c r="AG87" s="14" t="s">
        <v>224</v>
      </c>
      <c r="AH87" s="14" t="n">
        <v>10</v>
      </c>
      <c r="AI87" s="14" t="s">
        <v>224</v>
      </c>
      <c r="AJ87" s="14" t="s">
        <v>224</v>
      </c>
      <c r="AK87" s="14" t="s">
        <v>240</v>
      </c>
      <c r="AL87" s="19" t="n">
        <f aca="false">ROUND('Start Here'!$B$29*AH87+'Start Here'!$B$30*MIN(IF(AD87="",0,AD87),50)/5+IF(M87&lt;=30000,'Start Here'!$B$31,IF(M87&lt;=60000,'Start Here'!$B$32,0)),1)</f>
        <v>7.2</v>
      </c>
      <c r="AM87" s="6" t="s">
        <v>503</v>
      </c>
      <c r="AN87" s="6" t="s">
        <v>1024</v>
      </c>
      <c r="AO87" s="6" t="s">
        <v>1135</v>
      </c>
      <c r="AP87" s="14" t="s">
        <v>1136</v>
      </c>
      <c r="AQ87" s="14" t="s">
        <v>351</v>
      </c>
      <c r="AR87" s="20" t="s">
        <v>246</v>
      </c>
      <c r="AS87" s="20"/>
    </row>
    <row r="88" customFormat="false" ht="60" hidden="false" customHeight="true" outlineLevel="0" collapsed="false">
      <c r="A88" s="14" t="n">
        <v>87</v>
      </c>
      <c r="B88" s="14" t="s">
        <v>247</v>
      </c>
      <c r="C88" s="14" t="s">
        <v>221</v>
      </c>
      <c r="D88" s="14" t="s">
        <v>443</v>
      </c>
      <c r="E88" s="14" t="s">
        <v>36</v>
      </c>
      <c r="F88" s="14" t="s">
        <v>223</v>
      </c>
      <c r="G88" s="14" t="s">
        <v>223</v>
      </c>
      <c r="H88" s="14" t="s">
        <v>224</v>
      </c>
      <c r="I88" s="14" t="s">
        <v>225</v>
      </c>
      <c r="J88" s="14" t="s">
        <v>1137</v>
      </c>
      <c r="K88" s="14" t="s">
        <v>1138</v>
      </c>
      <c r="L88" s="14" t="s">
        <v>1139</v>
      </c>
      <c r="M88" s="15" t="n">
        <v>7300</v>
      </c>
      <c r="N88" s="14" t="s">
        <v>283</v>
      </c>
      <c r="O88" s="14" t="s">
        <v>447</v>
      </c>
      <c r="P88" s="16" t="s">
        <v>1140</v>
      </c>
      <c r="Q88" s="6" t="s">
        <v>1141</v>
      </c>
      <c r="R88" s="6" t="s">
        <v>1142</v>
      </c>
      <c r="S88" s="14" t="s">
        <v>513</v>
      </c>
      <c r="T88" s="14" t="s">
        <v>235</v>
      </c>
      <c r="U88" s="14" t="s">
        <v>236</v>
      </c>
      <c r="V88" s="14" t="s">
        <v>1143</v>
      </c>
      <c r="W88" s="14" t="s">
        <v>452</v>
      </c>
      <c r="X88" s="14"/>
      <c r="Y88" s="15" t="n">
        <v>46900</v>
      </c>
      <c r="Z88" s="15"/>
      <c r="AA88" s="14"/>
      <c r="AB88" s="14"/>
      <c r="AC88" s="17"/>
      <c r="AD88" s="18" t="n">
        <v>19.8</v>
      </c>
      <c r="AE88" s="18" t="n">
        <f aca="false">IF(AD88="","",MIN(AD88,100))</f>
        <v>19.8</v>
      </c>
      <c r="AF88" s="14"/>
      <c r="AG88" s="14" t="s">
        <v>224</v>
      </c>
      <c r="AH88" s="14" t="n">
        <v>8</v>
      </c>
      <c r="AI88" s="14" t="s">
        <v>224</v>
      </c>
      <c r="AJ88" s="14" t="s">
        <v>224</v>
      </c>
      <c r="AK88" s="14" t="s">
        <v>240</v>
      </c>
      <c r="AL88" s="19" t="n">
        <f aca="false">ROUND('Start Here'!$B$29*AH88+'Start Here'!$B$30*MIN(IF(AD88="",0,AD88),50)/5+IF(M88&lt;=30000,'Start Here'!$B$31,IF(M88&lt;=60000,'Start Here'!$B$32,0)),1)</f>
        <v>7.2</v>
      </c>
      <c r="AM88" s="6" t="s">
        <v>1144</v>
      </c>
      <c r="AN88" s="6" t="s">
        <v>1145</v>
      </c>
      <c r="AO88" s="6" t="s">
        <v>1146</v>
      </c>
      <c r="AP88" s="14" t="s">
        <v>922</v>
      </c>
      <c r="AQ88" s="14" t="s">
        <v>574</v>
      </c>
      <c r="AR88" s="20" t="s">
        <v>246</v>
      </c>
      <c r="AS88" s="20"/>
    </row>
    <row r="89" customFormat="false" ht="60" hidden="false" customHeight="true" outlineLevel="0" collapsed="false">
      <c r="A89" s="14" t="n">
        <v>88</v>
      </c>
      <c r="B89" s="14" t="s">
        <v>220</v>
      </c>
      <c r="C89" s="14" t="s">
        <v>221</v>
      </c>
      <c r="D89" s="14" t="s">
        <v>222</v>
      </c>
      <c r="E89" s="14" t="s">
        <v>36</v>
      </c>
      <c r="F89" s="14" t="s">
        <v>223</v>
      </c>
      <c r="G89" s="14" t="s">
        <v>223</v>
      </c>
      <c r="H89" s="14" t="s">
        <v>224</v>
      </c>
      <c r="I89" s="14" t="s">
        <v>322</v>
      </c>
      <c r="J89" s="14" t="s">
        <v>308</v>
      </c>
      <c r="K89" s="14" t="s">
        <v>1147</v>
      </c>
      <c r="L89" s="14" t="s">
        <v>1148</v>
      </c>
      <c r="M89" s="15" t="n">
        <v>6310</v>
      </c>
      <c r="N89" s="14" t="s">
        <v>283</v>
      </c>
      <c r="O89" s="14" t="s">
        <v>1149</v>
      </c>
      <c r="P89" s="16" t="s">
        <v>1150</v>
      </c>
      <c r="Q89" s="6" t="s">
        <v>1151</v>
      </c>
      <c r="R89" s="6" t="s">
        <v>1152</v>
      </c>
      <c r="S89" s="14" t="s">
        <v>685</v>
      </c>
      <c r="T89" s="14" t="s">
        <v>235</v>
      </c>
      <c r="U89" s="14" t="s">
        <v>686</v>
      </c>
      <c r="V89" s="14" t="s">
        <v>237</v>
      </c>
      <c r="W89" s="14" t="s">
        <v>238</v>
      </c>
      <c r="X89" s="14" t="s">
        <v>688</v>
      </c>
      <c r="Y89" s="15" t="n">
        <v>284208</v>
      </c>
      <c r="Z89" s="15" t="n">
        <v>812</v>
      </c>
      <c r="AA89" s="14" t="n">
        <v>38</v>
      </c>
      <c r="AB89" s="14" t="n">
        <v>65</v>
      </c>
      <c r="AC89" s="17" t="n">
        <v>0.00321947306198277</v>
      </c>
      <c r="AD89" s="18" t="n">
        <v>75.02</v>
      </c>
      <c r="AE89" s="18" t="n">
        <f aca="false">IF(AD89="","",MIN(AD89,100))</f>
        <v>75.02</v>
      </c>
      <c r="AF89" s="14" t="n">
        <v>99.5</v>
      </c>
      <c r="AG89" s="14" t="s">
        <v>224</v>
      </c>
      <c r="AH89" s="14" t="n">
        <v>4.3</v>
      </c>
      <c r="AI89" s="14" t="s">
        <v>224</v>
      </c>
      <c r="AJ89" s="14" t="s">
        <v>224</v>
      </c>
      <c r="AK89" s="14" t="s">
        <v>240</v>
      </c>
      <c r="AL89" s="19" t="n">
        <f aca="false">ROUND('Start Here'!$B$29*AH89+'Start Here'!$B$30*MIN(IF(AD89="",0,AD89),50)/5+IF(M89&lt;=30000,'Start Here'!$B$31,IF(M89&lt;=60000,'Start Here'!$B$32,0)),1)</f>
        <v>7.2</v>
      </c>
      <c r="AM89" s="6" t="s">
        <v>874</v>
      </c>
      <c r="AN89" s="6" t="s">
        <v>727</v>
      </c>
      <c r="AO89" s="6" t="s">
        <v>1153</v>
      </c>
      <c r="AP89" s="14"/>
      <c r="AQ89" s="14" t="s">
        <v>409</v>
      </c>
      <c r="AR89" s="20" t="s">
        <v>246</v>
      </c>
      <c r="AS89" s="20"/>
    </row>
    <row r="90" customFormat="false" ht="60" hidden="false" customHeight="true" outlineLevel="0" collapsed="false">
      <c r="A90" s="14" t="n">
        <v>89</v>
      </c>
      <c r="B90" s="14" t="s">
        <v>220</v>
      </c>
      <c r="C90" s="14" t="s">
        <v>221</v>
      </c>
      <c r="D90" s="14" t="s">
        <v>222</v>
      </c>
      <c r="E90" s="14" t="s">
        <v>36</v>
      </c>
      <c r="F90" s="14" t="s">
        <v>223</v>
      </c>
      <c r="G90" s="14" t="s">
        <v>223</v>
      </c>
      <c r="H90" s="14" t="s">
        <v>224</v>
      </c>
      <c r="I90" s="14" t="s">
        <v>308</v>
      </c>
      <c r="J90" s="14" t="s">
        <v>322</v>
      </c>
      <c r="K90" s="14" t="s">
        <v>1154</v>
      </c>
      <c r="L90" s="14" t="s">
        <v>1155</v>
      </c>
      <c r="M90" s="15" t="n">
        <v>6563</v>
      </c>
      <c r="N90" s="14" t="s">
        <v>283</v>
      </c>
      <c r="O90" s="14" t="s">
        <v>1156</v>
      </c>
      <c r="P90" s="16" t="s">
        <v>1157</v>
      </c>
      <c r="Q90" s="6" t="s">
        <v>1158</v>
      </c>
      <c r="R90" s="6" t="s">
        <v>1159</v>
      </c>
      <c r="S90" s="14" t="s">
        <v>255</v>
      </c>
      <c r="T90" s="14" t="s">
        <v>235</v>
      </c>
      <c r="U90" s="14" t="s">
        <v>236</v>
      </c>
      <c r="V90" s="14" t="s">
        <v>725</v>
      </c>
      <c r="W90" s="14"/>
      <c r="X90" s="14"/>
      <c r="Y90" s="15" t="n">
        <v>303250</v>
      </c>
      <c r="Z90" s="15" t="n">
        <v>549</v>
      </c>
      <c r="AA90" s="14" t="n">
        <v>41</v>
      </c>
      <c r="AB90" s="14" t="n">
        <v>42</v>
      </c>
      <c r="AC90" s="17" t="n">
        <v>0.0020840890354493</v>
      </c>
      <c r="AD90" s="18" t="n">
        <v>64.52</v>
      </c>
      <c r="AE90" s="18" t="n">
        <f aca="false">IF(AD90="","",MIN(AD90,100))</f>
        <v>64.52</v>
      </c>
      <c r="AF90" s="14" t="n">
        <v>99.6</v>
      </c>
      <c r="AG90" s="14" t="s">
        <v>224</v>
      </c>
      <c r="AH90" s="14" t="n">
        <v>4.3</v>
      </c>
      <c r="AI90" s="14" t="s">
        <v>224</v>
      </c>
      <c r="AJ90" s="14" t="s">
        <v>224</v>
      </c>
      <c r="AK90" s="14" t="s">
        <v>240</v>
      </c>
      <c r="AL90" s="19" t="n">
        <f aca="false">ROUND('Start Here'!$B$29*AH90+'Start Here'!$B$30*MIN(IF(AD90="",0,AD90),50)/5+IF(M90&lt;=30000,'Start Here'!$B$31,IF(M90&lt;=60000,'Start Here'!$B$32,0)),1)</f>
        <v>7.2</v>
      </c>
      <c r="AM90" s="6" t="s">
        <v>259</v>
      </c>
      <c r="AN90" s="6" t="s">
        <v>840</v>
      </c>
      <c r="AO90" s="6"/>
      <c r="AP90" s="14"/>
      <c r="AQ90" s="14" t="s">
        <v>363</v>
      </c>
      <c r="AR90" s="20" t="s">
        <v>246</v>
      </c>
      <c r="AS90" s="20"/>
    </row>
    <row r="91" customFormat="false" ht="60" hidden="false" customHeight="true" outlineLevel="0" collapsed="false">
      <c r="A91" s="14" t="n">
        <v>90</v>
      </c>
      <c r="B91" s="14" t="s">
        <v>220</v>
      </c>
      <c r="C91" s="14" t="s">
        <v>221</v>
      </c>
      <c r="D91" s="14" t="s">
        <v>222</v>
      </c>
      <c r="E91" s="14" t="s">
        <v>40</v>
      </c>
      <c r="F91" s="14" t="s">
        <v>224</v>
      </c>
      <c r="G91" s="14" t="s">
        <v>224</v>
      </c>
      <c r="H91" s="14" t="s">
        <v>224</v>
      </c>
      <c r="I91" s="14" t="s">
        <v>586</v>
      </c>
      <c r="J91" s="14" t="s">
        <v>624</v>
      </c>
      <c r="K91" s="14" t="s">
        <v>1092</v>
      </c>
      <c r="L91" s="14" t="s">
        <v>1093</v>
      </c>
      <c r="M91" s="15" t="n">
        <v>17119</v>
      </c>
      <c r="N91" s="14" t="s">
        <v>229</v>
      </c>
      <c r="O91" s="14" t="s">
        <v>977</v>
      </c>
      <c r="P91" s="16" t="s">
        <v>1160</v>
      </c>
      <c r="Q91" s="6" t="s">
        <v>1161</v>
      </c>
      <c r="R91" s="6" t="s">
        <v>1162</v>
      </c>
      <c r="S91" s="14" t="s">
        <v>884</v>
      </c>
      <c r="T91" s="14" t="s">
        <v>235</v>
      </c>
      <c r="U91" s="14" t="s">
        <v>236</v>
      </c>
      <c r="V91" s="14" t="s">
        <v>331</v>
      </c>
      <c r="W91" s="14" t="s">
        <v>238</v>
      </c>
      <c r="X91" s="14" t="s">
        <v>239</v>
      </c>
      <c r="Y91" s="15" t="n">
        <v>26073</v>
      </c>
      <c r="Z91" s="15" t="n">
        <v>97</v>
      </c>
      <c r="AA91" s="14" t="n">
        <v>18</v>
      </c>
      <c r="AB91" s="14" t="n">
        <v>7</v>
      </c>
      <c r="AC91" s="17" t="n">
        <v>0.00467917002262877</v>
      </c>
      <c r="AD91" s="18" t="n">
        <v>2.26</v>
      </c>
      <c r="AE91" s="18" t="n">
        <f aca="false">IF(AD91="","",MIN(AD91,100))</f>
        <v>2.26</v>
      </c>
      <c r="AF91" s="14" t="n">
        <v>81.8</v>
      </c>
      <c r="AG91" s="14" t="s">
        <v>224</v>
      </c>
      <c r="AH91" s="14" t="n">
        <v>10</v>
      </c>
      <c r="AI91" s="14" t="s">
        <v>224</v>
      </c>
      <c r="AJ91" s="14" t="s">
        <v>224</v>
      </c>
      <c r="AK91" s="14" t="s">
        <v>240</v>
      </c>
      <c r="AL91" s="19" t="n">
        <f aca="false">ROUND('Start Here'!$B$29*AH91+'Start Here'!$B$30*MIN(IF(AD91="",0,AD91),50)/5+IF(M91&lt;=30000,'Start Here'!$B$31,IF(M91&lt;=60000,'Start Here'!$B$32,0)),1)</f>
        <v>7.1</v>
      </c>
      <c r="AM91" s="6" t="s">
        <v>1163</v>
      </c>
      <c r="AN91" s="6" t="s">
        <v>1164</v>
      </c>
      <c r="AO91" s="6" t="s">
        <v>1165</v>
      </c>
      <c r="AP91" s="14" t="s">
        <v>1166</v>
      </c>
      <c r="AQ91" s="14" t="s">
        <v>538</v>
      </c>
      <c r="AR91" s="20" t="s">
        <v>246</v>
      </c>
      <c r="AS91" s="20"/>
    </row>
    <row r="92" customFormat="false" ht="60" hidden="false" customHeight="true" outlineLevel="0" collapsed="false">
      <c r="A92" s="14" t="n">
        <v>91</v>
      </c>
      <c r="B92" s="14" t="s">
        <v>220</v>
      </c>
      <c r="C92" s="14" t="s">
        <v>221</v>
      </c>
      <c r="D92" s="14" t="s">
        <v>222</v>
      </c>
      <c r="E92" s="14" t="s">
        <v>36</v>
      </c>
      <c r="F92" s="14" t="s">
        <v>223</v>
      </c>
      <c r="G92" s="14" t="s">
        <v>223</v>
      </c>
      <c r="H92" s="14" t="s">
        <v>224</v>
      </c>
      <c r="I92" s="14" t="s">
        <v>308</v>
      </c>
      <c r="J92" s="14" t="s">
        <v>1017</v>
      </c>
      <c r="K92" s="14" t="s">
        <v>324</v>
      </c>
      <c r="L92" s="14" t="s">
        <v>325</v>
      </c>
      <c r="M92" s="15" t="n">
        <v>22306</v>
      </c>
      <c r="N92" s="14" t="s">
        <v>298</v>
      </c>
      <c r="O92" s="14" t="s">
        <v>1167</v>
      </c>
      <c r="P92" s="16" t="s">
        <v>1168</v>
      </c>
      <c r="Q92" s="6" t="s">
        <v>1169</v>
      </c>
      <c r="R92" s="6" t="s">
        <v>1170</v>
      </c>
      <c r="S92" s="14" t="s">
        <v>884</v>
      </c>
      <c r="T92" s="14" t="s">
        <v>273</v>
      </c>
      <c r="U92" s="14" t="s">
        <v>274</v>
      </c>
      <c r="V92" s="14" t="s">
        <v>288</v>
      </c>
      <c r="W92" s="14" t="s">
        <v>257</v>
      </c>
      <c r="X92" s="14" t="s">
        <v>239</v>
      </c>
      <c r="Y92" s="15" t="n">
        <v>78459</v>
      </c>
      <c r="Z92" s="15" t="n">
        <v>1007</v>
      </c>
      <c r="AA92" s="14" t="n">
        <v>937</v>
      </c>
      <c r="AB92" s="14" t="n">
        <v>343</v>
      </c>
      <c r="AC92" s="17" t="n">
        <v>0.029148982270995</v>
      </c>
      <c r="AD92" s="18" t="n">
        <v>26.76</v>
      </c>
      <c r="AE92" s="18" t="n">
        <f aca="false">IF(AD92="","",MIN(AD92,100))</f>
        <v>26.76</v>
      </c>
      <c r="AF92" s="14" t="n">
        <v>98.9</v>
      </c>
      <c r="AG92" s="14" t="s">
        <v>224</v>
      </c>
      <c r="AH92" s="14" t="n">
        <v>6.9</v>
      </c>
      <c r="AI92" s="14" t="s">
        <v>223</v>
      </c>
      <c r="AJ92" s="14" t="s">
        <v>224</v>
      </c>
      <c r="AK92" s="14" t="s">
        <v>240</v>
      </c>
      <c r="AL92" s="19" t="n">
        <f aca="false">ROUND('Start Here'!$B$29*AH92+'Start Here'!$B$30*MIN(IF(AD92="",0,AD92),50)/5+IF(M92&lt;=30000,'Start Here'!$B$31,IF(M92&lt;=60000,'Start Here'!$B$32,0)),1)</f>
        <v>7.1</v>
      </c>
      <c r="AM92" s="6" t="s">
        <v>1171</v>
      </c>
      <c r="AN92" s="6" t="s">
        <v>886</v>
      </c>
      <c r="AO92" s="6" t="s">
        <v>1172</v>
      </c>
      <c r="AP92" s="14" t="s">
        <v>1173</v>
      </c>
      <c r="AQ92" s="14" t="s">
        <v>363</v>
      </c>
      <c r="AR92" s="20" t="s">
        <v>246</v>
      </c>
      <c r="AS92" s="20"/>
    </row>
    <row r="93" customFormat="false" ht="60" hidden="false" customHeight="true" outlineLevel="0" collapsed="false">
      <c r="A93" s="14" t="n">
        <v>92</v>
      </c>
      <c r="B93" s="14" t="s">
        <v>374</v>
      </c>
      <c r="C93" s="14" t="s">
        <v>221</v>
      </c>
      <c r="D93" s="14" t="s">
        <v>222</v>
      </c>
      <c r="E93" s="14" t="s">
        <v>36</v>
      </c>
      <c r="F93" s="14" t="s">
        <v>223</v>
      </c>
      <c r="G93" s="14" t="s">
        <v>223</v>
      </c>
      <c r="H93" s="14" t="s">
        <v>224</v>
      </c>
      <c r="I93" s="14" t="s">
        <v>225</v>
      </c>
      <c r="J93" s="14" t="s">
        <v>1174</v>
      </c>
      <c r="K93" s="14" t="s">
        <v>1175</v>
      </c>
      <c r="L93" s="14" t="s">
        <v>1176</v>
      </c>
      <c r="M93" s="15" t="n">
        <v>21476</v>
      </c>
      <c r="N93" s="14" t="s">
        <v>298</v>
      </c>
      <c r="O93" s="14" t="s">
        <v>1177</v>
      </c>
      <c r="P93" s="16" t="s">
        <v>1178</v>
      </c>
      <c r="Q93" s="6" t="s">
        <v>1179</v>
      </c>
      <c r="R93" s="6" t="s">
        <v>1180</v>
      </c>
      <c r="S93" s="14" t="s">
        <v>685</v>
      </c>
      <c r="T93" s="14" t="s">
        <v>235</v>
      </c>
      <c r="U93" s="14" t="s">
        <v>686</v>
      </c>
      <c r="V93" s="14" t="s">
        <v>331</v>
      </c>
      <c r="W93" s="14" t="s">
        <v>275</v>
      </c>
      <c r="X93" s="14" t="s">
        <v>258</v>
      </c>
      <c r="Y93" s="15"/>
      <c r="Z93" s="15" t="n">
        <v>816</v>
      </c>
      <c r="AA93" s="14" t="n">
        <v>1087</v>
      </c>
      <c r="AB93" s="14" t="n">
        <v>23</v>
      </c>
      <c r="AC93" s="17" t="n">
        <v>0.0898782024359513</v>
      </c>
      <c r="AD93" s="18" t="n">
        <v>34.07</v>
      </c>
      <c r="AE93" s="18" t="n">
        <f aca="false">IF(AD93="","",MIN(AD93,100))</f>
        <v>34.07</v>
      </c>
      <c r="AF93" s="14" t="n">
        <v>99.3</v>
      </c>
      <c r="AG93" s="14" t="s">
        <v>224</v>
      </c>
      <c r="AH93" s="14" t="n">
        <v>6</v>
      </c>
      <c r="AI93" s="14" t="s">
        <v>224</v>
      </c>
      <c r="AJ93" s="14" t="s">
        <v>224</v>
      </c>
      <c r="AK93" s="14" t="s">
        <v>240</v>
      </c>
      <c r="AL93" s="19" t="n">
        <f aca="false">ROUND('Start Here'!$B$29*AH93+'Start Here'!$B$30*MIN(IF(AD93="",0,AD93),50)/5+IF(M93&lt;=30000,'Start Here'!$B$31,IF(M93&lt;=60000,'Start Here'!$B$32,0)),1)</f>
        <v>7</v>
      </c>
      <c r="AM93" s="6" t="s">
        <v>1181</v>
      </c>
      <c r="AN93" s="6" t="s">
        <v>690</v>
      </c>
      <c r="AO93" s="6" t="s">
        <v>1182</v>
      </c>
      <c r="AP93" s="14" t="s">
        <v>1183</v>
      </c>
      <c r="AQ93" s="14" t="s">
        <v>1184</v>
      </c>
      <c r="AR93" s="20" t="s">
        <v>246</v>
      </c>
      <c r="AS93" s="20"/>
    </row>
    <row r="94" customFormat="false" ht="60" hidden="false" customHeight="true" outlineLevel="0" collapsed="false">
      <c r="A94" s="14" t="n">
        <v>93</v>
      </c>
      <c r="B94" s="14" t="s">
        <v>220</v>
      </c>
      <c r="C94" s="14" t="s">
        <v>221</v>
      </c>
      <c r="D94" s="14" t="s">
        <v>222</v>
      </c>
      <c r="E94" s="14" t="s">
        <v>36</v>
      </c>
      <c r="F94" s="14" t="s">
        <v>223</v>
      </c>
      <c r="G94" s="14" t="s">
        <v>223</v>
      </c>
      <c r="H94" s="14" t="s">
        <v>223</v>
      </c>
      <c r="I94" s="14" t="s">
        <v>364</v>
      </c>
      <c r="J94" s="14" t="s">
        <v>308</v>
      </c>
      <c r="K94" s="14" t="s">
        <v>1185</v>
      </c>
      <c r="L94" s="14" t="s">
        <v>1186</v>
      </c>
      <c r="M94" s="15" t="n">
        <v>12471</v>
      </c>
      <c r="N94" s="14" t="s">
        <v>229</v>
      </c>
      <c r="O94" s="14" t="s">
        <v>1074</v>
      </c>
      <c r="P94" s="16" t="s">
        <v>1187</v>
      </c>
      <c r="Q94" s="6" t="s">
        <v>1188</v>
      </c>
      <c r="R94" s="6" t="s">
        <v>1189</v>
      </c>
      <c r="S94" s="14" t="s">
        <v>234</v>
      </c>
      <c r="T94" s="14" t="s">
        <v>235</v>
      </c>
      <c r="U94" s="14" t="s">
        <v>236</v>
      </c>
      <c r="V94" s="14" t="s">
        <v>237</v>
      </c>
      <c r="W94" s="14" t="s">
        <v>238</v>
      </c>
      <c r="X94" s="14" t="s">
        <v>1190</v>
      </c>
      <c r="Y94" s="15" t="n">
        <v>441630</v>
      </c>
      <c r="Z94" s="15" t="n">
        <v>2845</v>
      </c>
      <c r="AA94" s="14" t="n">
        <v>324</v>
      </c>
      <c r="AB94" s="14" t="n">
        <v>229</v>
      </c>
      <c r="AC94" s="17" t="n">
        <v>0.00769422367139914</v>
      </c>
      <c r="AD94" s="18" t="n">
        <v>53.25</v>
      </c>
      <c r="AE94" s="18" t="n">
        <f aca="false">IF(AD94="","",MIN(AD94,100))</f>
        <v>53.25</v>
      </c>
      <c r="AF94" s="14" t="n">
        <v>99.3</v>
      </c>
      <c r="AG94" s="14" t="s">
        <v>224</v>
      </c>
      <c r="AH94" s="14" t="n">
        <v>4</v>
      </c>
      <c r="AI94" s="14" t="s">
        <v>224</v>
      </c>
      <c r="AJ94" s="14" t="s">
        <v>224</v>
      </c>
      <c r="AK94" s="14" t="s">
        <v>240</v>
      </c>
      <c r="AL94" s="19" t="n">
        <f aca="false">ROUND('Start Here'!$B$29*AH94+'Start Here'!$B$30*MIN(IF(AD94="",0,AD94),50)/5+IF(M94&lt;=30000,'Start Here'!$B$31,IF(M94&lt;=60000,'Start Here'!$B$32,0)),1)</f>
        <v>7</v>
      </c>
      <c r="AM94" s="6" t="s">
        <v>290</v>
      </c>
      <c r="AN94" s="6" t="s">
        <v>1191</v>
      </c>
      <c r="AO94" s="6" t="s">
        <v>1192</v>
      </c>
      <c r="AP94" s="14" t="s">
        <v>1193</v>
      </c>
      <c r="AQ94" s="14" t="s">
        <v>677</v>
      </c>
      <c r="AR94" s="20" t="s">
        <v>246</v>
      </c>
      <c r="AS94" s="20"/>
    </row>
    <row r="95" customFormat="false" ht="60" hidden="false" customHeight="true" outlineLevel="0" collapsed="false">
      <c r="A95" s="14" t="n">
        <v>94</v>
      </c>
      <c r="B95" s="14" t="s">
        <v>247</v>
      </c>
      <c r="C95" s="14" t="s">
        <v>1194</v>
      </c>
      <c r="D95" s="14" t="s">
        <v>222</v>
      </c>
      <c r="E95" s="14" t="s">
        <v>36</v>
      </c>
      <c r="F95" s="14" t="s">
        <v>223</v>
      </c>
      <c r="G95" s="14" t="s">
        <v>223</v>
      </c>
      <c r="H95" s="14" t="s">
        <v>223</v>
      </c>
      <c r="I95" s="14" t="s">
        <v>338</v>
      </c>
      <c r="J95" s="14" t="s">
        <v>322</v>
      </c>
      <c r="K95" s="14" t="s">
        <v>1195</v>
      </c>
      <c r="L95" s="14" t="s">
        <v>1196</v>
      </c>
      <c r="M95" s="15" t="n">
        <v>15982</v>
      </c>
      <c r="N95" s="14" t="s">
        <v>229</v>
      </c>
      <c r="O95" s="14" t="s">
        <v>299</v>
      </c>
      <c r="P95" s="16" t="s">
        <v>1197</v>
      </c>
      <c r="Q95" s="6" t="s">
        <v>1198</v>
      </c>
      <c r="R95" s="6" t="s">
        <v>1199</v>
      </c>
      <c r="S95" s="14" t="s">
        <v>255</v>
      </c>
      <c r="T95" s="14" t="s">
        <v>235</v>
      </c>
      <c r="U95" s="14" t="s">
        <v>236</v>
      </c>
      <c r="V95" s="14" t="s">
        <v>256</v>
      </c>
      <c r="W95" s="14" t="s">
        <v>257</v>
      </c>
      <c r="X95" s="14" t="s">
        <v>239</v>
      </c>
      <c r="Y95" s="15" t="n">
        <v>2014197</v>
      </c>
      <c r="Z95" s="15" t="n">
        <v>12823</v>
      </c>
      <c r="AA95" s="14" t="n">
        <v>152</v>
      </c>
      <c r="AB95" s="14"/>
      <c r="AC95" s="17" t="n">
        <v>0.00644177307383538</v>
      </c>
      <c r="AD95" s="18" t="n">
        <v>79.99</v>
      </c>
      <c r="AE95" s="18" t="n">
        <f aca="false">IF(AD95="","",MIN(AD95,100))</f>
        <v>79.99</v>
      </c>
      <c r="AF95" s="14" t="n">
        <v>99.2</v>
      </c>
      <c r="AG95" s="14" t="s">
        <v>224</v>
      </c>
      <c r="AH95" s="14" t="n">
        <v>4</v>
      </c>
      <c r="AI95" s="14" t="s">
        <v>224</v>
      </c>
      <c r="AJ95" s="14" t="s">
        <v>224</v>
      </c>
      <c r="AK95" s="14" t="s">
        <v>453</v>
      </c>
      <c r="AL95" s="19" t="n">
        <f aca="false">ROUND('Start Here'!$B$29*AH95+'Start Here'!$B$30*MIN(IF(AD95="",0,AD95),50)/5+IF(M95&lt;=30000,'Start Here'!$B$31,IF(M95&lt;=60000,'Start Here'!$B$32,0)),1)</f>
        <v>7</v>
      </c>
      <c r="AM95" s="6" t="s">
        <v>259</v>
      </c>
      <c r="AN95" s="6" t="s">
        <v>1200</v>
      </c>
      <c r="AO95" s="6" t="s">
        <v>1201</v>
      </c>
      <c r="AP95" s="14" t="s">
        <v>1202</v>
      </c>
      <c r="AQ95" s="14" t="s">
        <v>1203</v>
      </c>
      <c r="AR95" s="20" t="s">
        <v>246</v>
      </c>
      <c r="AS95" s="20"/>
    </row>
    <row r="96" customFormat="false" ht="60" hidden="false" customHeight="true" outlineLevel="0" collapsed="false">
      <c r="A96" s="14" t="n">
        <v>95</v>
      </c>
      <c r="B96" s="14" t="s">
        <v>220</v>
      </c>
      <c r="C96" s="14" t="s">
        <v>221</v>
      </c>
      <c r="D96" s="14" t="s">
        <v>222</v>
      </c>
      <c r="E96" s="14" t="s">
        <v>36</v>
      </c>
      <c r="F96" s="14" t="s">
        <v>223</v>
      </c>
      <c r="G96" s="14" t="s">
        <v>223</v>
      </c>
      <c r="H96" s="14" t="s">
        <v>223</v>
      </c>
      <c r="I96" s="14" t="s">
        <v>225</v>
      </c>
      <c r="J96" s="14" t="s">
        <v>322</v>
      </c>
      <c r="K96" s="14" t="s">
        <v>1204</v>
      </c>
      <c r="L96" s="14" t="s">
        <v>1205</v>
      </c>
      <c r="M96" s="15" t="n">
        <v>13608</v>
      </c>
      <c r="N96" s="14" t="s">
        <v>229</v>
      </c>
      <c r="O96" s="14" t="s">
        <v>1206</v>
      </c>
      <c r="P96" s="16" t="s">
        <v>1207</v>
      </c>
      <c r="Q96" s="6" t="s">
        <v>1208</v>
      </c>
      <c r="R96" s="6" t="s">
        <v>1209</v>
      </c>
      <c r="S96" s="14" t="s">
        <v>255</v>
      </c>
      <c r="T96" s="14" t="s">
        <v>235</v>
      </c>
      <c r="U96" s="14" t="s">
        <v>236</v>
      </c>
      <c r="V96" s="14" t="s">
        <v>439</v>
      </c>
      <c r="W96" s="14"/>
      <c r="X96" s="14"/>
      <c r="Y96" s="15" t="n">
        <v>1025041</v>
      </c>
      <c r="Z96" s="15" t="n">
        <v>1868</v>
      </c>
      <c r="AA96" s="14" t="n">
        <v>242</v>
      </c>
      <c r="AB96" s="14" t="n">
        <v>189</v>
      </c>
      <c r="AC96" s="17" t="n">
        <v>0.00224283711578366</v>
      </c>
      <c r="AD96" s="18" t="n">
        <v>70.5</v>
      </c>
      <c r="AE96" s="18" t="n">
        <f aca="false">IF(AD96="","",MIN(AD96,100))</f>
        <v>70.5</v>
      </c>
      <c r="AF96" s="14" t="n">
        <v>100</v>
      </c>
      <c r="AG96" s="14" t="s">
        <v>224</v>
      </c>
      <c r="AH96" s="14" t="n">
        <v>4</v>
      </c>
      <c r="AI96" s="14" t="s">
        <v>224</v>
      </c>
      <c r="AJ96" s="14" t="s">
        <v>224</v>
      </c>
      <c r="AK96" s="14" t="s">
        <v>240</v>
      </c>
      <c r="AL96" s="19" t="n">
        <f aca="false">ROUND('Start Here'!$B$29*AH96+'Start Here'!$B$30*MIN(IF(AD96="",0,AD96),50)/5+IF(M96&lt;=30000,'Start Here'!$B$31,IF(M96&lt;=60000,'Start Here'!$B$32,0)),1)</f>
        <v>7</v>
      </c>
      <c r="AM96" s="6" t="s">
        <v>259</v>
      </c>
      <c r="AN96" s="6" t="s">
        <v>674</v>
      </c>
      <c r="AO96" s="6"/>
      <c r="AP96" s="14"/>
      <c r="AQ96" s="14" t="s">
        <v>409</v>
      </c>
      <c r="AR96" s="20" t="s">
        <v>246</v>
      </c>
      <c r="AS96" s="20"/>
    </row>
    <row r="97" customFormat="false" ht="60" hidden="false" customHeight="true" outlineLevel="0" collapsed="false">
      <c r="A97" s="14" t="n">
        <v>96</v>
      </c>
      <c r="B97" s="14" t="s">
        <v>220</v>
      </c>
      <c r="C97" s="14" t="s">
        <v>221</v>
      </c>
      <c r="D97" s="14" t="s">
        <v>222</v>
      </c>
      <c r="E97" s="14" t="s">
        <v>36</v>
      </c>
      <c r="F97" s="14" t="s">
        <v>223</v>
      </c>
      <c r="G97" s="14" t="s">
        <v>223</v>
      </c>
      <c r="H97" s="14" t="s">
        <v>224</v>
      </c>
      <c r="I97" s="14" t="s">
        <v>586</v>
      </c>
      <c r="J97" s="14" t="s">
        <v>1210</v>
      </c>
      <c r="K97" s="14" t="s">
        <v>1211</v>
      </c>
      <c r="L97" s="14" t="s">
        <v>1212</v>
      </c>
      <c r="M97" s="15" t="n">
        <v>9135</v>
      </c>
      <c r="N97" s="14" t="s">
        <v>283</v>
      </c>
      <c r="O97" s="14" t="s">
        <v>1213</v>
      </c>
      <c r="P97" s="16" t="s">
        <v>1214</v>
      </c>
      <c r="Q97" s="6" t="s">
        <v>1215</v>
      </c>
      <c r="R97" s="6" t="s">
        <v>1216</v>
      </c>
      <c r="S97" s="14" t="s">
        <v>513</v>
      </c>
      <c r="T97" s="14" t="s">
        <v>235</v>
      </c>
      <c r="U97" s="14" t="s">
        <v>236</v>
      </c>
      <c r="V97" s="14" t="s">
        <v>237</v>
      </c>
      <c r="W97" s="14" t="s">
        <v>238</v>
      </c>
      <c r="X97" s="14" t="s">
        <v>688</v>
      </c>
      <c r="Y97" s="15" t="n">
        <v>11409</v>
      </c>
      <c r="Z97" s="15" t="n">
        <v>112</v>
      </c>
      <c r="AA97" s="14" t="n">
        <v>4</v>
      </c>
      <c r="AB97" s="14" t="n">
        <v>26</v>
      </c>
      <c r="AC97" s="17" t="n">
        <v>0.0124463143132615</v>
      </c>
      <c r="AD97" s="18" t="n">
        <v>56</v>
      </c>
      <c r="AE97" s="18" t="n">
        <f aca="false">IF(AD97="","",MIN(AD97,100))</f>
        <v>56</v>
      </c>
      <c r="AF97" s="14" t="n">
        <v>82.1</v>
      </c>
      <c r="AG97" s="14" t="s">
        <v>224</v>
      </c>
      <c r="AH97" s="14" t="n">
        <v>4</v>
      </c>
      <c r="AI97" s="14" t="s">
        <v>224</v>
      </c>
      <c r="AJ97" s="14" t="s">
        <v>224</v>
      </c>
      <c r="AK97" s="14" t="s">
        <v>240</v>
      </c>
      <c r="AL97" s="19" t="n">
        <f aca="false">ROUND('Start Here'!$B$29*AH97+'Start Here'!$B$30*MIN(IF(AD97="",0,AD97),50)/5+IF(M97&lt;=30000,'Start Here'!$B$31,IF(M97&lt;=60000,'Start Here'!$B$32,0)),1)</f>
        <v>7</v>
      </c>
      <c r="AM97" s="6" t="s">
        <v>514</v>
      </c>
      <c r="AN97" s="6" t="s">
        <v>1217</v>
      </c>
      <c r="AO97" s="6" t="s">
        <v>1218</v>
      </c>
      <c r="AP97" s="14" t="s">
        <v>1219</v>
      </c>
      <c r="AQ97" s="14" t="s">
        <v>373</v>
      </c>
      <c r="AR97" s="20" t="s">
        <v>246</v>
      </c>
      <c r="AS97" s="20"/>
    </row>
    <row r="98" customFormat="false" ht="60" hidden="false" customHeight="true" outlineLevel="0" collapsed="false">
      <c r="A98" s="14" t="n">
        <v>97</v>
      </c>
      <c r="B98" s="14" t="s">
        <v>220</v>
      </c>
      <c r="C98" s="14" t="s">
        <v>221</v>
      </c>
      <c r="D98" s="14" t="s">
        <v>222</v>
      </c>
      <c r="E98" s="14" t="s">
        <v>36</v>
      </c>
      <c r="F98" s="14" t="s">
        <v>223</v>
      </c>
      <c r="G98" s="14" t="s">
        <v>223</v>
      </c>
      <c r="H98" s="14" t="s">
        <v>224</v>
      </c>
      <c r="I98" s="14" t="s">
        <v>322</v>
      </c>
      <c r="J98" s="14" t="s">
        <v>225</v>
      </c>
      <c r="K98" s="14" t="s">
        <v>1211</v>
      </c>
      <c r="L98" s="14" t="s">
        <v>1212</v>
      </c>
      <c r="M98" s="15" t="n">
        <v>9135</v>
      </c>
      <c r="N98" s="14" t="s">
        <v>283</v>
      </c>
      <c r="O98" s="14" t="s">
        <v>379</v>
      </c>
      <c r="P98" s="16" t="s">
        <v>1220</v>
      </c>
      <c r="Q98" s="6" t="s">
        <v>1221</v>
      </c>
      <c r="R98" s="6" t="s">
        <v>1222</v>
      </c>
      <c r="S98" s="14" t="s">
        <v>330</v>
      </c>
      <c r="T98" s="14" t="s">
        <v>235</v>
      </c>
      <c r="U98" s="14" t="s">
        <v>346</v>
      </c>
      <c r="V98" s="14" t="s">
        <v>237</v>
      </c>
      <c r="W98" s="14" t="s">
        <v>238</v>
      </c>
      <c r="X98" s="14" t="s">
        <v>688</v>
      </c>
      <c r="Y98" s="15" t="n">
        <v>40268</v>
      </c>
      <c r="Z98" s="15" t="n">
        <v>442</v>
      </c>
      <c r="AA98" s="14" t="n">
        <v>8</v>
      </c>
      <c r="AB98" s="14" t="n">
        <v>55</v>
      </c>
      <c r="AC98" s="17" t="n">
        <v>0.0125409754643886</v>
      </c>
      <c r="AD98" s="18" t="n">
        <v>221</v>
      </c>
      <c r="AE98" s="18" t="n">
        <f aca="false">IF(AD98="","",MIN(AD98,100))</f>
        <v>100</v>
      </c>
      <c r="AF98" s="14" t="n">
        <v>90.4</v>
      </c>
      <c r="AG98" s="14" t="s">
        <v>224</v>
      </c>
      <c r="AH98" s="14" t="n">
        <v>4</v>
      </c>
      <c r="AI98" s="14" t="s">
        <v>224</v>
      </c>
      <c r="AJ98" s="14" t="s">
        <v>224</v>
      </c>
      <c r="AK98" s="14" t="s">
        <v>240</v>
      </c>
      <c r="AL98" s="19" t="n">
        <f aca="false">ROUND('Start Here'!$B$29*AH98+'Start Here'!$B$30*MIN(IF(AD98="",0,AD98),50)/5+IF(M98&lt;=30000,'Start Here'!$B$31,IF(M98&lt;=60000,'Start Here'!$B$32,0)),1)</f>
        <v>7</v>
      </c>
      <c r="AM98" s="6" t="s">
        <v>415</v>
      </c>
      <c r="AN98" s="6" t="s">
        <v>335</v>
      </c>
      <c r="AO98" s="6" t="s">
        <v>1223</v>
      </c>
      <c r="AP98" s="14" t="s">
        <v>1224</v>
      </c>
      <c r="AQ98" s="14" t="s">
        <v>363</v>
      </c>
      <c r="AR98" s="20" t="s">
        <v>246</v>
      </c>
      <c r="AS98" s="20"/>
    </row>
    <row r="99" customFormat="false" ht="60" hidden="false" customHeight="true" outlineLevel="0" collapsed="false">
      <c r="A99" s="14" t="n">
        <v>98</v>
      </c>
      <c r="B99" s="14" t="s">
        <v>220</v>
      </c>
      <c r="C99" s="14" t="s">
        <v>221</v>
      </c>
      <c r="D99" s="14" t="s">
        <v>222</v>
      </c>
      <c r="E99" s="14" t="s">
        <v>36</v>
      </c>
      <c r="F99" s="14" t="s">
        <v>223</v>
      </c>
      <c r="G99" s="14" t="s">
        <v>223</v>
      </c>
      <c r="H99" s="14" t="s">
        <v>223</v>
      </c>
      <c r="I99" s="14" t="s">
        <v>308</v>
      </c>
      <c r="J99" s="14" t="s">
        <v>225</v>
      </c>
      <c r="K99" s="14" t="s">
        <v>1225</v>
      </c>
      <c r="L99" s="14" t="s">
        <v>1226</v>
      </c>
      <c r="M99" s="15" t="n">
        <v>8723</v>
      </c>
      <c r="N99" s="14" t="s">
        <v>283</v>
      </c>
      <c r="O99" s="14" t="s">
        <v>1227</v>
      </c>
      <c r="P99" s="16" t="s">
        <v>1228</v>
      </c>
      <c r="Q99" s="6" t="s">
        <v>1229</v>
      </c>
      <c r="R99" s="6" t="s">
        <v>1229</v>
      </c>
      <c r="S99" s="14" t="s">
        <v>330</v>
      </c>
      <c r="T99" s="14" t="s">
        <v>673</v>
      </c>
      <c r="U99" s="14" t="s">
        <v>236</v>
      </c>
      <c r="V99" s="14" t="s">
        <v>331</v>
      </c>
      <c r="W99" s="14" t="s">
        <v>275</v>
      </c>
      <c r="X99" s="14" t="s">
        <v>239</v>
      </c>
      <c r="Y99" s="15" t="n">
        <v>2911703</v>
      </c>
      <c r="Z99" s="15" t="n">
        <v>60505</v>
      </c>
      <c r="AA99" s="14" t="n">
        <v>337</v>
      </c>
      <c r="AB99" s="14" t="n">
        <v>2469</v>
      </c>
      <c r="AC99" s="17" t="n">
        <v>0.0217436325064747</v>
      </c>
      <c r="AD99" s="18" t="n">
        <v>3200.25</v>
      </c>
      <c r="AE99" s="18" t="n">
        <f aca="false">IF(AD99="","",MIN(AD99,100))</f>
        <v>100</v>
      </c>
      <c r="AF99" s="14" t="n">
        <v>100</v>
      </c>
      <c r="AG99" s="14" t="s">
        <v>223</v>
      </c>
      <c r="AH99" s="14" t="n">
        <v>4</v>
      </c>
      <c r="AI99" s="14" t="s">
        <v>224</v>
      </c>
      <c r="AJ99" s="14" t="s">
        <v>224</v>
      </c>
      <c r="AK99" s="14" t="s">
        <v>240</v>
      </c>
      <c r="AL99" s="19" t="n">
        <f aca="false">ROUND('Start Here'!$B$29*AH99+'Start Here'!$B$30*MIN(IF(AD99="",0,AD99),50)/5+IF(M99&lt;=30000,'Start Here'!$B$31,IF(M99&lt;=60000,'Start Here'!$B$32,0)),1)</f>
        <v>7</v>
      </c>
      <c r="AM99" s="6" t="s">
        <v>665</v>
      </c>
      <c r="AN99" s="6" t="s">
        <v>1230</v>
      </c>
      <c r="AO99" s="6" t="s">
        <v>1231</v>
      </c>
      <c r="AP99" s="14" t="s">
        <v>1232</v>
      </c>
      <c r="AQ99" s="14" t="s">
        <v>657</v>
      </c>
      <c r="AR99" s="20" t="s">
        <v>246</v>
      </c>
      <c r="AS99" s="20"/>
    </row>
    <row r="100" customFormat="false" ht="60" hidden="false" customHeight="true" outlineLevel="0" collapsed="false">
      <c r="A100" s="14" t="n">
        <v>99</v>
      </c>
      <c r="B100" s="14" t="s">
        <v>220</v>
      </c>
      <c r="C100" s="14" t="s">
        <v>221</v>
      </c>
      <c r="D100" s="14" t="s">
        <v>222</v>
      </c>
      <c r="E100" s="14" t="s">
        <v>36</v>
      </c>
      <c r="F100" s="14" t="s">
        <v>223</v>
      </c>
      <c r="G100" s="14" t="s">
        <v>223</v>
      </c>
      <c r="H100" s="14" t="s">
        <v>223</v>
      </c>
      <c r="I100" s="14" t="s">
        <v>308</v>
      </c>
      <c r="J100" s="14" t="s">
        <v>225</v>
      </c>
      <c r="K100" s="14" t="s">
        <v>473</v>
      </c>
      <c r="L100" s="14" t="s">
        <v>474</v>
      </c>
      <c r="M100" s="15" t="n">
        <v>23968</v>
      </c>
      <c r="N100" s="14" t="s">
        <v>298</v>
      </c>
      <c r="O100" s="14" t="s">
        <v>1233</v>
      </c>
      <c r="P100" s="16" t="s">
        <v>1234</v>
      </c>
      <c r="Q100" s="6" t="s">
        <v>1235</v>
      </c>
      <c r="R100" s="6" t="s">
        <v>1236</v>
      </c>
      <c r="S100" s="14" t="s">
        <v>513</v>
      </c>
      <c r="T100" s="14" t="s">
        <v>673</v>
      </c>
      <c r="U100" s="14" t="s">
        <v>236</v>
      </c>
      <c r="V100" s="14" t="s">
        <v>331</v>
      </c>
      <c r="W100" s="14" t="s">
        <v>238</v>
      </c>
      <c r="X100" s="14" t="s">
        <v>546</v>
      </c>
      <c r="Y100" s="15" t="n">
        <v>1927344</v>
      </c>
      <c r="Z100" s="15" t="n">
        <v>23460</v>
      </c>
      <c r="AA100" s="14" t="n">
        <v>249</v>
      </c>
      <c r="AB100" s="14" t="n">
        <v>262</v>
      </c>
      <c r="AC100" s="17" t="n">
        <v>0.0124373230725807</v>
      </c>
      <c r="AD100" s="18" t="n">
        <v>225.7</v>
      </c>
      <c r="AE100" s="18" t="n">
        <f aca="false">IF(AD100="","",MIN(AD100,100))</f>
        <v>100</v>
      </c>
      <c r="AF100" s="14" t="n">
        <v>100</v>
      </c>
      <c r="AG100" s="14" t="s">
        <v>224</v>
      </c>
      <c r="AH100" s="14" t="n">
        <v>4</v>
      </c>
      <c r="AI100" s="14" t="s">
        <v>224</v>
      </c>
      <c r="AJ100" s="14" t="s">
        <v>224</v>
      </c>
      <c r="AK100" s="14" t="s">
        <v>240</v>
      </c>
      <c r="AL100" s="19" t="n">
        <f aca="false">ROUND('Start Here'!$B$29*AH100+'Start Here'!$B$30*MIN(IF(AD100="",0,AD100),50)/5+IF(M100&lt;=30000,'Start Here'!$B$31,IF(M100&lt;=60000,'Start Here'!$B$32,0)),1)</f>
        <v>7</v>
      </c>
      <c r="AM100" s="6" t="s">
        <v>789</v>
      </c>
      <c r="AN100" s="6" t="s">
        <v>1237</v>
      </c>
      <c r="AO100" s="6" t="s">
        <v>1238</v>
      </c>
      <c r="AP100" s="14" t="s">
        <v>1239</v>
      </c>
      <c r="AQ100" s="14" t="s">
        <v>657</v>
      </c>
      <c r="AR100" s="20" t="s">
        <v>246</v>
      </c>
      <c r="AS100" s="20"/>
    </row>
    <row r="101" customFormat="false" ht="60" hidden="false" customHeight="true" outlineLevel="0" collapsed="false">
      <c r="A101" s="14" t="n">
        <v>100</v>
      </c>
      <c r="B101" s="14" t="s">
        <v>247</v>
      </c>
      <c r="C101" s="14" t="s">
        <v>221</v>
      </c>
      <c r="D101" s="14" t="s">
        <v>443</v>
      </c>
      <c r="E101" s="14" t="s">
        <v>36</v>
      </c>
      <c r="F101" s="14" t="s">
        <v>223</v>
      </c>
      <c r="G101" s="14" t="s">
        <v>223</v>
      </c>
      <c r="H101" s="14" t="s">
        <v>224</v>
      </c>
      <c r="I101" s="14" t="s">
        <v>375</v>
      </c>
      <c r="J101" s="14" t="s">
        <v>322</v>
      </c>
      <c r="K101" s="14" t="s">
        <v>1240</v>
      </c>
      <c r="L101" s="14" t="s">
        <v>1241</v>
      </c>
      <c r="M101" s="15" t="n">
        <v>7200</v>
      </c>
      <c r="N101" s="14" t="s">
        <v>283</v>
      </c>
      <c r="O101" s="14" t="s">
        <v>447</v>
      </c>
      <c r="P101" s="16" t="s">
        <v>1242</v>
      </c>
      <c r="Q101" s="6" t="s">
        <v>1243</v>
      </c>
      <c r="R101" s="6" t="s">
        <v>1244</v>
      </c>
      <c r="S101" s="14" t="s">
        <v>916</v>
      </c>
      <c r="T101" s="14" t="s">
        <v>235</v>
      </c>
      <c r="U101" s="14" t="s">
        <v>236</v>
      </c>
      <c r="V101" s="14" t="s">
        <v>1245</v>
      </c>
      <c r="W101" s="14" t="s">
        <v>452</v>
      </c>
      <c r="X101" s="14"/>
      <c r="Y101" s="15" t="n">
        <v>77700</v>
      </c>
      <c r="Z101" s="15"/>
      <c r="AA101" s="14"/>
      <c r="AB101" s="14"/>
      <c r="AC101" s="17"/>
      <c r="AD101" s="18" t="n">
        <v>69.2</v>
      </c>
      <c r="AE101" s="18" t="n">
        <f aca="false">IF(AD101="","",MIN(AD101,100))</f>
        <v>69.2</v>
      </c>
      <c r="AF101" s="14"/>
      <c r="AG101" s="14" t="s">
        <v>224</v>
      </c>
      <c r="AH101" s="14" t="n">
        <v>4</v>
      </c>
      <c r="AI101" s="14" t="s">
        <v>224</v>
      </c>
      <c r="AJ101" s="14" t="s">
        <v>224</v>
      </c>
      <c r="AK101" s="14" t="s">
        <v>240</v>
      </c>
      <c r="AL101" s="19" t="n">
        <f aca="false">ROUND('Start Here'!$B$29*AH101+'Start Here'!$B$30*MIN(IF(AD101="",0,AD101),50)/5+IF(M101&lt;=30000,'Start Here'!$B$31,IF(M101&lt;=60000,'Start Here'!$B$32,0)),1)</f>
        <v>7</v>
      </c>
      <c r="AM101" s="6" t="s">
        <v>1246</v>
      </c>
      <c r="AN101" s="6" t="s">
        <v>1247</v>
      </c>
      <c r="AO101" s="6" t="s">
        <v>1248</v>
      </c>
      <c r="AP101" s="14" t="s">
        <v>457</v>
      </c>
      <c r="AQ101" s="14" t="s">
        <v>1249</v>
      </c>
      <c r="AR101" s="20" t="s">
        <v>246</v>
      </c>
      <c r="AS101" s="20"/>
    </row>
    <row r="102" customFormat="false" ht="60" hidden="false" customHeight="true" outlineLevel="0" collapsed="false">
      <c r="A102" s="14" t="n">
        <v>101</v>
      </c>
      <c r="B102" s="14" t="s">
        <v>247</v>
      </c>
      <c r="C102" s="14" t="s">
        <v>442</v>
      </c>
      <c r="D102" s="14" t="s">
        <v>443</v>
      </c>
      <c r="E102" s="14" t="s">
        <v>36</v>
      </c>
      <c r="F102" s="14" t="s">
        <v>223</v>
      </c>
      <c r="G102" s="14" t="s">
        <v>223</v>
      </c>
      <c r="H102" s="14" t="s">
        <v>224</v>
      </c>
      <c r="I102" s="14" t="s">
        <v>322</v>
      </c>
      <c r="J102" s="14" t="s">
        <v>1250</v>
      </c>
      <c r="K102" s="14" t="s">
        <v>1251</v>
      </c>
      <c r="L102" s="14" t="s">
        <v>1252</v>
      </c>
      <c r="M102" s="15" t="n">
        <v>14300</v>
      </c>
      <c r="N102" s="14" t="s">
        <v>229</v>
      </c>
      <c r="O102" s="14" t="s">
        <v>447</v>
      </c>
      <c r="P102" s="16" t="s">
        <v>1253</v>
      </c>
      <c r="Q102" s="6" t="s">
        <v>1254</v>
      </c>
      <c r="R102" s="6" t="s">
        <v>1255</v>
      </c>
      <c r="S102" s="14" t="s">
        <v>330</v>
      </c>
      <c r="T102" s="14" t="s">
        <v>235</v>
      </c>
      <c r="U102" s="14" t="s">
        <v>236</v>
      </c>
      <c r="V102" s="14" t="s">
        <v>1256</v>
      </c>
      <c r="W102" s="14" t="s">
        <v>452</v>
      </c>
      <c r="X102" s="14"/>
      <c r="Y102" s="15" t="n">
        <v>211700</v>
      </c>
      <c r="Z102" s="15"/>
      <c r="AA102" s="14"/>
      <c r="AB102" s="14"/>
      <c r="AC102" s="17"/>
      <c r="AD102" s="18" t="n">
        <v>71.9</v>
      </c>
      <c r="AE102" s="18" t="n">
        <f aca="false">IF(AD102="","",MIN(AD102,100))</f>
        <v>71.9</v>
      </c>
      <c r="AF102" s="14"/>
      <c r="AG102" s="14" t="s">
        <v>224</v>
      </c>
      <c r="AH102" s="14" t="n">
        <v>4</v>
      </c>
      <c r="AI102" s="14" t="s">
        <v>224</v>
      </c>
      <c r="AJ102" s="14" t="s">
        <v>224</v>
      </c>
      <c r="AK102" s="14" t="s">
        <v>453</v>
      </c>
      <c r="AL102" s="19" t="n">
        <f aca="false">ROUND('Start Here'!$B$29*AH102+'Start Here'!$B$30*MIN(IF(AD102="",0,AD102),50)/5+IF(M102&lt;=30000,'Start Here'!$B$31,IF(M102&lt;=60000,'Start Here'!$B$32,0)),1)</f>
        <v>7</v>
      </c>
      <c r="AM102" s="6" t="s">
        <v>1257</v>
      </c>
      <c r="AN102" s="6" t="s">
        <v>1258</v>
      </c>
      <c r="AO102" s="6" t="s">
        <v>1259</v>
      </c>
      <c r="AP102" s="14" t="s">
        <v>922</v>
      </c>
      <c r="AQ102" s="14" t="s">
        <v>1260</v>
      </c>
      <c r="AR102" s="20" t="s">
        <v>246</v>
      </c>
      <c r="AS102" s="20"/>
    </row>
    <row r="103" customFormat="false" ht="60" hidden="false" customHeight="true" outlineLevel="0" collapsed="false">
      <c r="A103" s="14" t="n">
        <v>102</v>
      </c>
      <c r="B103" s="14" t="s">
        <v>247</v>
      </c>
      <c r="C103" s="14" t="s">
        <v>221</v>
      </c>
      <c r="D103" s="14" t="s">
        <v>443</v>
      </c>
      <c r="E103" s="14" t="s">
        <v>36</v>
      </c>
      <c r="F103" s="14" t="s">
        <v>223</v>
      </c>
      <c r="G103" s="14" t="s">
        <v>223</v>
      </c>
      <c r="H103" s="14" t="s">
        <v>223</v>
      </c>
      <c r="I103" s="14" t="s">
        <v>338</v>
      </c>
      <c r="J103" s="14" t="s">
        <v>364</v>
      </c>
      <c r="K103" s="14" t="s">
        <v>1261</v>
      </c>
      <c r="L103" s="14" t="s">
        <v>1262</v>
      </c>
      <c r="M103" s="15" t="n">
        <v>25800</v>
      </c>
      <c r="N103" s="14" t="s">
        <v>298</v>
      </c>
      <c r="O103" s="14" t="s">
        <v>447</v>
      </c>
      <c r="P103" s="16" t="s">
        <v>1263</v>
      </c>
      <c r="Q103" s="6" t="s">
        <v>1264</v>
      </c>
      <c r="R103" s="6" t="s">
        <v>1265</v>
      </c>
      <c r="S103" s="14" t="s">
        <v>685</v>
      </c>
      <c r="T103" s="14" t="s">
        <v>235</v>
      </c>
      <c r="U103" s="14" t="s">
        <v>686</v>
      </c>
      <c r="V103" s="14" t="s">
        <v>1266</v>
      </c>
      <c r="W103" s="14" t="s">
        <v>452</v>
      </c>
      <c r="X103" s="14"/>
      <c r="Y103" s="15" t="n">
        <v>848500</v>
      </c>
      <c r="Z103" s="15"/>
      <c r="AA103" s="14"/>
      <c r="AB103" s="14"/>
      <c r="AC103" s="17"/>
      <c r="AD103" s="18" t="n">
        <v>98.5</v>
      </c>
      <c r="AE103" s="18" t="n">
        <f aca="false">IF(AD103="","",MIN(AD103,100))</f>
        <v>98.5</v>
      </c>
      <c r="AF103" s="14"/>
      <c r="AG103" s="14" t="s">
        <v>224</v>
      </c>
      <c r="AH103" s="14" t="n">
        <v>4</v>
      </c>
      <c r="AI103" s="14" t="s">
        <v>224</v>
      </c>
      <c r="AJ103" s="14" t="s">
        <v>224</v>
      </c>
      <c r="AK103" s="14" t="s">
        <v>240</v>
      </c>
      <c r="AL103" s="19" t="n">
        <f aca="false">ROUND('Start Here'!$B$29*AH103+'Start Here'!$B$30*MIN(IF(AD103="",0,AD103),50)/5+IF(M103&lt;=30000,'Start Here'!$B$31,IF(M103&lt;=60000,'Start Here'!$B$32,0)),1)</f>
        <v>7</v>
      </c>
      <c r="AM103" s="6" t="s">
        <v>1267</v>
      </c>
      <c r="AN103" s="6" t="s">
        <v>1268</v>
      </c>
      <c r="AO103" s="6" t="s">
        <v>1269</v>
      </c>
      <c r="AP103" s="14" t="s">
        <v>1270</v>
      </c>
      <c r="AQ103" s="14" t="s">
        <v>747</v>
      </c>
      <c r="AR103" s="20" t="s">
        <v>246</v>
      </c>
      <c r="AS103" s="20"/>
    </row>
    <row r="104" customFormat="false" ht="60" hidden="false" customHeight="true" outlineLevel="0" collapsed="false">
      <c r="A104" s="14" t="n">
        <v>103</v>
      </c>
      <c r="B104" s="14" t="s">
        <v>247</v>
      </c>
      <c r="C104" s="14" t="s">
        <v>221</v>
      </c>
      <c r="D104" s="14" t="s">
        <v>443</v>
      </c>
      <c r="E104" s="14" t="s">
        <v>36</v>
      </c>
      <c r="F104" s="14" t="s">
        <v>223</v>
      </c>
      <c r="G104" s="14" t="s">
        <v>223</v>
      </c>
      <c r="H104" s="14" t="s">
        <v>223</v>
      </c>
      <c r="I104" s="14" t="s">
        <v>322</v>
      </c>
      <c r="J104" s="14" t="s">
        <v>264</v>
      </c>
      <c r="K104" s="14" t="s">
        <v>1271</v>
      </c>
      <c r="L104" s="14" t="s">
        <v>1272</v>
      </c>
      <c r="M104" s="15" t="n">
        <v>13100</v>
      </c>
      <c r="N104" s="14" t="s">
        <v>229</v>
      </c>
      <c r="O104" s="14" t="s">
        <v>447</v>
      </c>
      <c r="P104" s="16" t="s">
        <v>1273</v>
      </c>
      <c r="Q104" s="6" t="s">
        <v>1274</v>
      </c>
      <c r="R104" s="6" t="s">
        <v>1275</v>
      </c>
      <c r="S104" s="14" t="s">
        <v>906</v>
      </c>
      <c r="T104" s="14" t="s">
        <v>273</v>
      </c>
      <c r="U104" s="14" t="s">
        <v>274</v>
      </c>
      <c r="V104" s="14" t="s">
        <v>1276</v>
      </c>
      <c r="W104" s="14" t="s">
        <v>452</v>
      </c>
      <c r="X104" s="14"/>
      <c r="Y104" s="15" t="n">
        <v>2000000</v>
      </c>
      <c r="Z104" s="15"/>
      <c r="AA104" s="14"/>
      <c r="AB104" s="14"/>
      <c r="AC104" s="17"/>
      <c r="AD104" s="18" t="n">
        <v>149.4</v>
      </c>
      <c r="AE104" s="18" t="n">
        <f aca="false">IF(AD104="","",MIN(AD104,100))</f>
        <v>100</v>
      </c>
      <c r="AF104" s="14"/>
      <c r="AG104" s="14" t="s">
        <v>224</v>
      </c>
      <c r="AH104" s="14" t="n">
        <v>4</v>
      </c>
      <c r="AI104" s="14" t="s">
        <v>224</v>
      </c>
      <c r="AJ104" s="14" t="s">
        <v>224</v>
      </c>
      <c r="AK104" s="14" t="s">
        <v>240</v>
      </c>
      <c r="AL104" s="19" t="n">
        <f aca="false">ROUND('Start Here'!$B$29*AH104+'Start Here'!$B$30*MIN(IF(AD104="",0,AD104),50)/5+IF(M104&lt;=30000,'Start Here'!$B$31,IF(M104&lt;=60000,'Start Here'!$B$32,0)),1)</f>
        <v>7</v>
      </c>
      <c r="AM104" s="6" t="s">
        <v>1277</v>
      </c>
      <c r="AN104" s="6" t="s">
        <v>1278</v>
      </c>
      <c r="AO104" s="6" t="s">
        <v>1279</v>
      </c>
      <c r="AP104" s="14" t="s">
        <v>922</v>
      </c>
      <c r="AQ104" s="14" t="s">
        <v>1280</v>
      </c>
      <c r="AR104" s="20" t="s">
        <v>246</v>
      </c>
      <c r="AS104" s="20"/>
    </row>
    <row r="105" customFormat="false" ht="60" hidden="false" customHeight="true" outlineLevel="0" collapsed="false">
      <c r="A105" s="14" t="n">
        <v>104</v>
      </c>
      <c r="B105" s="14" t="s">
        <v>247</v>
      </c>
      <c r="C105" s="14" t="s">
        <v>221</v>
      </c>
      <c r="D105" s="14" t="s">
        <v>443</v>
      </c>
      <c r="E105" s="14" t="s">
        <v>36</v>
      </c>
      <c r="F105" s="14" t="s">
        <v>223</v>
      </c>
      <c r="G105" s="14" t="s">
        <v>223</v>
      </c>
      <c r="H105" s="14" t="s">
        <v>224</v>
      </c>
      <c r="I105" s="14" t="s">
        <v>225</v>
      </c>
      <c r="J105" s="14" t="s">
        <v>322</v>
      </c>
      <c r="K105" s="14" t="s">
        <v>1281</v>
      </c>
      <c r="L105" s="14" t="s">
        <v>1282</v>
      </c>
      <c r="M105" s="15" t="n">
        <v>6600</v>
      </c>
      <c r="N105" s="14" t="s">
        <v>283</v>
      </c>
      <c r="O105" s="14" t="s">
        <v>447</v>
      </c>
      <c r="P105" s="16" t="s">
        <v>1283</v>
      </c>
      <c r="Q105" s="6" t="s">
        <v>1284</v>
      </c>
      <c r="R105" s="6" t="s">
        <v>1285</v>
      </c>
      <c r="S105" s="14" t="s">
        <v>330</v>
      </c>
      <c r="T105" s="14" t="s">
        <v>235</v>
      </c>
      <c r="U105" s="14" t="s">
        <v>346</v>
      </c>
      <c r="V105" s="14" t="s">
        <v>1286</v>
      </c>
      <c r="W105" s="14" t="s">
        <v>452</v>
      </c>
      <c r="X105" s="14"/>
      <c r="Y105" s="15" t="n">
        <v>186400</v>
      </c>
      <c r="Z105" s="15"/>
      <c r="AA105" s="14"/>
      <c r="AB105" s="14"/>
      <c r="AC105" s="17"/>
      <c r="AD105" s="18" t="n">
        <v>133.2</v>
      </c>
      <c r="AE105" s="18" t="n">
        <f aca="false">IF(AD105="","",MIN(AD105,100))</f>
        <v>100</v>
      </c>
      <c r="AF105" s="14"/>
      <c r="AG105" s="14" t="s">
        <v>224</v>
      </c>
      <c r="AH105" s="14" t="n">
        <v>4</v>
      </c>
      <c r="AI105" s="14" t="s">
        <v>224</v>
      </c>
      <c r="AJ105" s="14" t="s">
        <v>224</v>
      </c>
      <c r="AK105" s="14" t="s">
        <v>240</v>
      </c>
      <c r="AL105" s="19" t="n">
        <f aca="false">ROUND('Start Here'!$B$29*AH105+'Start Here'!$B$30*MIN(IF(AD105="",0,AD105),50)/5+IF(M105&lt;=30000,'Start Here'!$B$31,IF(M105&lt;=60000,'Start Here'!$B$32,0)),1)</f>
        <v>7</v>
      </c>
      <c r="AM105" s="6" t="s">
        <v>1287</v>
      </c>
      <c r="AN105" s="6" t="s">
        <v>975</v>
      </c>
      <c r="AO105" s="6" t="s">
        <v>1288</v>
      </c>
      <c r="AP105" s="14" t="s">
        <v>922</v>
      </c>
      <c r="AQ105" s="14" t="s">
        <v>1289</v>
      </c>
      <c r="AR105" s="20" t="s">
        <v>246</v>
      </c>
      <c r="AS105" s="20"/>
    </row>
    <row r="106" customFormat="false" ht="60" hidden="false" customHeight="true" outlineLevel="0" collapsed="false">
      <c r="A106" s="14" t="n">
        <v>105</v>
      </c>
      <c r="B106" s="14" t="s">
        <v>220</v>
      </c>
      <c r="C106" s="14" t="s">
        <v>221</v>
      </c>
      <c r="D106" s="14" t="s">
        <v>222</v>
      </c>
      <c r="E106" s="14" t="s">
        <v>36</v>
      </c>
      <c r="F106" s="14" t="s">
        <v>224</v>
      </c>
      <c r="G106" s="14" t="s">
        <v>223</v>
      </c>
      <c r="H106" s="14" t="s">
        <v>224</v>
      </c>
      <c r="I106" s="14" t="s">
        <v>338</v>
      </c>
      <c r="J106" s="14" t="s">
        <v>1290</v>
      </c>
      <c r="K106" s="14" t="s">
        <v>1291</v>
      </c>
      <c r="L106" s="14" t="s">
        <v>1292</v>
      </c>
      <c r="M106" s="15" t="n">
        <v>15354</v>
      </c>
      <c r="N106" s="14" t="s">
        <v>229</v>
      </c>
      <c r="O106" s="14" t="s">
        <v>1293</v>
      </c>
      <c r="P106" s="16" t="s">
        <v>1294</v>
      </c>
      <c r="Q106" s="6" t="s">
        <v>1295</v>
      </c>
      <c r="R106" s="6" t="s">
        <v>1296</v>
      </c>
      <c r="S106" s="14" t="s">
        <v>234</v>
      </c>
      <c r="T106" s="14" t="s">
        <v>917</v>
      </c>
      <c r="U106" s="14" t="s">
        <v>236</v>
      </c>
      <c r="V106" s="14" t="s">
        <v>237</v>
      </c>
      <c r="W106" s="14" t="s">
        <v>238</v>
      </c>
      <c r="X106" s="14" t="s">
        <v>239</v>
      </c>
      <c r="Y106" s="15" t="n">
        <v>40657</v>
      </c>
      <c r="Z106" s="15" t="n">
        <v>575</v>
      </c>
      <c r="AA106" s="14" t="n">
        <v>55</v>
      </c>
      <c r="AB106" s="14" t="n">
        <v>36</v>
      </c>
      <c r="AC106" s="17" t="n">
        <v>0.0163809430110436</v>
      </c>
      <c r="AD106" s="18" t="n">
        <v>5.43</v>
      </c>
      <c r="AE106" s="18" t="n">
        <f aca="false">IF(AD106="","",MIN(AD106,100))</f>
        <v>5.43</v>
      </c>
      <c r="AF106" s="14" t="n">
        <v>95.8</v>
      </c>
      <c r="AG106" s="14" t="s">
        <v>224</v>
      </c>
      <c r="AH106" s="14" t="n">
        <v>9.3</v>
      </c>
      <c r="AI106" s="14" t="s">
        <v>224</v>
      </c>
      <c r="AJ106" s="14" t="s">
        <v>224</v>
      </c>
      <c r="AK106" s="14" t="s">
        <v>240</v>
      </c>
      <c r="AL106" s="19" t="n">
        <f aca="false">ROUND('Start Here'!$B$29*AH106+'Start Here'!$B$30*MIN(IF(AD106="",0,AD106),50)/5+IF(M106&lt;=30000,'Start Here'!$B$31,IF(M106&lt;=60000,'Start Here'!$B$32,0)),1)</f>
        <v>7</v>
      </c>
      <c r="AM106" s="6" t="s">
        <v>503</v>
      </c>
      <c r="AN106" s="6" t="s">
        <v>1297</v>
      </c>
      <c r="AO106" s="6" t="s">
        <v>1298</v>
      </c>
      <c r="AP106" s="14" t="s">
        <v>1299</v>
      </c>
      <c r="AQ106" s="14" t="s">
        <v>735</v>
      </c>
      <c r="AR106" s="20" t="s">
        <v>246</v>
      </c>
      <c r="AS106" s="20"/>
    </row>
    <row r="107" customFormat="false" ht="60" hidden="false" customHeight="true" outlineLevel="0" collapsed="false">
      <c r="A107" s="14" t="n">
        <v>106</v>
      </c>
      <c r="B107" s="14" t="s">
        <v>374</v>
      </c>
      <c r="C107" s="14" t="s">
        <v>221</v>
      </c>
      <c r="D107" s="14" t="s">
        <v>222</v>
      </c>
      <c r="E107" s="14" t="s">
        <v>34</v>
      </c>
      <c r="F107" s="14" t="s">
        <v>223</v>
      </c>
      <c r="G107" s="14" t="s">
        <v>224</v>
      </c>
      <c r="H107" s="14" t="s">
        <v>223</v>
      </c>
      <c r="I107" s="14" t="s">
        <v>225</v>
      </c>
      <c r="J107" s="14" t="s">
        <v>1300</v>
      </c>
      <c r="K107" s="14" t="s">
        <v>1301</v>
      </c>
      <c r="L107" s="14" t="s">
        <v>1302</v>
      </c>
      <c r="M107" s="15" t="n">
        <v>31489</v>
      </c>
      <c r="N107" s="14" t="s">
        <v>462</v>
      </c>
      <c r="O107" s="14" t="s">
        <v>1303</v>
      </c>
      <c r="P107" s="16" t="s">
        <v>1304</v>
      </c>
      <c r="Q107" s="6" t="s">
        <v>1305</v>
      </c>
      <c r="R107" s="6" t="s">
        <v>1306</v>
      </c>
      <c r="S107" s="14" t="s">
        <v>234</v>
      </c>
      <c r="T107" s="14" t="s">
        <v>316</v>
      </c>
      <c r="U107" s="14" t="s">
        <v>236</v>
      </c>
      <c r="V107" s="14" t="s">
        <v>331</v>
      </c>
      <c r="W107" s="14" t="s">
        <v>257</v>
      </c>
      <c r="X107" s="14" t="s">
        <v>258</v>
      </c>
      <c r="Y107" s="15"/>
      <c r="Z107" s="15" t="n">
        <v>1370</v>
      </c>
      <c r="AA107" s="14" t="n">
        <v>2555</v>
      </c>
      <c r="AB107" s="14" t="n">
        <v>20</v>
      </c>
      <c r="AC107" s="17" t="n">
        <v>0.129880819121617</v>
      </c>
      <c r="AD107" s="18" t="n">
        <v>218.68</v>
      </c>
      <c r="AE107" s="18" t="n">
        <f aca="false">IF(AD107="","",MIN(AD107,100))</f>
        <v>100</v>
      </c>
      <c r="AF107" s="14" t="n">
        <v>100</v>
      </c>
      <c r="AG107" s="14" t="s">
        <v>224</v>
      </c>
      <c r="AH107" s="14" t="n">
        <v>5.9</v>
      </c>
      <c r="AI107" s="14" t="s">
        <v>223</v>
      </c>
      <c r="AJ107" s="14" t="s">
        <v>224</v>
      </c>
      <c r="AK107" s="14" t="s">
        <v>240</v>
      </c>
      <c r="AL107" s="19" t="n">
        <f aca="false">ROUND('Start Here'!$B$29*AH107+'Start Here'!$B$30*MIN(IF(AD107="",0,AD107),50)/5+IF(M107&lt;=30000,'Start Here'!$B$31,IF(M107&lt;=60000,'Start Here'!$B$32,0)),1)</f>
        <v>7</v>
      </c>
      <c r="AM107" s="6" t="s">
        <v>1307</v>
      </c>
      <c r="AN107" s="6" t="s">
        <v>242</v>
      </c>
      <c r="AO107" s="6" t="s">
        <v>1308</v>
      </c>
      <c r="AP107" s="14" t="s">
        <v>1309</v>
      </c>
      <c r="AQ107" s="14" t="s">
        <v>1310</v>
      </c>
      <c r="AR107" s="20" t="s">
        <v>246</v>
      </c>
      <c r="AS107" s="20"/>
    </row>
    <row r="108" customFormat="false" ht="60" hidden="false" customHeight="true" outlineLevel="0" collapsed="false">
      <c r="A108" s="14" t="n">
        <v>107</v>
      </c>
      <c r="B108" s="14" t="s">
        <v>220</v>
      </c>
      <c r="C108" s="14" t="s">
        <v>221</v>
      </c>
      <c r="D108" s="14" t="s">
        <v>222</v>
      </c>
      <c r="E108" s="14" t="s">
        <v>36</v>
      </c>
      <c r="F108" s="14" t="s">
        <v>223</v>
      </c>
      <c r="G108" s="14" t="s">
        <v>223</v>
      </c>
      <c r="H108" s="14" t="s">
        <v>224</v>
      </c>
      <c r="I108" s="14" t="s">
        <v>322</v>
      </c>
      <c r="J108" s="14" t="s">
        <v>1311</v>
      </c>
      <c r="K108" s="14" t="s">
        <v>863</v>
      </c>
      <c r="L108" s="14" t="s">
        <v>864</v>
      </c>
      <c r="M108" s="15" t="n">
        <v>20541</v>
      </c>
      <c r="N108" s="14" t="s">
        <v>298</v>
      </c>
      <c r="O108" s="14" t="s">
        <v>1312</v>
      </c>
      <c r="P108" s="16" t="s">
        <v>1313</v>
      </c>
      <c r="Q108" s="6" t="s">
        <v>1314</v>
      </c>
      <c r="R108" s="6" t="s">
        <v>1315</v>
      </c>
      <c r="S108" s="14" t="s">
        <v>685</v>
      </c>
      <c r="T108" s="14" t="s">
        <v>235</v>
      </c>
      <c r="U108" s="14" t="s">
        <v>686</v>
      </c>
      <c r="V108" s="14" t="s">
        <v>725</v>
      </c>
      <c r="W108" s="14"/>
      <c r="X108" s="14"/>
      <c r="Y108" s="15" t="n">
        <v>137128</v>
      </c>
      <c r="Z108" s="15" t="n">
        <v>1199</v>
      </c>
      <c r="AA108" s="14" t="n">
        <v>41</v>
      </c>
      <c r="AB108" s="14" t="n">
        <v>64</v>
      </c>
      <c r="AC108" s="17" t="n">
        <v>0.00950936351438073</v>
      </c>
      <c r="AD108" s="18" t="n">
        <v>49.12</v>
      </c>
      <c r="AE108" s="18" t="n">
        <f aca="false">IF(AD108="","",MIN(AD108,100))</f>
        <v>49.12</v>
      </c>
      <c r="AF108" s="14" t="n">
        <v>97.9</v>
      </c>
      <c r="AG108" s="14" t="s">
        <v>224</v>
      </c>
      <c r="AH108" s="14" t="n">
        <v>4</v>
      </c>
      <c r="AI108" s="14" t="s">
        <v>224</v>
      </c>
      <c r="AJ108" s="14" t="s">
        <v>224</v>
      </c>
      <c r="AK108" s="14" t="s">
        <v>240</v>
      </c>
      <c r="AL108" s="19" t="n">
        <f aca="false">ROUND('Start Here'!$B$29*AH108+'Start Here'!$B$30*MIN(IF(AD108="",0,AD108),50)/5+IF(M108&lt;=30000,'Start Here'!$B$31,IF(M108&lt;=60000,'Start Here'!$B$32,0)),1)</f>
        <v>6.9</v>
      </c>
      <c r="AM108" s="6" t="s">
        <v>1316</v>
      </c>
      <c r="AN108" s="6" t="s">
        <v>727</v>
      </c>
      <c r="AO108" s="6"/>
      <c r="AP108" s="14"/>
      <c r="AQ108" s="14" t="s">
        <v>1317</v>
      </c>
      <c r="AR108" s="20" t="s">
        <v>246</v>
      </c>
      <c r="AS108" s="20"/>
    </row>
    <row r="109" customFormat="false" ht="60" hidden="false" customHeight="true" outlineLevel="0" collapsed="false">
      <c r="A109" s="14" t="n">
        <v>108</v>
      </c>
      <c r="B109" s="14" t="s">
        <v>247</v>
      </c>
      <c r="C109" s="14" t="s">
        <v>221</v>
      </c>
      <c r="D109" s="14" t="s">
        <v>443</v>
      </c>
      <c r="E109" s="14" t="s">
        <v>36</v>
      </c>
      <c r="F109" s="14" t="s">
        <v>223</v>
      </c>
      <c r="G109" s="14" t="s">
        <v>223</v>
      </c>
      <c r="H109" s="14" t="s">
        <v>224</v>
      </c>
      <c r="I109" s="14" t="s">
        <v>586</v>
      </c>
      <c r="J109" s="14" t="s">
        <v>322</v>
      </c>
      <c r="K109" s="14" t="s">
        <v>1318</v>
      </c>
      <c r="L109" s="14" t="s">
        <v>1319</v>
      </c>
      <c r="M109" s="15" t="n">
        <v>8100</v>
      </c>
      <c r="N109" s="14" t="s">
        <v>283</v>
      </c>
      <c r="O109" s="14" t="s">
        <v>447</v>
      </c>
      <c r="P109" s="16" t="s">
        <v>1320</v>
      </c>
      <c r="Q109" s="6" t="s">
        <v>1321</v>
      </c>
      <c r="R109" s="6" t="s">
        <v>1322</v>
      </c>
      <c r="S109" s="14" t="s">
        <v>916</v>
      </c>
      <c r="T109" s="14" t="s">
        <v>273</v>
      </c>
      <c r="U109" s="14" t="s">
        <v>274</v>
      </c>
      <c r="V109" s="14" t="s">
        <v>1323</v>
      </c>
      <c r="W109" s="14" t="s">
        <v>452</v>
      </c>
      <c r="X109" s="14"/>
      <c r="Y109" s="15" t="n">
        <v>90900</v>
      </c>
      <c r="Z109" s="15"/>
      <c r="AA109" s="14"/>
      <c r="AB109" s="14"/>
      <c r="AC109" s="17"/>
      <c r="AD109" s="18" t="n">
        <v>49.1</v>
      </c>
      <c r="AE109" s="18" t="n">
        <f aca="false">IF(AD109="","",MIN(AD109,100))</f>
        <v>49.1</v>
      </c>
      <c r="AF109" s="14"/>
      <c r="AG109" s="14" t="s">
        <v>224</v>
      </c>
      <c r="AH109" s="14" t="n">
        <v>4</v>
      </c>
      <c r="AI109" s="14" t="s">
        <v>224</v>
      </c>
      <c r="AJ109" s="14" t="s">
        <v>224</v>
      </c>
      <c r="AK109" s="14" t="s">
        <v>240</v>
      </c>
      <c r="AL109" s="19" t="n">
        <f aca="false">ROUND('Start Here'!$B$29*AH109+'Start Here'!$B$30*MIN(IF(AD109="",0,AD109),50)/5+IF(M109&lt;=30000,'Start Here'!$B$31,IF(M109&lt;=60000,'Start Here'!$B$32,0)),1)</f>
        <v>6.9</v>
      </c>
      <c r="AM109" s="6" t="s">
        <v>1324</v>
      </c>
      <c r="AN109" s="6" t="s">
        <v>1325</v>
      </c>
      <c r="AO109" s="6" t="s">
        <v>1326</v>
      </c>
      <c r="AP109" s="14" t="s">
        <v>922</v>
      </c>
      <c r="AQ109" s="14" t="s">
        <v>574</v>
      </c>
      <c r="AR109" s="20" t="s">
        <v>246</v>
      </c>
      <c r="AS109" s="20"/>
    </row>
    <row r="110" customFormat="false" ht="60" hidden="false" customHeight="true" outlineLevel="0" collapsed="false">
      <c r="A110" s="14" t="n">
        <v>109</v>
      </c>
      <c r="B110" s="14" t="s">
        <v>374</v>
      </c>
      <c r="C110" s="14" t="s">
        <v>221</v>
      </c>
      <c r="D110" s="14" t="s">
        <v>222</v>
      </c>
      <c r="E110" s="14" t="s">
        <v>36</v>
      </c>
      <c r="F110" s="14" t="s">
        <v>223</v>
      </c>
      <c r="G110" s="14" t="s">
        <v>223</v>
      </c>
      <c r="H110" s="14" t="s">
        <v>224</v>
      </c>
      <c r="I110" s="14" t="s">
        <v>322</v>
      </c>
      <c r="J110" s="14" t="s">
        <v>518</v>
      </c>
      <c r="K110" s="14" t="s">
        <v>377</v>
      </c>
      <c r="L110" s="14" t="s">
        <v>378</v>
      </c>
      <c r="M110" s="15" t="n">
        <v>18671</v>
      </c>
      <c r="N110" s="14" t="s">
        <v>229</v>
      </c>
      <c r="O110" s="14" t="s">
        <v>1327</v>
      </c>
      <c r="P110" s="16" t="s">
        <v>1328</v>
      </c>
      <c r="Q110" s="6" t="s">
        <v>1329</v>
      </c>
      <c r="R110" s="6" t="s">
        <v>1330</v>
      </c>
      <c r="S110" s="14" t="s">
        <v>330</v>
      </c>
      <c r="T110" s="14" t="s">
        <v>235</v>
      </c>
      <c r="U110" s="14" t="s">
        <v>346</v>
      </c>
      <c r="V110" s="14" t="s">
        <v>383</v>
      </c>
      <c r="W110" s="14"/>
      <c r="X110" s="14"/>
      <c r="Y110" s="15"/>
      <c r="Z110" s="15" t="n">
        <v>118</v>
      </c>
      <c r="AA110" s="14" t="n">
        <v>175</v>
      </c>
      <c r="AB110" s="14" t="n">
        <v>0</v>
      </c>
      <c r="AC110" s="17" t="n">
        <v>0.0161789066813915</v>
      </c>
      <c r="AD110" s="18" t="n">
        <v>24.09</v>
      </c>
      <c r="AE110" s="18" t="n">
        <f aca="false">IF(AD110="","",MIN(AD110,100))</f>
        <v>24.09</v>
      </c>
      <c r="AF110" s="14" t="n">
        <v>96.6</v>
      </c>
      <c r="AG110" s="14" t="s">
        <v>224</v>
      </c>
      <c r="AH110" s="14" t="n">
        <v>7</v>
      </c>
      <c r="AI110" s="14" t="s">
        <v>224</v>
      </c>
      <c r="AJ110" s="14" t="s">
        <v>224</v>
      </c>
      <c r="AK110" s="14" t="s">
        <v>240</v>
      </c>
      <c r="AL110" s="19" t="n">
        <f aca="false">ROUND('Start Here'!$B$29*AH110+'Start Here'!$B$30*MIN(IF(AD110="",0,AD110),50)/5+IF(M110&lt;=30000,'Start Here'!$B$31,IF(M110&lt;=60000,'Start Here'!$B$32,0)),1)</f>
        <v>6.9</v>
      </c>
      <c r="AM110" s="6" t="s">
        <v>1331</v>
      </c>
      <c r="AN110" s="6" t="s">
        <v>335</v>
      </c>
      <c r="AO110" s="6"/>
      <c r="AP110" s="14"/>
      <c r="AQ110" s="14" t="s">
        <v>524</v>
      </c>
      <c r="AR110" s="20" t="s">
        <v>246</v>
      </c>
      <c r="AS110" s="20"/>
    </row>
    <row r="111" customFormat="false" ht="60" hidden="false" customHeight="true" outlineLevel="0" collapsed="false">
      <c r="A111" s="14" t="n">
        <v>110</v>
      </c>
      <c r="B111" s="14" t="s">
        <v>374</v>
      </c>
      <c r="C111" s="14" t="s">
        <v>221</v>
      </c>
      <c r="D111" s="14" t="s">
        <v>222</v>
      </c>
      <c r="E111" s="14" t="s">
        <v>36</v>
      </c>
      <c r="F111" s="14" t="s">
        <v>223</v>
      </c>
      <c r="G111" s="14" t="s">
        <v>223</v>
      </c>
      <c r="H111" s="14" t="s">
        <v>224</v>
      </c>
      <c r="I111" s="14" t="s">
        <v>225</v>
      </c>
      <c r="J111" s="14" t="s">
        <v>658</v>
      </c>
      <c r="K111" s="14" t="s">
        <v>659</v>
      </c>
      <c r="L111" s="14" t="s">
        <v>660</v>
      </c>
      <c r="M111" s="15" t="n">
        <v>12673</v>
      </c>
      <c r="N111" s="14" t="s">
        <v>229</v>
      </c>
      <c r="O111" s="14" t="s">
        <v>509</v>
      </c>
      <c r="P111" s="16" t="s">
        <v>1332</v>
      </c>
      <c r="Q111" s="6" t="s">
        <v>663</v>
      </c>
      <c r="R111" s="6" t="s">
        <v>1333</v>
      </c>
      <c r="S111" s="14" t="s">
        <v>330</v>
      </c>
      <c r="T111" s="14" t="s">
        <v>235</v>
      </c>
      <c r="U111" s="14" t="s">
        <v>346</v>
      </c>
      <c r="V111" s="14" t="s">
        <v>383</v>
      </c>
      <c r="W111" s="14"/>
      <c r="X111" s="14"/>
      <c r="Y111" s="15"/>
      <c r="Z111" s="15" t="n">
        <v>752</v>
      </c>
      <c r="AA111" s="14" t="n">
        <v>79</v>
      </c>
      <c r="AB111" s="14" t="n">
        <v>31</v>
      </c>
      <c r="AC111" s="17" t="n">
        <v>0.0680186222678135</v>
      </c>
      <c r="AD111" s="18" t="n">
        <v>31.33</v>
      </c>
      <c r="AE111" s="18" t="n">
        <f aca="false">IF(AD111="","",MIN(AD111,100))</f>
        <v>31.33</v>
      </c>
      <c r="AF111" s="14" t="n">
        <v>98.4</v>
      </c>
      <c r="AG111" s="14" t="s">
        <v>224</v>
      </c>
      <c r="AH111" s="14" t="n">
        <v>6</v>
      </c>
      <c r="AI111" s="14" t="s">
        <v>224</v>
      </c>
      <c r="AJ111" s="14" t="s">
        <v>224</v>
      </c>
      <c r="AK111" s="14" t="s">
        <v>240</v>
      </c>
      <c r="AL111" s="19" t="n">
        <f aca="false">ROUND('Start Here'!$B$29*AH111+'Start Here'!$B$30*MIN(IF(AD111="",0,AD111),50)/5+IF(M111&lt;=30000,'Start Here'!$B$31,IF(M111&lt;=60000,'Start Here'!$B$32,0)),1)</f>
        <v>6.9</v>
      </c>
      <c r="AM111" s="6" t="s">
        <v>665</v>
      </c>
      <c r="AN111" s="6" t="s">
        <v>416</v>
      </c>
      <c r="AO111" s="6"/>
      <c r="AP111" s="14"/>
      <c r="AQ111" s="14" t="s">
        <v>386</v>
      </c>
      <c r="AR111" s="20" t="s">
        <v>246</v>
      </c>
      <c r="AS111" s="20"/>
    </row>
    <row r="112" customFormat="false" ht="60" hidden="false" customHeight="true" outlineLevel="0" collapsed="false">
      <c r="A112" s="14" t="n">
        <v>111</v>
      </c>
      <c r="B112" s="14" t="s">
        <v>247</v>
      </c>
      <c r="C112" s="14" t="s">
        <v>221</v>
      </c>
      <c r="D112" s="14" t="s">
        <v>443</v>
      </c>
      <c r="E112" s="14" t="s">
        <v>36</v>
      </c>
      <c r="F112" s="14" t="s">
        <v>223</v>
      </c>
      <c r="G112" s="14" t="s">
        <v>223</v>
      </c>
      <c r="H112" s="14" t="s">
        <v>224</v>
      </c>
      <c r="I112" s="14" t="s">
        <v>225</v>
      </c>
      <c r="J112" s="14" t="s">
        <v>971</v>
      </c>
      <c r="K112" s="14" t="s">
        <v>1334</v>
      </c>
      <c r="L112" s="14" t="s">
        <v>1335</v>
      </c>
      <c r="M112" s="15" t="n">
        <v>24800</v>
      </c>
      <c r="N112" s="14" t="s">
        <v>298</v>
      </c>
      <c r="O112" s="14" t="s">
        <v>447</v>
      </c>
      <c r="P112" s="16" t="s">
        <v>1336</v>
      </c>
      <c r="Q112" s="6" t="s">
        <v>1337</v>
      </c>
      <c r="R112" s="6" t="s">
        <v>1338</v>
      </c>
      <c r="S112" s="14" t="s">
        <v>330</v>
      </c>
      <c r="T112" s="14" t="s">
        <v>273</v>
      </c>
      <c r="U112" s="14" t="s">
        <v>274</v>
      </c>
      <c r="V112" s="14" t="s">
        <v>1339</v>
      </c>
      <c r="W112" s="14" t="s">
        <v>452</v>
      </c>
      <c r="X112" s="14"/>
      <c r="Y112" s="15" t="n">
        <v>99300</v>
      </c>
      <c r="Z112" s="15"/>
      <c r="AA112" s="14"/>
      <c r="AB112" s="14"/>
      <c r="AC112" s="17"/>
      <c r="AD112" s="18" t="n">
        <v>31.9</v>
      </c>
      <c r="AE112" s="18" t="n">
        <f aca="false">IF(AD112="","",MIN(AD112,100))</f>
        <v>31.9</v>
      </c>
      <c r="AF112" s="14"/>
      <c r="AG112" s="14" t="s">
        <v>224</v>
      </c>
      <c r="AH112" s="14" t="n">
        <v>5.9</v>
      </c>
      <c r="AI112" s="14" t="s">
        <v>223</v>
      </c>
      <c r="AJ112" s="14" t="s">
        <v>224</v>
      </c>
      <c r="AK112" s="14" t="s">
        <v>240</v>
      </c>
      <c r="AL112" s="19" t="n">
        <f aca="false">ROUND('Start Here'!$B$29*AH112+'Start Here'!$B$30*MIN(IF(AD112="",0,AD112),50)/5+IF(M112&lt;=30000,'Start Here'!$B$31,IF(M112&lt;=60000,'Start Here'!$B$32,0)),1)</f>
        <v>6.9</v>
      </c>
      <c r="AM112" s="6" t="s">
        <v>1340</v>
      </c>
      <c r="AN112" s="6" t="s">
        <v>975</v>
      </c>
      <c r="AO112" s="6" t="s">
        <v>1341</v>
      </c>
      <c r="AP112" s="14" t="s">
        <v>1342</v>
      </c>
      <c r="AQ112" s="14" t="s">
        <v>562</v>
      </c>
      <c r="AR112" s="20" t="s">
        <v>246</v>
      </c>
      <c r="AS112" s="20"/>
    </row>
    <row r="113" customFormat="false" ht="60" hidden="false" customHeight="true" outlineLevel="0" collapsed="false">
      <c r="A113" s="14" t="n">
        <v>112</v>
      </c>
      <c r="B113" s="14" t="s">
        <v>247</v>
      </c>
      <c r="C113" s="14" t="s">
        <v>221</v>
      </c>
      <c r="D113" s="14" t="s">
        <v>443</v>
      </c>
      <c r="E113" s="14" t="s">
        <v>36</v>
      </c>
      <c r="F113" s="14" t="s">
        <v>223</v>
      </c>
      <c r="G113" s="14" t="s">
        <v>223</v>
      </c>
      <c r="H113" s="14" t="s">
        <v>224</v>
      </c>
      <c r="I113" s="14" t="s">
        <v>375</v>
      </c>
      <c r="J113" s="14" t="s">
        <v>834</v>
      </c>
      <c r="K113" s="14" t="s">
        <v>1343</v>
      </c>
      <c r="L113" s="14" t="s">
        <v>1344</v>
      </c>
      <c r="M113" s="15" t="n">
        <v>8200</v>
      </c>
      <c r="N113" s="14" t="s">
        <v>283</v>
      </c>
      <c r="O113" s="14" t="s">
        <v>447</v>
      </c>
      <c r="P113" s="16" t="s">
        <v>1345</v>
      </c>
      <c r="Q113" s="6" t="s">
        <v>1346</v>
      </c>
      <c r="R113" s="6" t="s">
        <v>1347</v>
      </c>
      <c r="S113" s="14" t="s">
        <v>906</v>
      </c>
      <c r="T113" s="14" t="s">
        <v>235</v>
      </c>
      <c r="U113" s="14" t="s">
        <v>236</v>
      </c>
      <c r="V113" s="14" t="s">
        <v>1348</v>
      </c>
      <c r="W113" s="14" t="s">
        <v>452</v>
      </c>
      <c r="X113" s="14"/>
      <c r="Y113" s="15" t="n">
        <v>61500</v>
      </c>
      <c r="Z113" s="15"/>
      <c r="AA113" s="14"/>
      <c r="AB113" s="14"/>
      <c r="AC113" s="17"/>
      <c r="AD113" s="18" t="n">
        <v>22.4</v>
      </c>
      <c r="AE113" s="18" t="n">
        <f aca="false">IF(AD113="","",MIN(AD113,100))</f>
        <v>22.4</v>
      </c>
      <c r="AF113" s="14"/>
      <c r="AG113" s="14" t="s">
        <v>224</v>
      </c>
      <c r="AH113" s="14" t="n">
        <v>7</v>
      </c>
      <c r="AI113" s="14" t="s">
        <v>224</v>
      </c>
      <c r="AJ113" s="14" t="s">
        <v>224</v>
      </c>
      <c r="AK113" s="14" t="s">
        <v>240</v>
      </c>
      <c r="AL113" s="19" t="n">
        <f aca="false">ROUND('Start Here'!$B$29*AH113+'Start Here'!$B$30*MIN(IF(AD113="",0,AD113),50)/5+IF(M113&lt;=30000,'Start Here'!$B$31,IF(M113&lt;=60000,'Start Here'!$B$32,0)),1)</f>
        <v>6.8</v>
      </c>
      <c r="AM113" s="6" t="s">
        <v>1349</v>
      </c>
      <c r="AN113" s="6" t="s">
        <v>1350</v>
      </c>
      <c r="AO113" s="6" t="s">
        <v>1351</v>
      </c>
      <c r="AP113" s="14" t="s">
        <v>457</v>
      </c>
      <c r="AQ113" s="14" t="s">
        <v>923</v>
      </c>
      <c r="AR113" s="20" t="s">
        <v>246</v>
      </c>
      <c r="AS113" s="20"/>
    </row>
    <row r="114" customFormat="false" ht="60" hidden="false" customHeight="true" outlineLevel="0" collapsed="false">
      <c r="A114" s="14" t="n">
        <v>113</v>
      </c>
      <c r="B114" s="14" t="s">
        <v>220</v>
      </c>
      <c r="C114" s="14" t="s">
        <v>221</v>
      </c>
      <c r="D114" s="14" t="s">
        <v>222</v>
      </c>
      <c r="E114" s="14" t="s">
        <v>36</v>
      </c>
      <c r="F114" s="14" t="s">
        <v>223</v>
      </c>
      <c r="G114" s="14" t="s">
        <v>223</v>
      </c>
      <c r="H114" s="14" t="s">
        <v>223</v>
      </c>
      <c r="I114" s="14" t="s">
        <v>225</v>
      </c>
      <c r="J114" s="14" t="s">
        <v>322</v>
      </c>
      <c r="K114" s="14" t="s">
        <v>1352</v>
      </c>
      <c r="L114" s="14" t="s">
        <v>1353</v>
      </c>
      <c r="M114" s="15" t="n">
        <v>29285</v>
      </c>
      <c r="N114" s="14" t="s">
        <v>298</v>
      </c>
      <c r="O114" s="14" t="s">
        <v>268</v>
      </c>
      <c r="P114" s="16" t="s">
        <v>1354</v>
      </c>
      <c r="Q114" s="6" t="s">
        <v>1355</v>
      </c>
      <c r="R114" s="6" t="s">
        <v>1356</v>
      </c>
      <c r="S114" s="14" t="s">
        <v>255</v>
      </c>
      <c r="T114" s="14" t="s">
        <v>235</v>
      </c>
      <c r="U114" s="14" t="s">
        <v>236</v>
      </c>
      <c r="V114" s="14" t="s">
        <v>439</v>
      </c>
      <c r="W114" s="14"/>
      <c r="X114" s="14"/>
      <c r="Y114" s="15" t="n">
        <v>306060</v>
      </c>
      <c r="Z114" s="15" t="n">
        <v>5235</v>
      </c>
      <c r="AA114" s="14" t="n">
        <v>2720</v>
      </c>
      <c r="AB114" s="14" t="n">
        <v>555</v>
      </c>
      <c r="AC114" s="17" t="n">
        <v>0.0278050055544665</v>
      </c>
      <c r="AD114" s="18" t="n">
        <v>74.66</v>
      </c>
      <c r="AE114" s="18" t="n">
        <f aca="false">IF(AD114="","",MIN(AD114,100))</f>
        <v>74.66</v>
      </c>
      <c r="AF114" s="14" t="n">
        <v>100</v>
      </c>
      <c r="AG114" s="14" t="s">
        <v>224</v>
      </c>
      <c r="AH114" s="14" t="n">
        <v>3.6</v>
      </c>
      <c r="AI114" s="14" t="s">
        <v>223</v>
      </c>
      <c r="AJ114" s="14" t="s">
        <v>224</v>
      </c>
      <c r="AK114" s="14" t="s">
        <v>240</v>
      </c>
      <c r="AL114" s="19" t="n">
        <f aca="false">ROUND('Start Here'!$B$29*AH114+'Start Here'!$B$30*MIN(IF(AD114="",0,AD114),50)/5+IF(M114&lt;=30000,'Start Here'!$B$31,IF(M114&lt;=60000,'Start Here'!$B$32,0)),1)</f>
        <v>6.8</v>
      </c>
      <c r="AM114" s="6" t="s">
        <v>491</v>
      </c>
      <c r="AN114" s="6" t="s">
        <v>674</v>
      </c>
      <c r="AO114" s="6"/>
      <c r="AP114" s="14"/>
      <c r="AQ114" s="14" t="s">
        <v>294</v>
      </c>
      <c r="AR114" s="20" t="s">
        <v>246</v>
      </c>
      <c r="AS114" s="20"/>
    </row>
    <row r="115" customFormat="false" ht="60" hidden="false" customHeight="true" outlineLevel="0" collapsed="false">
      <c r="A115" s="14" t="n">
        <v>114</v>
      </c>
      <c r="B115" s="14" t="s">
        <v>220</v>
      </c>
      <c r="C115" s="14" t="s">
        <v>221</v>
      </c>
      <c r="D115" s="14" t="s">
        <v>222</v>
      </c>
      <c r="E115" s="14" t="s">
        <v>40</v>
      </c>
      <c r="F115" s="14" t="s">
        <v>224</v>
      </c>
      <c r="G115" s="14" t="s">
        <v>224</v>
      </c>
      <c r="H115" s="14" t="s">
        <v>224</v>
      </c>
      <c r="I115" s="14" t="s">
        <v>264</v>
      </c>
      <c r="J115" s="14" t="s">
        <v>924</v>
      </c>
      <c r="K115" s="14" t="s">
        <v>340</v>
      </c>
      <c r="L115" s="14" t="s">
        <v>341</v>
      </c>
      <c r="M115" s="15" t="n">
        <v>5044</v>
      </c>
      <c r="N115" s="14" t="s">
        <v>283</v>
      </c>
      <c r="O115" s="14" t="s">
        <v>1357</v>
      </c>
      <c r="P115" s="16" t="s">
        <v>1358</v>
      </c>
      <c r="Q115" s="6" t="s">
        <v>1359</v>
      </c>
      <c r="R115" s="6" t="s">
        <v>1360</v>
      </c>
      <c r="S115" s="14" t="s">
        <v>513</v>
      </c>
      <c r="T115" s="14" t="s">
        <v>235</v>
      </c>
      <c r="U115" s="14" t="s">
        <v>236</v>
      </c>
      <c r="V115" s="14" t="s">
        <v>237</v>
      </c>
      <c r="W115" s="14" t="s">
        <v>238</v>
      </c>
      <c r="X115" s="14" t="s">
        <v>239</v>
      </c>
      <c r="Y115" s="15" t="n">
        <v>1487</v>
      </c>
      <c r="Z115" s="15" t="n">
        <v>30</v>
      </c>
      <c r="AA115" s="14" t="n">
        <v>13</v>
      </c>
      <c r="AB115" s="14" t="n">
        <v>1</v>
      </c>
      <c r="AC115" s="17" t="n">
        <v>0.0295897780766644</v>
      </c>
      <c r="AD115" s="18" t="n">
        <v>4.52</v>
      </c>
      <c r="AE115" s="18" t="n">
        <f aca="false">IF(AD115="","",MIN(AD115,100))</f>
        <v>4.52</v>
      </c>
      <c r="AF115" s="14" t="n">
        <v>92.3</v>
      </c>
      <c r="AG115" s="14" t="s">
        <v>224</v>
      </c>
      <c r="AH115" s="14" t="n">
        <v>9</v>
      </c>
      <c r="AI115" s="14" t="s">
        <v>224</v>
      </c>
      <c r="AJ115" s="14" t="s">
        <v>224</v>
      </c>
      <c r="AK115" s="14" t="s">
        <v>240</v>
      </c>
      <c r="AL115" s="19" t="n">
        <f aca="false">ROUND('Start Here'!$B$29*AH115+'Start Here'!$B$30*MIN(IF(AD115="",0,AD115),50)/5+IF(M115&lt;=30000,'Start Here'!$B$31,IF(M115&lt;=60000,'Start Here'!$B$32,0)),1)</f>
        <v>6.8</v>
      </c>
      <c r="AM115" s="6" t="s">
        <v>1361</v>
      </c>
      <c r="AN115" s="6" t="s">
        <v>1362</v>
      </c>
      <c r="AO115" s="6" t="s">
        <v>1363</v>
      </c>
      <c r="AP115" s="14" t="s">
        <v>1364</v>
      </c>
      <c r="AQ115" s="14" t="s">
        <v>351</v>
      </c>
      <c r="AR115" s="20" t="s">
        <v>246</v>
      </c>
      <c r="AS115" s="20"/>
    </row>
    <row r="116" customFormat="false" ht="60" hidden="false" customHeight="true" outlineLevel="0" collapsed="false">
      <c r="A116" s="14" t="n">
        <v>115</v>
      </c>
      <c r="B116" s="14" t="s">
        <v>247</v>
      </c>
      <c r="C116" s="14" t="s">
        <v>221</v>
      </c>
      <c r="D116" s="14" t="s">
        <v>222</v>
      </c>
      <c r="E116" s="14" t="s">
        <v>34</v>
      </c>
      <c r="F116" s="14" t="s">
        <v>223</v>
      </c>
      <c r="G116" s="14" t="s">
        <v>224</v>
      </c>
      <c r="H116" s="14" t="s">
        <v>224</v>
      </c>
      <c r="I116" s="14" t="s">
        <v>308</v>
      </c>
      <c r="J116" s="14" t="s">
        <v>1365</v>
      </c>
      <c r="K116" s="14" t="s">
        <v>1366</v>
      </c>
      <c r="L116" s="14" t="s">
        <v>1367</v>
      </c>
      <c r="M116" s="15" t="n">
        <v>56086</v>
      </c>
      <c r="N116" s="14" t="s">
        <v>400</v>
      </c>
      <c r="O116" s="14" t="s">
        <v>1368</v>
      </c>
      <c r="P116" s="16" t="s">
        <v>1369</v>
      </c>
      <c r="Q116" s="6" t="s">
        <v>1370</v>
      </c>
      <c r="R116" s="6" t="s">
        <v>1370</v>
      </c>
      <c r="S116" s="14" t="s">
        <v>272</v>
      </c>
      <c r="T116" s="14" t="s">
        <v>273</v>
      </c>
      <c r="U116" s="14" t="s">
        <v>274</v>
      </c>
      <c r="V116" s="14" t="s">
        <v>256</v>
      </c>
      <c r="W116" s="14" t="s">
        <v>257</v>
      </c>
      <c r="X116" s="14" t="s">
        <v>239</v>
      </c>
      <c r="Y116" s="15" t="n">
        <v>21637</v>
      </c>
      <c r="Z116" s="15" t="n">
        <v>136</v>
      </c>
      <c r="AA116" s="14" t="n">
        <v>16</v>
      </c>
      <c r="AB116" s="14"/>
      <c r="AC116" s="17" t="n">
        <v>0.00702500346628461</v>
      </c>
      <c r="AD116" s="18" t="n">
        <v>12.55</v>
      </c>
      <c r="AE116" s="18" t="n">
        <f aca="false">IF(AD116="","",MIN(AD116,100))</f>
        <v>12.55</v>
      </c>
      <c r="AF116" s="14" t="n">
        <v>95.2</v>
      </c>
      <c r="AG116" s="14" t="s">
        <v>224</v>
      </c>
      <c r="AH116" s="14" t="n">
        <v>10</v>
      </c>
      <c r="AI116" s="14" t="s">
        <v>224</v>
      </c>
      <c r="AJ116" s="14" t="s">
        <v>224</v>
      </c>
      <c r="AK116" s="14" t="s">
        <v>240</v>
      </c>
      <c r="AL116" s="19" t="n">
        <f aca="false">ROUND('Start Here'!$B$29*AH116+'Start Here'!$B$30*MIN(IF(AD116="",0,AD116),50)/5+IF(M116&lt;=30000,'Start Here'!$B$31,IF(M116&lt;=60000,'Start Here'!$B$32,0)),1)</f>
        <v>6.8</v>
      </c>
      <c r="AM116" s="6" t="s">
        <v>303</v>
      </c>
      <c r="AN116" s="6" t="s">
        <v>1371</v>
      </c>
      <c r="AO116" s="6" t="s">
        <v>1372</v>
      </c>
      <c r="AP116" s="14" t="s">
        <v>1373</v>
      </c>
      <c r="AQ116" s="14" t="s">
        <v>363</v>
      </c>
      <c r="AR116" s="20" t="s">
        <v>246</v>
      </c>
      <c r="AS116" s="20"/>
    </row>
    <row r="117" customFormat="false" ht="60" hidden="false" customHeight="true" outlineLevel="0" collapsed="false">
      <c r="A117" s="14" t="n">
        <v>116</v>
      </c>
      <c r="B117" s="14" t="s">
        <v>220</v>
      </c>
      <c r="C117" s="14" t="s">
        <v>221</v>
      </c>
      <c r="D117" s="14" t="s">
        <v>222</v>
      </c>
      <c r="E117" s="14" t="s">
        <v>36</v>
      </c>
      <c r="F117" s="14" t="s">
        <v>223</v>
      </c>
      <c r="G117" s="14" t="s">
        <v>223</v>
      </c>
      <c r="H117" s="14" t="s">
        <v>224</v>
      </c>
      <c r="I117" s="14" t="s">
        <v>338</v>
      </c>
      <c r="J117" s="14" t="s">
        <v>322</v>
      </c>
      <c r="K117" s="14" t="s">
        <v>1052</v>
      </c>
      <c r="L117" s="14" t="s">
        <v>1053</v>
      </c>
      <c r="M117" s="15" t="n">
        <v>19758</v>
      </c>
      <c r="N117" s="14" t="s">
        <v>229</v>
      </c>
      <c r="O117" s="14" t="s">
        <v>388</v>
      </c>
      <c r="P117" s="16" t="s">
        <v>1374</v>
      </c>
      <c r="Q117" s="6" t="s">
        <v>1056</v>
      </c>
      <c r="R117" s="6" t="s">
        <v>1057</v>
      </c>
      <c r="S117" s="14" t="s">
        <v>234</v>
      </c>
      <c r="T117" s="14" t="s">
        <v>235</v>
      </c>
      <c r="U117" s="14" t="s">
        <v>346</v>
      </c>
      <c r="V117" s="14" t="s">
        <v>237</v>
      </c>
      <c r="W117" s="14" t="s">
        <v>332</v>
      </c>
      <c r="X117" s="14" t="s">
        <v>239</v>
      </c>
      <c r="Y117" s="15" t="n">
        <v>113621</v>
      </c>
      <c r="Z117" s="15" t="n">
        <v>830</v>
      </c>
      <c r="AA117" s="14" t="n">
        <v>55</v>
      </c>
      <c r="AB117" s="14" t="n">
        <v>10</v>
      </c>
      <c r="AC117" s="17" t="n">
        <v>0.00787706497918519</v>
      </c>
      <c r="AD117" s="18" t="n">
        <v>57.21</v>
      </c>
      <c r="AE117" s="18" t="n">
        <f aca="false">IF(AD117="","",MIN(AD117,100))</f>
        <v>57.21</v>
      </c>
      <c r="AF117" s="14" t="n">
        <v>99.1</v>
      </c>
      <c r="AG117" s="14" t="s">
        <v>224</v>
      </c>
      <c r="AH117" s="14" t="n">
        <v>3.5</v>
      </c>
      <c r="AI117" s="14" t="s">
        <v>224</v>
      </c>
      <c r="AJ117" s="14" t="s">
        <v>223</v>
      </c>
      <c r="AK117" s="14" t="s">
        <v>490</v>
      </c>
      <c r="AL117" s="19" t="n">
        <f aca="false">ROUND('Start Here'!$B$29*AH117+'Start Here'!$B$30*MIN(IF(AD117="",0,AD117),50)/5+IF(M117&lt;=30000,'Start Here'!$B$31,IF(M117&lt;=60000,'Start Here'!$B$32,0)),1)</f>
        <v>6.8</v>
      </c>
      <c r="AM117" s="6" t="s">
        <v>290</v>
      </c>
      <c r="AN117" s="6" t="s">
        <v>1058</v>
      </c>
      <c r="AO117" s="6" t="s">
        <v>1375</v>
      </c>
      <c r="AP117" s="14" t="s">
        <v>1376</v>
      </c>
      <c r="AQ117" s="14" t="s">
        <v>538</v>
      </c>
      <c r="AR117" s="20" t="s">
        <v>246</v>
      </c>
      <c r="AS117" s="20"/>
    </row>
    <row r="118" customFormat="false" ht="60" hidden="false" customHeight="true" outlineLevel="0" collapsed="false">
      <c r="A118" s="14" t="n">
        <v>117</v>
      </c>
      <c r="B118" s="14" t="s">
        <v>247</v>
      </c>
      <c r="C118" s="14" t="s">
        <v>221</v>
      </c>
      <c r="D118" s="14" t="s">
        <v>443</v>
      </c>
      <c r="E118" s="14" t="s">
        <v>34</v>
      </c>
      <c r="F118" s="14" t="s">
        <v>223</v>
      </c>
      <c r="G118" s="14" t="s">
        <v>224</v>
      </c>
      <c r="H118" s="14" t="s">
        <v>224</v>
      </c>
      <c r="I118" s="14" t="s">
        <v>225</v>
      </c>
      <c r="J118" s="14" t="s">
        <v>635</v>
      </c>
      <c r="K118" s="14" t="s">
        <v>1377</v>
      </c>
      <c r="L118" s="14" t="s">
        <v>1378</v>
      </c>
      <c r="M118" s="15" t="n">
        <v>34500</v>
      </c>
      <c r="N118" s="14" t="s">
        <v>462</v>
      </c>
      <c r="O118" s="14" t="s">
        <v>447</v>
      </c>
      <c r="P118" s="16" t="s">
        <v>1379</v>
      </c>
      <c r="Q118" s="6" t="s">
        <v>1380</v>
      </c>
      <c r="R118" s="6" t="s">
        <v>1381</v>
      </c>
      <c r="S118" s="14" t="s">
        <v>685</v>
      </c>
      <c r="T118" s="14" t="s">
        <v>235</v>
      </c>
      <c r="U118" s="14" t="s">
        <v>686</v>
      </c>
      <c r="V118" s="14" t="s">
        <v>642</v>
      </c>
      <c r="W118" s="14" t="s">
        <v>452</v>
      </c>
      <c r="X118" s="14"/>
      <c r="Y118" s="15" t="n">
        <v>118200</v>
      </c>
      <c r="Z118" s="15"/>
      <c r="AA118" s="14"/>
      <c r="AB118" s="14"/>
      <c r="AC118" s="17"/>
      <c r="AD118" s="18" t="n">
        <v>45.4</v>
      </c>
      <c r="AE118" s="18" t="n">
        <f aca="false">IF(AD118="","",MIN(AD118,100))</f>
        <v>45.4</v>
      </c>
      <c r="AF118" s="14"/>
      <c r="AG118" s="14" t="s">
        <v>224</v>
      </c>
      <c r="AH118" s="14" t="n">
        <v>6</v>
      </c>
      <c r="AI118" s="14" t="s">
        <v>224</v>
      </c>
      <c r="AJ118" s="14" t="s">
        <v>224</v>
      </c>
      <c r="AK118" s="14" t="s">
        <v>240</v>
      </c>
      <c r="AL118" s="19" t="n">
        <f aca="false">ROUND('Start Here'!$B$29*AH118+'Start Here'!$B$30*MIN(IF(AD118="",0,AD118),50)/5+IF(M118&lt;=30000,'Start Here'!$B$31,IF(M118&lt;=60000,'Start Here'!$B$32,0)),1)</f>
        <v>6.7</v>
      </c>
      <c r="AM118" s="6" t="s">
        <v>1382</v>
      </c>
      <c r="AN118" s="6" t="s">
        <v>1383</v>
      </c>
      <c r="AO118" s="6" t="s">
        <v>1384</v>
      </c>
      <c r="AP118" s="14" t="s">
        <v>1385</v>
      </c>
      <c r="AQ118" s="14" t="s">
        <v>1386</v>
      </c>
      <c r="AR118" s="20" t="s">
        <v>246</v>
      </c>
      <c r="AS118" s="20"/>
    </row>
    <row r="119" customFormat="false" ht="60" hidden="false" customHeight="true" outlineLevel="0" collapsed="false">
      <c r="A119" s="14" t="n">
        <v>118</v>
      </c>
      <c r="B119" s="14" t="s">
        <v>247</v>
      </c>
      <c r="C119" s="14" t="s">
        <v>221</v>
      </c>
      <c r="D119" s="14" t="s">
        <v>222</v>
      </c>
      <c r="E119" s="14" t="s">
        <v>36</v>
      </c>
      <c r="F119" s="14" t="s">
        <v>223</v>
      </c>
      <c r="G119" s="14" t="s">
        <v>223</v>
      </c>
      <c r="H119" s="14" t="s">
        <v>224</v>
      </c>
      <c r="I119" s="14" t="s">
        <v>375</v>
      </c>
      <c r="J119" s="14" t="s">
        <v>1387</v>
      </c>
      <c r="K119" s="14" t="s">
        <v>1388</v>
      </c>
      <c r="L119" s="14" t="s">
        <v>1389</v>
      </c>
      <c r="M119" s="15" t="n">
        <v>29762</v>
      </c>
      <c r="N119" s="14" t="s">
        <v>298</v>
      </c>
      <c r="O119" s="14" t="s">
        <v>837</v>
      </c>
      <c r="P119" s="16" t="s">
        <v>1390</v>
      </c>
      <c r="Q119" s="6" t="s">
        <v>1391</v>
      </c>
      <c r="R119" s="6" t="s">
        <v>1392</v>
      </c>
      <c r="S119" s="14" t="s">
        <v>513</v>
      </c>
      <c r="T119" s="14" t="s">
        <v>235</v>
      </c>
      <c r="U119" s="14" t="s">
        <v>236</v>
      </c>
      <c r="V119" s="14" t="s">
        <v>288</v>
      </c>
      <c r="W119" s="14" t="s">
        <v>257</v>
      </c>
      <c r="X119" s="14" t="s">
        <v>239</v>
      </c>
      <c r="Y119" s="15" t="n">
        <v>20073</v>
      </c>
      <c r="Z119" s="15" t="n">
        <v>475</v>
      </c>
      <c r="AA119" s="14" t="n">
        <v>10</v>
      </c>
      <c r="AB119" s="14"/>
      <c r="AC119" s="17" t="n">
        <v>0.0241618093957057</v>
      </c>
      <c r="AD119" s="18" t="n">
        <v>11.8</v>
      </c>
      <c r="AE119" s="18" t="n">
        <f aca="false">IF(AD119="","",MIN(AD119,100))</f>
        <v>11.8</v>
      </c>
      <c r="AF119" s="14" t="n">
        <v>96.2</v>
      </c>
      <c r="AG119" s="14" t="s">
        <v>224</v>
      </c>
      <c r="AH119" s="14" t="n">
        <v>8</v>
      </c>
      <c r="AI119" s="14" t="s">
        <v>224</v>
      </c>
      <c r="AJ119" s="14" t="s">
        <v>224</v>
      </c>
      <c r="AK119" s="14" t="s">
        <v>240</v>
      </c>
      <c r="AL119" s="19" t="n">
        <f aca="false">ROUND('Start Here'!$B$29*AH119+'Start Here'!$B$30*MIN(IF(AD119="",0,AD119),50)/5+IF(M119&lt;=30000,'Start Here'!$B$31,IF(M119&lt;=60000,'Start Here'!$B$32,0)),1)</f>
        <v>6.7</v>
      </c>
      <c r="AM119" s="6" t="s">
        <v>789</v>
      </c>
      <c r="AN119" s="6" t="s">
        <v>1393</v>
      </c>
      <c r="AO119" s="6" t="s">
        <v>1394</v>
      </c>
      <c r="AP119" s="14" t="s">
        <v>1395</v>
      </c>
      <c r="AQ119" s="14" t="s">
        <v>524</v>
      </c>
      <c r="AR119" s="20" t="s">
        <v>246</v>
      </c>
      <c r="AS119" s="20"/>
    </row>
    <row r="120" customFormat="false" ht="60" hidden="false" customHeight="true" outlineLevel="0" collapsed="false">
      <c r="A120" s="14" t="n">
        <v>119</v>
      </c>
      <c r="B120" s="14" t="s">
        <v>374</v>
      </c>
      <c r="C120" s="14" t="s">
        <v>221</v>
      </c>
      <c r="D120" s="14" t="s">
        <v>222</v>
      </c>
      <c r="E120" s="14" t="s">
        <v>40</v>
      </c>
      <c r="F120" s="14" t="s">
        <v>224</v>
      </c>
      <c r="G120" s="14" t="s">
        <v>224</v>
      </c>
      <c r="H120" s="14" t="s">
        <v>224</v>
      </c>
      <c r="I120" s="14" t="s">
        <v>635</v>
      </c>
      <c r="J120" s="14" t="s">
        <v>1396</v>
      </c>
      <c r="K120" s="14" t="s">
        <v>1397</v>
      </c>
      <c r="L120" s="14" t="s">
        <v>1398</v>
      </c>
      <c r="M120" s="15" t="n">
        <v>5068</v>
      </c>
      <c r="N120" s="14" t="s">
        <v>283</v>
      </c>
      <c r="O120" s="14" t="s">
        <v>1399</v>
      </c>
      <c r="P120" s="16" t="s">
        <v>1400</v>
      </c>
      <c r="Q120" s="6" t="s">
        <v>1401</v>
      </c>
      <c r="R120" s="6" t="s">
        <v>1402</v>
      </c>
      <c r="S120" s="14" t="s">
        <v>234</v>
      </c>
      <c r="T120" s="14" t="s">
        <v>235</v>
      </c>
      <c r="U120" s="14" t="s">
        <v>346</v>
      </c>
      <c r="V120" s="14" t="s">
        <v>237</v>
      </c>
      <c r="W120" s="14" t="s">
        <v>257</v>
      </c>
      <c r="X120" s="14" t="s">
        <v>239</v>
      </c>
      <c r="Y120" s="15"/>
      <c r="Z120" s="15" t="n">
        <v>7</v>
      </c>
      <c r="AA120" s="14" t="n">
        <v>1</v>
      </c>
      <c r="AB120" s="14" t="n">
        <v>0</v>
      </c>
      <c r="AC120" s="17" t="n">
        <v>0.00159872102318146</v>
      </c>
      <c r="AD120" s="18" t="n">
        <v>3.35</v>
      </c>
      <c r="AE120" s="18" t="n">
        <f aca="false">IF(AD120="","",MIN(AD120,100))</f>
        <v>3.35</v>
      </c>
      <c r="AF120" s="14" t="n">
        <v>71.2</v>
      </c>
      <c r="AG120" s="14" t="s">
        <v>224</v>
      </c>
      <c r="AH120" s="14" t="n">
        <v>9</v>
      </c>
      <c r="AI120" s="14" t="s">
        <v>224</v>
      </c>
      <c r="AJ120" s="14" t="s">
        <v>224</v>
      </c>
      <c r="AK120" s="14" t="s">
        <v>240</v>
      </c>
      <c r="AL120" s="19" t="n">
        <f aca="false">ROUND('Start Here'!$B$29*AH120+'Start Here'!$B$30*MIN(IF(AD120="",0,AD120),50)/5+IF(M120&lt;=30000,'Start Here'!$B$31,IF(M120&lt;=60000,'Start Here'!$B$32,0)),1)</f>
        <v>6.7</v>
      </c>
      <c r="AM120" s="6" t="s">
        <v>503</v>
      </c>
      <c r="AN120" s="6" t="s">
        <v>1403</v>
      </c>
      <c r="AO120" s="6" t="s">
        <v>1404</v>
      </c>
      <c r="AP120" s="14" t="s">
        <v>1405</v>
      </c>
      <c r="AQ120" s="14" t="s">
        <v>1184</v>
      </c>
      <c r="AR120" s="20" t="s">
        <v>246</v>
      </c>
      <c r="AS120" s="20"/>
    </row>
    <row r="121" customFormat="false" ht="60" hidden="false" customHeight="true" outlineLevel="0" collapsed="false">
      <c r="A121" s="14" t="n">
        <v>120</v>
      </c>
      <c r="B121" s="14" t="s">
        <v>374</v>
      </c>
      <c r="C121" s="14" t="s">
        <v>221</v>
      </c>
      <c r="D121" s="14" t="s">
        <v>222</v>
      </c>
      <c r="E121" s="14" t="s">
        <v>36</v>
      </c>
      <c r="F121" s="14" t="s">
        <v>223</v>
      </c>
      <c r="G121" s="14" t="s">
        <v>223</v>
      </c>
      <c r="H121" s="14" t="s">
        <v>223</v>
      </c>
      <c r="I121" s="14" t="s">
        <v>308</v>
      </c>
      <c r="J121" s="14" t="s">
        <v>1406</v>
      </c>
      <c r="K121" s="14" t="s">
        <v>1407</v>
      </c>
      <c r="L121" s="14" t="s">
        <v>1408</v>
      </c>
      <c r="M121" s="15" t="n">
        <v>6196</v>
      </c>
      <c r="N121" s="14" t="s">
        <v>283</v>
      </c>
      <c r="O121" s="14" t="s">
        <v>1409</v>
      </c>
      <c r="P121" s="16" t="s">
        <v>1410</v>
      </c>
      <c r="Q121" s="6" t="s">
        <v>1411</v>
      </c>
      <c r="R121" s="6" t="s">
        <v>1412</v>
      </c>
      <c r="S121" s="14" t="s">
        <v>330</v>
      </c>
      <c r="T121" s="14" t="s">
        <v>316</v>
      </c>
      <c r="U121" s="14" t="s">
        <v>236</v>
      </c>
      <c r="V121" s="14" t="s">
        <v>383</v>
      </c>
      <c r="W121" s="14"/>
      <c r="X121" s="14"/>
      <c r="Y121" s="15"/>
      <c r="Z121" s="15" t="n">
        <v>1066</v>
      </c>
      <c r="AA121" s="14" t="n">
        <v>1351</v>
      </c>
      <c r="AB121" s="14" t="n">
        <v>3</v>
      </c>
      <c r="AC121" s="17" t="n">
        <v>0.39057456423499</v>
      </c>
      <c r="AD121" s="18" t="n">
        <v>19.74</v>
      </c>
      <c r="AE121" s="18" t="n">
        <f aca="false">IF(AD121="","",MIN(AD121,100))</f>
        <v>19.74</v>
      </c>
      <c r="AF121" s="14" t="n">
        <v>100</v>
      </c>
      <c r="AG121" s="14" t="s">
        <v>224</v>
      </c>
      <c r="AH121" s="14" t="n">
        <v>7</v>
      </c>
      <c r="AI121" s="14" t="s">
        <v>224</v>
      </c>
      <c r="AJ121" s="14" t="s">
        <v>224</v>
      </c>
      <c r="AK121" s="14" t="s">
        <v>240</v>
      </c>
      <c r="AL121" s="19" t="n">
        <f aca="false">ROUND('Start Here'!$B$29*AH121+'Start Here'!$B$30*MIN(IF(AD121="",0,AD121),50)/5+IF(M121&lt;=30000,'Start Here'!$B$31,IF(M121&lt;=60000,'Start Here'!$B$32,0)),1)</f>
        <v>6.7</v>
      </c>
      <c r="AM121" s="6" t="s">
        <v>1413</v>
      </c>
      <c r="AN121" s="6" t="s">
        <v>1414</v>
      </c>
      <c r="AO121" s="6"/>
      <c r="AP121" s="14"/>
      <c r="AQ121" s="14" t="s">
        <v>363</v>
      </c>
      <c r="AR121" s="20" t="s">
        <v>246</v>
      </c>
      <c r="AS121" s="20"/>
    </row>
    <row r="122" customFormat="false" ht="60" hidden="false" customHeight="true" outlineLevel="0" collapsed="false">
      <c r="A122" s="14" t="n">
        <v>121</v>
      </c>
      <c r="B122" s="14" t="s">
        <v>247</v>
      </c>
      <c r="C122" s="14" t="s">
        <v>221</v>
      </c>
      <c r="D122" s="14" t="s">
        <v>222</v>
      </c>
      <c r="E122" s="14" t="s">
        <v>34</v>
      </c>
      <c r="F122" s="14" t="s">
        <v>223</v>
      </c>
      <c r="G122" s="14" t="s">
        <v>224</v>
      </c>
      <c r="H122" s="14" t="s">
        <v>224</v>
      </c>
      <c r="I122" s="14" t="s">
        <v>225</v>
      </c>
      <c r="J122" s="14" t="s">
        <v>1415</v>
      </c>
      <c r="K122" s="14" t="s">
        <v>398</v>
      </c>
      <c r="L122" s="14" t="s">
        <v>399</v>
      </c>
      <c r="M122" s="15" t="n">
        <v>57809</v>
      </c>
      <c r="N122" s="14" t="s">
        <v>400</v>
      </c>
      <c r="O122" s="14" t="s">
        <v>1357</v>
      </c>
      <c r="P122" s="16" t="s">
        <v>1416</v>
      </c>
      <c r="Q122" s="6" t="s">
        <v>1417</v>
      </c>
      <c r="R122" s="6" t="s">
        <v>1418</v>
      </c>
      <c r="S122" s="14" t="s">
        <v>255</v>
      </c>
      <c r="T122" s="14" t="s">
        <v>235</v>
      </c>
      <c r="U122" s="14" t="s">
        <v>236</v>
      </c>
      <c r="V122" s="14" t="s">
        <v>256</v>
      </c>
      <c r="W122" s="14" t="s">
        <v>257</v>
      </c>
      <c r="X122" s="14" t="s">
        <v>258</v>
      </c>
      <c r="Y122" s="15" t="n">
        <v>126964</v>
      </c>
      <c r="Z122" s="15" t="n">
        <v>614</v>
      </c>
      <c r="AA122" s="14" t="n">
        <v>230</v>
      </c>
      <c r="AB122" s="14"/>
      <c r="AC122" s="17" t="n">
        <v>0.00664755363725151</v>
      </c>
      <c r="AD122" s="18" t="n">
        <v>27.98</v>
      </c>
      <c r="AE122" s="18" t="n">
        <f aca="false">IF(AD122="","",MIN(AD122,100))</f>
        <v>27.98</v>
      </c>
      <c r="AF122" s="14" t="n">
        <v>96</v>
      </c>
      <c r="AG122" s="14" t="s">
        <v>224</v>
      </c>
      <c r="AH122" s="14" t="n">
        <v>8</v>
      </c>
      <c r="AI122" s="14" t="s">
        <v>224</v>
      </c>
      <c r="AJ122" s="14" t="s">
        <v>224</v>
      </c>
      <c r="AK122" s="14" t="s">
        <v>240</v>
      </c>
      <c r="AL122" s="19" t="n">
        <f aca="false">ROUND('Start Here'!$B$29*AH122+'Start Here'!$B$30*MIN(IF(AD122="",0,AD122),50)/5+IF(M122&lt;=30000,'Start Here'!$B$31,IF(M122&lt;=60000,'Start Here'!$B$32,0)),1)</f>
        <v>6.7</v>
      </c>
      <c r="AM122" s="6" t="s">
        <v>491</v>
      </c>
      <c r="AN122" s="6" t="s">
        <v>260</v>
      </c>
      <c r="AO122" s="6" t="s">
        <v>1419</v>
      </c>
      <c r="AP122" s="14" t="s">
        <v>1420</v>
      </c>
      <c r="AQ122" s="14" t="s">
        <v>294</v>
      </c>
      <c r="AR122" s="20" t="s">
        <v>246</v>
      </c>
      <c r="AS122" s="20"/>
    </row>
    <row r="123" customFormat="false" ht="60" hidden="false" customHeight="true" outlineLevel="0" collapsed="false">
      <c r="A123" s="14" t="n">
        <v>122</v>
      </c>
      <c r="B123" s="14" t="s">
        <v>220</v>
      </c>
      <c r="C123" s="14" t="s">
        <v>221</v>
      </c>
      <c r="D123" s="14" t="s">
        <v>222</v>
      </c>
      <c r="E123" s="14" t="s">
        <v>34</v>
      </c>
      <c r="F123" s="14" t="s">
        <v>223</v>
      </c>
      <c r="G123" s="14" t="s">
        <v>224</v>
      </c>
      <c r="H123" s="14" t="s">
        <v>223</v>
      </c>
      <c r="I123" s="14" t="s">
        <v>586</v>
      </c>
      <c r="J123" s="14" t="s">
        <v>1421</v>
      </c>
      <c r="K123" s="14" t="s">
        <v>1422</v>
      </c>
      <c r="L123" s="14" t="s">
        <v>1423</v>
      </c>
      <c r="M123" s="15" t="n">
        <v>35780</v>
      </c>
      <c r="N123" s="14" t="s">
        <v>462</v>
      </c>
      <c r="O123" s="14" t="s">
        <v>1424</v>
      </c>
      <c r="P123" s="16" t="s">
        <v>1425</v>
      </c>
      <c r="Q123" s="6" t="s">
        <v>1426</v>
      </c>
      <c r="R123" s="6" t="s">
        <v>1427</v>
      </c>
      <c r="S123" s="14" t="s">
        <v>255</v>
      </c>
      <c r="T123" s="14" t="s">
        <v>235</v>
      </c>
      <c r="U123" s="14" t="s">
        <v>236</v>
      </c>
      <c r="V123" s="14" t="s">
        <v>237</v>
      </c>
      <c r="W123" s="14" t="s">
        <v>257</v>
      </c>
      <c r="X123" s="14" t="s">
        <v>258</v>
      </c>
      <c r="Y123" s="15" t="n">
        <v>2048474</v>
      </c>
      <c r="Z123" s="15" t="n">
        <v>4728</v>
      </c>
      <c r="AA123" s="14" t="n">
        <v>89</v>
      </c>
      <c r="AB123" s="14" t="n">
        <v>548</v>
      </c>
      <c r="AC123" s="17" t="n">
        <v>0.00261902274571217</v>
      </c>
      <c r="AD123" s="18" t="n">
        <v>195.39</v>
      </c>
      <c r="AE123" s="18" t="n">
        <f aca="false">IF(AD123="","",MIN(AD123,100))</f>
        <v>100</v>
      </c>
      <c r="AF123" s="14" t="n">
        <v>100</v>
      </c>
      <c r="AG123" s="14" t="s">
        <v>224</v>
      </c>
      <c r="AH123" s="14" t="n">
        <v>5.3</v>
      </c>
      <c r="AI123" s="14" t="s">
        <v>224</v>
      </c>
      <c r="AJ123" s="14" t="s">
        <v>224</v>
      </c>
      <c r="AK123" s="14" t="s">
        <v>240</v>
      </c>
      <c r="AL123" s="19" t="n">
        <f aca="false">ROUND('Start Here'!$B$29*AH123+'Start Here'!$B$30*MIN(IF(AD123="",0,AD123),50)/5+IF(M123&lt;=30000,'Start Here'!$B$31,IF(M123&lt;=60000,'Start Here'!$B$32,0)),1)</f>
        <v>6.7</v>
      </c>
      <c r="AM123" s="6" t="s">
        <v>534</v>
      </c>
      <c r="AN123" s="6" t="s">
        <v>1428</v>
      </c>
      <c r="AO123" s="6" t="s">
        <v>1429</v>
      </c>
      <c r="AP123" s="14" t="s">
        <v>1430</v>
      </c>
      <c r="AQ123" s="14" t="s">
        <v>294</v>
      </c>
      <c r="AR123" s="20" t="s">
        <v>246</v>
      </c>
      <c r="AS123" s="20"/>
    </row>
    <row r="124" customFormat="false" ht="60" hidden="false" customHeight="true" outlineLevel="0" collapsed="false">
      <c r="A124" s="14" t="n">
        <v>123</v>
      </c>
      <c r="B124" s="14" t="s">
        <v>374</v>
      </c>
      <c r="C124" s="14" t="s">
        <v>221</v>
      </c>
      <c r="D124" s="14" t="s">
        <v>222</v>
      </c>
      <c r="E124" s="14" t="s">
        <v>36</v>
      </c>
      <c r="F124" s="14" t="s">
        <v>223</v>
      </c>
      <c r="G124" s="14" t="s">
        <v>223</v>
      </c>
      <c r="H124" s="14" t="s">
        <v>224</v>
      </c>
      <c r="I124" s="14" t="s">
        <v>322</v>
      </c>
      <c r="J124" s="14" t="s">
        <v>1431</v>
      </c>
      <c r="K124" s="14" t="s">
        <v>1432</v>
      </c>
      <c r="L124" s="14" t="s">
        <v>1433</v>
      </c>
      <c r="M124" s="15" t="n">
        <v>2590</v>
      </c>
      <c r="N124" s="14" t="s">
        <v>283</v>
      </c>
      <c r="O124" s="14" t="s">
        <v>1074</v>
      </c>
      <c r="P124" s="16" t="s">
        <v>1434</v>
      </c>
      <c r="Q124" s="6" t="s">
        <v>1435</v>
      </c>
      <c r="R124" s="6" t="s">
        <v>1436</v>
      </c>
      <c r="S124" s="14" t="s">
        <v>255</v>
      </c>
      <c r="T124" s="14" t="s">
        <v>235</v>
      </c>
      <c r="U124" s="14" t="s">
        <v>236</v>
      </c>
      <c r="V124" s="14" t="s">
        <v>237</v>
      </c>
      <c r="W124" s="14" t="s">
        <v>238</v>
      </c>
      <c r="X124" s="14" t="s">
        <v>239</v>
      </c>
      <c r="Y124" s="15"/>
      <c r="Z124" s="15" t="n">
        <v>54</v>
      </c>
      <c r="AA124" s="14" t="n">
        <v>19</v>
      </c>
      <c r="AB124" s="14" t="n">
        <v>1</v>
      </c>
      <c r="AC124" s="17" t="n">
        <v>0.0285824642719197</v>
      </c>
      <c r="AD124" s="18" t="n">
        <v>26.73</v>
      </c>
      <c r="AE124" s="18" t="n">
        <f aca="false">IF(AD124="","",MIN(AD124,100))</f>
        <v>26.73</v>
      </c>
      <c r="AF124" s="14" t="n">
        <v>100</v>
      </c>
      <c r="AG124" s="14" t="s">
        <v>224</v>
      </c>
      <c r="AH124" s="14" t="n">
        <v>6</v>
      </c>
      <c r="AI124" s="14" t="s">
        <v>224</v>
      </c>
      <c r="AJ124" s="14" t="s">
        <v>224</v>
      </c>
      <c r="AK124" s="14" t="s">
        <v>240</v>
      </c>
      <c r="AL124" s="19" t="n">
        <f aca="false">ROUND('Start Here'!$B$29*AH124+'Start Here'!$B$30*MIN(IF(AD124="",0,AD124),50)/5+IF(M124&lt;=30000,'Start Here'!$B$31,IF(M124&lt;=60000,'Start Here'!$B$32,0)),1)</f>
        <v>6.6</v>
      </c>
      <c r="AM124" s="6" t="s">
        <v>1437</v>
      </c>
      <c r="AN124" s="6" t="s">
        <v>1438</v>
      </c>
      <c r="AO124" s="6" t="s">
        <v>1439</v>
      </c>
      <c r="AP124" s="14" t="s">
        <v>1440</v>
      </c>
      <c r="AQ124" s="14" t="s">
        <v>351</v>
      </c>
      <c r="AR124" s="20" t="s">
        <v>246</v>
      </c>
      <c r="AS124" s="20"/>
    </row>
    <row r="125" customFormat="false" ht="60" hidden="false" customHeight="true" outlineLevel="0" collapsed="false">
      <c r="A125" s="14" t="n">
        <v>124</v>
      </c>
      <c r="B125" s="14" t="s">
        <v>220</v>
      </c>
      <c r="C125" s="14" t="s">
        <v>221</v>
      </c>
      <c r="D125" s="14" t="s">
        <v>222</v>
      </c>
      <c r="E125" s="14" t="s">
        <v>36</v>
      </c>
      <c r="F125" s="14" t="s">
        <v>223</v>
      </c>
      <c r="G125" s="14" t="s">
        <v>223</v>
      </c>
      <c r="H125" s="14" t="s">
        <v>224</v>
      </c>
      <c r="I125" s="14" t="s">
        <v>586</v>
      </c>
      <c r="J125" s="14" t="s">
        <v>1441</v>
      </c>
      <c r="K125" s="14" t="s">
        <v>507</v>
      </c>
      <c r="L125" s="14" t="s">
        <v>508</v>
      </c>
      <c r="M125" s="15" t="n">
        <v>12398</v>
      </c>
      <c r="N125" s="14" t="s">
        <v>229</v>
      </c>
      <c r="O125" s="14" t="s">
        <v>1312</v>
      </c>
      <c r="P125" s="16" t="s">
        <v>1442</v>
      </c>
      <c r="Q125" s="6" t="s">
        <v>1443</v>
      </c>
      <c r="R125" s="6" t="s">
        <v>1444</v>
      </c>
      <c r="S125" s="14" t="s">
        <v>234</v>
      </c>
      <c r="T125" s="14" t="s">
        <v>235</v>
      </c>
      <c r="U125" s="14" t="s">
        <v>236</v>
      </c>
      <c r="V125" s="14" t="s">
        <v>237</v>
      </c>
      <c r="W125" s="14" t="s">
        <v>257</v>
      </c>
      <c r="X125" s="14" t="s">
        <v>239</v>
      </c>
      <c r="Y125" s="15" t="n">
        <v>19021</v>
      </c>
      <c r="Z125" s="15" t="n">
        <v>228</v>
      </c>
      <c r="AA125" s="14" t="n">
        <v>67</v>
      </c>
      <c r="AB125" s="14" t="n">
        <v>28</v>
      </c>
      <c r="AC125" s="17" t="n">
        <v>0.0169812312707008</v>
      </c>
      <c r="AD125" s="18" t="n">
        <v>30.81</v>
      </c>
      <c r="AE125" s="18" t="n">
        <f aca="false">IF(AD125="","",MIN(AD125,100))</f>
        <v>30.81</v>
      </c>
      <c r="AF125" s="14" t="n">
        <v>89</v>
      </c>
      <c r="AG125" s="14" t="s">
        <v>224</v>
      </c>
      <c r="AH125" s="14" t="n">
        <v>5.5</v>
      </c>
      <c r="AI125" s="14" t="s">
        <v>224</v>
      </c>
      <c r="AJ125" s="14" t="s">
        <v>223</v>
      </c>
      <c r="AK125" s="14" t="s">
        <v>490</v>
      </c>
      <c r="AL125" s="19" t="n">
        <f aca="false">ROUND('Start Here'!$B$29*AH125+'Start Here'!$B$30*MIN(IF(AD125="",0,AD125),50)/5+IF(M125&lt;=30000,'Start Here'!$B$31,IF(M125&lt;=60000,'Start Here'!$B$32,0)),1)</f>
        <v>6.6</v>
      </c>
      <c r="AM125" s="6" t="s">
        <v>1051</v>
      </c>
      <c r="AN125" s="6" t="s">
        <v>1445</v>
      </c>
      <c r="AO125" s="6" t="s">
        <v>1446</v>
      </c>
      <c r="AP125" s="14" t="s">
        <v>1447</v>
      </c>
      <c r="AQ125" s="14" t="s">
        <v>538</v>
      </c>
      <c r="AR125" s="20" t="s">
        <v>246</v>
      </c>
      <c r="AS125" s="20"/>
    </row>
    <row r="126" customFormat="false" ht="60" hidden="false" customHeight="true" outlineLevel="0" collapsed="false">
      <c r="A126" s="14" t="n">
        <v>125</v>
      </c>
      <c r="B126" s="14" t="s">
        <v>374</v>
      </c>
      <c r="C126" s="14" t="s">
        <v>221</v>
      </c>
      <c r="D126" s="14" t="s">
        <v>222</v>
      </c>
      <c r="E126" s="14" t="s">
        <v>40</v>
      </c>
      <c r="F126" s="14" t="s">
        <v>224</v>
      </c>
      <c r="G126" s="14" t="s">
        <v>224</v>
      </c>
      <c r="H126" s="14" t="s">
        <v>224</v>
      </c>
      <c r="I126" s="14" t="s">
        <v>322</v>
      </c>
      <c r="J126" s="14" t="s">
        <v>1448</v>
      </c>
      <c r="K126" s="14" t="s">
        <v>1449</v>
      </c>
      <c r="L126" s="14" t="s">
        <v>1450</v>
      </c>
      <c r="M126" s="15" t="n">
        <v>252</v>
      </c>
      <c r="N126" s="14" t="s">
        <v>283</v>
      </c>
      <c r="O126" s="14" t="s">
        <v>1451</v>
      </c>
      <c r="P126" s="16" t="s">
        <v>1452</v>
      </c>
      <c r="Q126" s="6" t="s">
        <v>1453</v>
      </c>
      <c r="R126" s="6" t="s">
        <v>1454</v>
      </c>
      <c r="S126" s="14" t="s">
        <v>330</v>
      </c>
      <c r="T126" s="14" t="s">
        <v>235</v>
      </c>
      <c r="U126" s="14" t="s">
        <v>236</v>
      </c>
      <c r="V126" s="14" t="s">
        <v>288</v>
      </c>
      <c r="W126" s="14" t="s">
        <v>238</v>
      </c>
      <c r="X126" s="14" t="s">
        <v>239</v>
      </c>
      <c r="Y126" s="15"/>
      <c r="Z126" s="15" t="n">
        <v>1</v>
      </c>
      <c r="AA126" s="14" t="n">
        <v>1</v>
      </c>
      <c r="AB126" s="14" t="n">
        <v>0</v>
      </c>
      <c r="AC126" s="17" t="n">
        <v>0.008</v>
      </c>
      <c r="AD126" s="18" t="n">
        <v>1</v>
      </c>
      <c r="AE126" s="18" t="n">
        <f aca="false">IF(AD126="","",MIN(AD126,100))</f>
        <v>1</v>
      </c>
      <c r="AF126" s="14"/>
      <c r="AG126" s="14" t="s">
        <v>224</v>
      </c>
      <c r="AH126" s="14" t="n">
        <v>9</v>
      </c>
      <c r="AI126" s="14" t="s">
        <v>224</v>
      </c>
      <c r="AJ126" s="14" t="s">
        <v>224</v>
      </c>
      <c r="AK126" s="14" t="s">
        <v>240</v>
      </c>
      <c r="AL126" s="19" t="n">
        <f aca="false">ROUND('Start Here'!$B$29*AH126+'Start Here'!$B$30*MIN(IF(AD126="",0,AD126),50)/5+IF(M126&lt;=30000,'Start Here'!$B$31,IF(M126&lt;=60000,'Start Here'!$B$32,0)),1)</f>
        <v>6.6</v>
      </c>
      <c r="AM126" s="6" t="s">
        <v>1455</v>
      </c>
      <c r="AN126" s="6" t="s">
        <v>335</v>
      </c>
      <c r="AO126" s="6" t="s">
        <v>1456</v>
      </c>
      <c r="AP126" s="14" t="s">
        <v>1457</v>
      </c>
      <c r="AQ126" s="14" t="s">
        <v>351</v>
      </c>
      <c r="AR126" s="20" t="s">
        <v>246</v>
      </c>
      <c r="AS126" s="20"/>
    </row>
    <row r="127" customFormat="false" ht="60" hidden="false" customHeight="true" outlineLevel="0" collapsed="false">
      <c r="A127" s="14" t="n">
        <v>126</v>
      </c>
      <c r="B127" s="14" t="s">
        <v>220</v>
      </c>
      <c r="C127" s="14" t="s">
        <v>221</v>
      </c>
      <c r="D127" s="14" t="s">
        <v>222</v>
      </c>
      <c r="E127" s="14" t="s">
        <v>36</v>
      </c>
      <c r="F127" s="14" t="s">
        <v>223</v>
      </c>
      <c r="G127" s="14" t="s">
        <v>223</v>
      </c>
      <c r="H127" s="14" t="s">
        <v>223</v>
      </c>
      <c r="I127" s="14" t="s">
        <v>225</v>
      </c>
      <c r="J127" s="14"/>
      <c r="K127" s="14" t="s">
        <v>1458</v>
      </c>
      <c r="L127" s="14" t="s">
        <v>1459</v>
      </c>
      <c r="M127" s="15" t="n">
        <v>23817</v>
      </c>
      <c r="N127" s="14" t="s">
        <v>298</v>
      </c>
      <c r="O127" s="14" t="s">
        <v>1460</v>
      </c>
      <c r="P127" s="16" t="s">
        <v>1461</v>
      </c>
      <c r="Q127" s="6" t="s">
        <v>1462</v>
      </c>
      <c r="R127" s="6" t="s">
        <v>1463</v>
      </c>
      <c r="S127" s="14" t="s">
        <v>330</v>
      </c>
      <c r="T127" s="14" t="s">
        <v>235</v>
      </c>
      <c r="U127" s="14" t="s">
        <v>236</v>
      </c>
      <c r="V127" s="14" t="s">
        <v>331</v>
      </c>
      <c r="W127" s="14" t="s">
        <v>332</v>
      </c>
      <c r="X127" s="14" t="s">
        <v>333</v>
      </c>
      <c r="Y127" s="15" t="n">
        <v>454850</v>
      </c>
      <c r="Z127" s="15" t="n">
        <v>10298</v>
      </c>
      <c r="AA127" s="14" t="n">
        <v>145</v>
      </c>
      <c r="AB127" s="14" t="n">
        <v>2368</v>
      </c>
      <c r="AC127" s="17" t="n">
        <v>0.0281653292294163</v>
      </c>
      <c r="AD127" s="18" t="n">
        <v>160.67</v>
      </c>
      <c r="AE127" s="18" t="n">
        <f aca="false">IF(AD127="","",MIN(AD127,100))</f>
        <v>100</v>
      </c>
      <c r="AF127" s="14" t="n">
        <v>100</v>
      </c>
      <c r="AG127" s="14" t="s">
        <v>224</v>
      </c>
      <c r="AH127" s="14" t="n">
        <v>3</v>
      </c>
      <c r="AI127" s="14" t="s">
        <v>224</v>
      </c>
      <c r="AJ127" s="14" t="s">
        <v>224</v>
      </c>
      <c r="AK127" s="14" t="s">
        <v>240</v>
      </c>
      <c r="AL127" s="19" t="n">
        <f aca="false">ROUND('Start Here'!$B$29*AH127+'Start Here'!$B$30*MIN(IF(AD127="",0,AD127),50)/5+IF(M127&lt;=30000,'Start Here'!$B$31,IF(M127&lt;=60000,'Start Here'!$B$32,0)),1)</f>
        <v>6.5</v>
      </c>
      <c r="AM127" s="6" t="s">
        <v>1117</v>
      </c>
      <c r="AN127" s="6" t="s">
        <v>416</v>
      </c>
      <c r="AO127" s="6" t="s">
        <v>1464</v>
      </c>
      <c r="AP127" s="14" t="s">
        <v>1465</v>
      </c>
      <c r="AQ127" s="14" t="s">
        <v>1070</v>
      </c>
      <c r="AR127" s="20" t="s">
        <v>246</v>
      </c>
      <c r="AS127" s="20"/>
    </row>
    <row r="128" customFormat="false" ht="60" hidden="false" customHeight="true" outlineLevel="0" collapsed="false">
      <c r="A128" s="14" t="n">
        <v>127</v>
      </c>
      <c r="B128" s="14" t="s">
        <v>247</v>
      </c>
      <c r="C128" s="14" t="s">
        <v>442</v>
      </c>
      <c r="D128" s="14" t="s">
        <v>222</v>
      </c>
      <c r="E128" s="14" t="s">
        <v>36</v>
      </c>
      <c r="F128" s="14" t="s">
        <v>223</v>
      </c>
      <c r="G128" s="14" t="s">
        <v>223</v>
      </c>
      <c r="H128" s="14" t="s">
        <v>223</v>
      </c>
      <c r="I128" s="14" t="s">
        <v>225</v>
      </c>
      <c r="J128" s="14"/>
      <c r="K128" s="14" t="s">
        <v>1466</v>
      </c>
      <c r="L128" s="14" t="s">
        <v>1467</v>
      </c>
      <c r="M128" s="15" t="n">
        <v>27447</v>
      </c>
      <c r="N128" s="14" t="s">
        <v>298</v>
      </c>
      <c r="O128" s="14" t="s">
        <v>1468</v>
      </c>
      <c r="P128" s="16" t="s">
        <v>1469</v>
      </c>
      <c r="Q128" s="6" t="s">
        <v>1470</v>
      </c>
      <c r="R128" s="6" t="s">
        <v>1471</v>
      </c>
      <c r="S128" s="14" t="s">
        <v>330</v>
      </c>
      <c r="T128" s="14" t="s">
        <v>235</v>
      </c>
      <c r="U128" s="14" t="s">
        <v>236</v>
      </c>
      <c r="V128" s="14" t="s">
        <v>256</v>
      </c>
      <c r="W128" s="14" t="s">
        <v>532</v>
      </c>
      <c r="X128" s="14" t="s">
        <v>533</v>
      </c>
      <c r="Y128" s="15" t="n">
        <v>7075733</v>
      </c>
      <c r="Z128" s="15" t="n">
        <v>145026</v>
      </c>
      <c r="AA128" s="14" t="n">
        <v>1238</v>
      </c>
      <c r="AB128" s="14"/>
      <c r="AC128" s="17" t="n">
        <v>0.0206712152649061</v>
      </c>
      <c r="AD128" s="18" t="n">
        <v>122.1</v>
      </c>
      <c r="AE128" s="18" t="n">
        <f aca="false">IF(AD128="","",MIN(AD128,100))</f>
        <v>100</v>
      </c>
      <c r="AF128" s="14" t="n">
        <v>98</v>
      </c>
      <c r="AG128" s="14" t="s">
        <v>224</v>
      </c>
      <c r="AH128" s="14" t="n">
        <v>3</v>
      </c>
      <c r="AI128" s="14" t="s">
        <v>224</v>
      </c>
      <c r="AJ128" s="14" t="s">
        <v>224</v>
      </c>
      <c r="AK128" s="14" t="s">
        <v>453</v>
      </c>
      <c r="AL128" s="19" t="n">
        <f aca="false">ROUND('Start Here'!$B$29*AH128+'Start Here'!$B$30*MIN(IF(AD128="",0,AD128),50)/5+IF(M128&lt;=30000,'Start Here'!$B$31,IF(M128&lt;=60000,'Start Here'!$B$32,0)),1)</f>
        <v>6.5</v>
      </c>
      <c r="AM128" s="6" t="s">
        <v>1117</v>
      </c>
      <c r="AN128" s="6" t="s">
        <v>773</v>
      </c>
      <c r="AO128" s="6" t="s">
        <v>1472</v>
      </c>
      <c r="AP128" s="14" t="s">
        <v>1473</v>
      </c>
      <c r="AQ128" s="14" t="s">
        <v>1203</v>
      </c>
      <c r="AR128" s="20" t="s">
        <v>246</v>
      </c>
      <c r="AS128" s="20"/>
    </row>
    <row r="129" customFormat="false" ht="60" hidden="false" customHeight="true" outlineLevel="0" collapsed="false">
      <c r="A129" s="14" t="n">
        <v>128</v>
      </c>
      <c r="B129" s="14" t="s">
        <v>220</v>
      </c>
      <c r="C129" s="14" t="s">
        <v>221</v>
      </c>
      <c r="D129" s="14" t="s">
        <v>222</v>
      </c>
      <c r="E129" s="14" t="s">
        <v>36</v>
      </c>
      <c r="F129" s="14" t="s">
        <v>223</v>
      </c>
      <c r="G129" s="14" t="s">
        <v>223</v>
      </c>
      <c r="H129" s="14" t="s">
        <v>223</v>
      </c>
      <c r="I129" s="14" t="s">
        <v>225</v>
      </c>
      <c r="J129" s="14" t="s">
        <v>264</v>
      </c>
      <c r="K129" s="14" t="s">
        <v>1474</v>
      </c>
      <c r="L129" s="14" t="s">
        <v>1475</v>
      </c>
      <c r="M129" s="15" t="n">
        <v>18320</v>
      </c>
      <c r="N129" s="14" t="s">
        <v>229</v>
      </c>
      <c r="O129" s="14" t="s">
        <v>1476</v>
      </c>
      <c r="P129" s="16" t="s">
        <v>1477</v>
      </c>
      <c r="Q129" s="6" t="s">
        <v>1478</v>
      </c>
      <c r="R129" s="6" t="s">
        <v>1479</v>
      </c>
      <c r="S129" s="14" t="s">
        <v>255</v>
      </c>
      <c r="T129" s="14" t="s">
        <v>235</v>
      </c>
      <c r="U129" s="14" t="s">
        <v>236</v>
      </c>
      <c r="V129" s="14" t="s">
        <v>331</v>
      </c>
      <c r="W129" s="14" t="s">
        <v>332</v>
      </c>
      <c r="X129" s="14" t="s">
        <v>333</v>
      </c>
      <c r="Y129" s="15" t="n">
        <v>320655</v>
      </c>
      <c r="Z129" s="15" t="n">
        <v>5973</v>
      </c>
      <c r="AA129" s="14" t="n">
        <v>40</v>
      </c>
      <c r="AB129" s="14" t="n">
        <v>711</v>
      </c>
      <c r="AC129" s="17" t="n">
        <v>0.0209695778952457</v>
      </c>
      <c r="AD129" s="18" t="n">
        <v>78.11</v>
      </c>
      <c r="AE129" s="18" t="n">
        <f aca="false">IF(AD129="","",MIN(AD129,100))</f>
        <v>78.11</v>
      </c>
      <c r="AF129" s="14" t="n">
        <v>97.6</v>
      </c>
      <c r="AG129" s="14" t="s">
        <v>224</v>
      </c>
      <c r="AH129" s="14" t="n">
        <v>3</v>
      </c>
      <c r="AI129" s="14" t="s">
        <v>224</v>
      </c>
      <c r="AJ129" s="14" t="s">
        <v>224</v>
      </c>
      <c r="AK129" s="14" t="s">
        <v>453</v>
      </c>
      <c r="AL129" s="19" t="n">
        <f aca="false">ROUND('Start Here'!$B$29*AH129+'Start Here'!$B$30*MIN(IF(AD129="",0,AD129),50)/5+IF(M129&lt;=30000,'Start Here'!$B$31,IF(M129&lt;=60000,'Start Here'!$B$32,0)),1)</f>
        <v>6.5</v>
      </c>
      <c r="AM129" s="6" t="s">
        <v>259</v>
      </c>
      <c r="AN129" s="6" t="s">
        <v>1480</v>
      </c>
      <c r="AO129" s="6" t="s">
        <v>1481</v>
      </c>
      <c r="AP129" s="14" t="s">
        <v>1482</v>
      </c>
      <c r="AQ129" s="14" t="s">
        <v>1203</v>
      </c>
      <c r="AR129" s="20" t="s">
        <v>246</v>
      </c>
      <c r="AS129" s="20"/>
    </row>
    <row r="130" customFormat="false" ht="60" hidden="false" customHeight="true" outlineLevel="0" collapsed="false">
      <c r="A130" s="14" t="n">
        <v>129</v>
      </c>
      <c r="B130" s="14" t="s">
        <v>220</v>
      </c>
      <c r="C130" s="14" t="s">
        <v>221</v>
      </c>
      <c r="D130" s="14" t="s">
        <v>222</v>
      </c>
      <c r="E130" s="14" t="s">
        <v>36</v>
      </c>
      <c r="F130" s="14" t="s">
        <v>223</v>
      </c>
      <c r="G130" s="14" t="s">
        <v>223</v>
      </c>
      <c r="H130" s="14" t="s">
        <v>223</v>
      </c>
      <c r="I130" s="14" t="s">
        <v>338</v>
      </c>
      <c r="J130" s="14"/>
      <c r="K130" s="14" t="s">
        <v>1474</v>
      </c>
      <c r="L130" s="14" t="s">
        <v>1475</v>
      </c>
      <c r="M130" s="15" t="n">
        <v>18320</v>
      </c>
      <c r="N130" s="14" t="s">
        <v>229</v>
      </c>
      <c r="O130" s="14" t="s">
        <v>1483</v>
      </c>
      <c r="P130" s="16" t="s">
        <v>1484</v>
      </c>
      <c r="Q130" s="6" t="s">
        <v>1485</v>
      </c>
      <c r="R130" s="6" t="s">
        <v>1486</v>
      </c>
      <c r="S130" s="14" t="s">
        <v>741</v>
      </c>
      <c r="T130" s="14" t="s">
        <v>673</v>
      </c>
      <c r="U130" s="14" t="s">
        <v>236</v>
      </c>
      <c r="V130" s="14" t="s">
        <v>288</v>
      </c>
      <c r="W130" s="14" t="s">
        <v>687</v>
      </c>
      <c r="X130" s="14" t="s">
        <v>546</v>
      </c>
      <c r="Y130" s="15" t="n">
        <v>200067</v>
      </c>
      <c r="Z130" s="15" t="n">
        <v>4404</v>
      </c>
      <c r="AA130" s="14" t="n">
        <v>16</v>
      </c>
      <c r="AB130" s="14" t="n">
        <v>476</v>
      </c>
      <c r="AC130" s="17" t="n">
        <v>0.024471801946348</v>
      </c>
      <c r="AD130" s="18" t="n">
        <v>57.6</v>
      </c>
      <c r="AE130" s="18" t="n">
        <f aca="false">IF(AD130="","",MIN(AD130,100))</f>
        <v>57.6</v>
      </c>
      <c r="AF130" s="14" t="n">
        <v>96.4</v>
      </c>
      <c r="AG130" s="14" t="s">
        <v>224</v>
      </c>
      <c r="AH130" s="14" t="n">
        <v>3</v>
      </c>
      <c r="AI130" s="14" t="s">
        <v>224</v>
      </c>
      <c r="AJ130" s="14" t="s">
        <v>224</v>
      </c>
      <c r="AK130" s="14" t="s">
        <v>453</v>
      </c>
      <c r="AL130" s="19" t="n">
        <f aca="false">ROUND('Start Here'!$B$29*AH130+'Start Here'!$B$30*MIN(IF(AD130="",0,AD130),50)/5+IF(M130&lt;=30000,'Start Here'!$B$31,IF(M130&lt;=60000,'Start Here'!$B$32,0)),1)</f>
        <v>6.5</v>
      </c>
      <c r="AM130" s="6" t="s">
        <v>1487</v>
      </c>
      <c r="AN130" s="6" t="s">
        <v>1488</v>
      </c>
      <c r="AO130" s="6" t="s">
        <v>1489</v>
      </c>
      <c r="AP130" s="14" t="s">
        <v>1490</v>
      </c>
      <c r="AQ130" s="14" t="s">
        <v>1203</v>
      </c>
      <c r="AR130" s="20" t="s">
        <v>246</v>
      </c>
      <c r="AS130" s="20"/>
    </row>
    <row r="131" customFormat="false" ht="60" hidden="false" customHeight="true" outlineLevel="0" collapsed="false">
      <c r="A131" s="14" t="n">
        <v>130</v>
      </c>
      <c r="B131" s="14" t="s">
        <v>220</v>
      </c>
      <c r="C131" s="14" t="s">
        <v>221</v>
      </c>
      <c r="D131" s="14" t="s">
        <v>222</v>
      </c>
      <c r="E131" s="14" t="s">
        <v>36</v>
      </c>
      <c r="F131" s="14" t="s">
        <v>223</v>
      </c>
      <c r="G131" s="14" t="s">
        <v>223</v>
      </c>
      <c r="H131" s="14" t="s">
        <v>223</v>
      </c>
      <c r="I131" s="14" t="s">
        <v>225</v>
      </c>
      <c r="J131" s="14"/>
      <c r="K131" s="14" t="s">
        <v>1211</v>
      </c>
      <c r="L131" s="14" t="s">
        <v>1212</v>
      </c>
      <c r="M131" s="15" t="n">
        <v>9135</v>
      </c>
      <c r="N131" s="14" t="s">
        <v>283</v>
      </c>
      <c r="O131" s="14" t="s">
        <v>1491</v>
      </c>
      <c r="P131" s="16" t="s">
        <v>1492</v>
      </c>
      <c r="Q131" s="6" t="s">
        <v>1493</v>
      </c>
      <c r="R131" s="6" t="s">
        <v>1494</v>
      </c>
      <c r="S131" s="14" t="s">
        <v>1495</v>
      </c>
      <c r="T131" s="14" t="s">
        <v>235</v>
      </c>
      <c r="U131" s="14" t="s">
        <v>236</v>
      </c>
      <c r="V131" s="14" t="s">
        <v>237</v>
      </c>
      <c r="W131" s="14" t="s">
        <v>238</v>
      </c>
      <c r="X131" s="14" t="s">
        <v>688</v>
      </c>
      <c r="Y131" s="15" t="n">
        <v>2403528</v>
      </c>
      <c r="Z131" s="15" t="n">
        <v>4905</v>
      </c>
      <c r="AA131" s="14" t="n">
        <v>291</v>
      </c>
      <c r="AB131" s="14" t="n">
        <v>848</v>
      </c>
      <c r="AC131" s="17" t="n">
        <v>0.00251463681721203</v>
      </c>
      <c r="AD131" s="18" t="n">
        <v>2452.5</v>
      </c>
      <c r="AE131" s="18" t="n">
        <f aca="false">IF(AD131="","",MIN(AD131,100))</f>
        <v>100</v>
      </c>
      <c r="AF131" s="14" t="n">
        <v>99.3</v>
      </c>
      <c r="AG131" s="14" t="s">
        <v>223</v>
      </c>
      <c r="AH131" s="14" t="n">
        <v>3</v>
      </c>
      <c r="AI131" s="14" t="s">
        <v>224</v>
      </c>
      <c r="AJ131" s="14" t="s">
        <v>224</v>
      </c>
      <c r="AK131" s="14" t="s">
        <v>240</v>
      </c>
      <c r="AL131" s="19" t="n">
        <f aca="false">ROUND('Start Here'!$B$29*AH131+'Start Here'!$B$30*MIN(IF(AD131="",0,AD131),50)/5+IF(M131&lt;=30000,'Start Here'!$B$31,IF(M131&lt;=60000,'Start Here'!$B$32,0)),1)</f>
        <v>6.5</v>
      </c>
      <c r="AM131" s="6" t="s">
        <v>1496</v>
      </c>
      <c r="AN131" s="6" t="s">
        <v>1497</v>
      </c>
      <c r="AO131" s="6" t="s">
        <v>1498</v>
      </c>
      <c r="AP131" s="14" t="s">
        <v>1499</v>
      </c>
      <c r="AQ131" s="14" t="s">
        <v>431</v>
      </c>
      <c r="AR131" s="20" t="s">
        <v>246</v>
      </c>
      <c r="AS131" s="20"/>
    </row>
    <row r="132" customFormat="false" ht="60" hidden="false" customHeight="true" outlineLevel="0" collapsed="false">
      <c r="A132" s="14" t="n">
        <v>131</v>
      </c>
      <c r="B132" s="14" t="s">
        <v>247</v>
      </c>
      <c r="C132" s="14" t="s">
        <v>221</v>
      </c>
      <c r="D132" s="14" t="s">
        <v>222</v>
      </c>
      <c r="E132" s="14" t="s">
        <v>36</v>
      </c>
      <c r="F132" s="14" t="s">
        <v>223</v>
      </c>
      <c r="G132" s="14" t="s">
        <v>223</v>
      </c>
      <c r="H132" s="14" t="s">
        <v>224</v>
      </c>
      <c r="I132" s="14" t="s">
        <v>322</v>
      </c>
      <c r="J132" s="14"/>
      <c r="K132" s="14" t="s">
        <v>1500</v>
      </c>
      <c r="L132" s="14" t="s">
        <v>1501</v>
      </c>
      <c r="M132" s="15" t="n">
        <v>20163</v>
      </c>
      <c r="N132" s="14" t="s">
        <v>298</v>
      </c>
      <c r="O132" s="14" t="s">
        <v>977</v>
      </c>
      <c r="P132" s="16" t="s">
        <v>1502</v>
      </c>
      <c r="Q132" s="6" t="s">
        <v>1503</v>
      </c>
      <c r="R132" s="6" t="s">
        <v>1503</v>
      </c>
      <c r="S132" s="14" t="s">
        <v>255</v>
      </c>
      <c r="T132" s="14" t="s">
        <v>235</v>
      </c>
      <c r="U132" s="14" t="s">
        <v>236</v>
      </c>
      <c r="V132" s="14" t="s">
        <v>256</v>
      </c>
      <c r="W132" s="14" t="s">
        <v>238</v>
      </c>
      <c r="X132" s="14" t="s">
        <v>546</v>
      </c>
      <c r="Y132" s="15" t="n">
        <v>276513</v>
      </c>
      <c r="Z132" s="15" t="n">
        <v>2335</v>
      </c>
      <c r="AA132" s="14" t="n">
        <v>21</v>
      </c>
      <c r="AB132" s="14"/>
      <c r="AC132" s="17" t="n">
        <v>0.00852039506279994</v>
      </c>
      <c r="AD132" s="18" t="n">
        <v>183.85</v>
      </c>
      <c r="AE132" s="18" t="n">
        <f aca="false">IF(AD132="","",MIN(AD132,100))</f>
        <v>100</v>
      </c>
      <c r="AF132" s="14" t="n">
        <v>99.1</v>
      </c>
      <c r="AG132" s="14" t="s">
        <v>224</v>
      </c>
      <c r="AH132" s="14" t="n">
        <v>3</v>
      </c>
      <c r="AI132" s="14" t="s">
        <v>224</v>
      </c>
      <c r="AJ132" s="14" t="s">
        <v>224</v>
      </c>
      <c r="AK132" s="14" t="s">
        <v>240</v>
      </c>
      <c r="AL132" s="19" t="n">
        <f aca="false">ROUND('Start Here'!$B$29*AH132+'Start Here'!$B$30*MIN(IF(AD132="",0,AD132),50)/5+IF(M132&lt;=30000,'Start Here'!$B$31,IF(M132&lt;=60000,'Start Here'!$B$32,0)),1)</f>
        <v>6.5</v>
      </c>
      <c r="AM132" s="6" t="s">
        <v>534</v>
      </c>
      <c r="AN132" s="6" t="s">
        <v>1504</v>
      </c>
      <c r="AO132" s="6" t="s">
        <v>1505</v>
      </c>
      <c r="AP132" s="14" t="s">
        <v>1506</v>
      </c>
      <c r="AQ132" s="14" t="s">
        <v>307</v>
      </c>
      <c r="AR132" s="20" t="s">
        <v>246</v>
      </c>
      <c r="AS132" s="20"/>
    </row>
    <row r="133" customFormat="false" ht="60" hidden="false" customHeight="true" outlineLevel="0" collapsed="false">
      <c r="A133" s="14" t="n">
        <v>132</v>
      </c>
      <c r="B133" s="14" t="s">
        <v>220</v>
      </c>
      <c r="C133" s="14" t="s">
        <v>221</v>
      </c>
      <c r="D133" s="14" t="s">
        <v>222</v>
      </c>
      <c r="E133" s="14" t="s">
        <v>36</v>
      </c>
      <c r="F133" s="14" t="s">
        <v>223</v>
      </c>
      <c r="G133" s="14" t="s">
        <v>223</v>
      </c>
      <c r="H133" s="14" t="s">
        <v>224</v>
      </c>
      <c r="I133" s="14" t="s">
        <v>308</v>
      </c>
      <c r="J133" s="14" t="s">
        <v>322</v>
      </c>
      <c r="K133" s="14" t="s">
        <v>1147</v>
      </c>
      <c r="L133" s="14" t="s">
        <v>1148</v>
      </c>
      <c r="M133" s="15" t="n">
        <v>6310</v>
      </c>
      <c r="N133" s="14" t="s">
        <v>283</v>
      </c>
      <c r="O133" s="14" t="s">
        <v>1507</v>
      </c>
      <c r="P133" s="16" t="s">
        <v>1508</v>
      </c>
      <c r="Q133" s="6" t="s">
        <v>1509</v>
      </c>
      <c r="R133" s="6" t="s">
        <v>1510</v>
      </c>
      <c r="S133" s="14" t="s">
        <v>685</v>
      </c>
      <c r="T133" s="14" t="s">
        <v>235</v>
      </c>
      <c r="U133" s="14" t="s">
        <v>686</v>
      </c>
      <c r="V133" s="14" t="s">
        <v>237</v>
      </c>
      <c r="W133" s="14" t="s">
        <v>687</v>
      </c>
      <c r="X133" s="14" t="s">
        <v>239</v>
      </c>
      <c r="Y133" s="15" t="n">
        <v>180008</v>
      </c>
      <c r="Z133" s="15" t="n">
        <v>1081</v>
      </c>
      <c r="AA133" s="14" t="n">
        <v>34</v>
      </c>
      <c r="AB133" s="14" t="n">
        <v>87</v>
      </c>
      <c r="AC133" s="17" t="n">
        <v>0.00667748100084441</v>
      </c>
      <c r="AD133" s="18" t="n">
        <v>99.88</v>
      </c>
      <c r="AE133" s="18" t="n">
        <f aca="false">IF(AD133="","",MIN(AD133,100))</f>
        <v>99.88</v>
      </c>
      <c r="AF133" s="14" t="n">
        <v>99.8</v>
      </c>
      <c r="AG133" s="14" t="s">
        <v>224</v>
      </c>
      <c r="AH133" s="14" t="n">
        <v>3</v>
      </c>
      <c r="AI133" s="14" t="s">
        <v>224</v>
      </c>
      <c r="AJ133" s="14" t="s">
        <v>224</v>
      </c>
      <c r="AK133" s="14" t="s">
        <v>240</v>
      </c>
      <c r="AL133" s="19" t="n">
        <f aca="false">ROUND('Start Here'!$B$29*AH133+'Start Here'!$B$30*MIN(IF(AD133="",0,AD133),50)/5+IF(M133&lt;=30000,'Start Here'!$B$31,IF(M133&lt;=60000,'Start Here'!$B$32,0)),1)</f>
        <v>6.5</v>
      </c>
      <c r="AM133" s="6" t="s">
        <v>726</v>
      </c>
      <c r="AN133" s="6" t="s">
        <v>1511</v>
      </c>
      <c r="AO133" s="6" t="s">
        <v>1512</v>
      </c>
      <c r="AP133" s="14" t="s">
        <v>1513</v>
      </c>
      <c r="AQ133" s="14" t="s">
        <v>363</v>
      </c>
      <c r="AR133" s="20" t="s">
        <v>246</v>
      </c>
      <c r="AS133" s="20"/>
    </row>
    <row r="134" customFormat="false" ht="60" hidden="false" customHeight="true" outlineLevel="0" collapsed="false">
      <c r="A134" s="14" t="n">
        <v>133</v>
      </c>
      <c r="B134" s="14" t="s">
        <v>220</v>
      </c>
      <c r="C134" s="14" t="s">
        <v>221</v>
      </c>
      <c r="D134" s="14" t="s">
        <v>222</v>
      </c>
      <c r="E134" s="14" t="s">
        <v>36</v>
      </c>
      <c r="F134" s="14" t="s">
        <v>223</v>
      </c>
      <c r="G134" s="14" t="s">
        <v>223</v>
      </c>
      <c r="H134" s="14" t="s">
        <v>223</v>
      </c>
      <c r="I134" s="14" t="s">
        <v>308</v>
      </c>
      <c r="J134" s="14"/>
      <c r="K134" s="14" t="s">
        <v>1514</v>
      </c>
      <c r="L134" s="14" t="s">
        <v>1515</v>
      </c>
      <c r="M134" s="15" t="n">
        <v>5356</v>
      </c>
      <c r="N134" s="14" t="s">
        <v>283</v>
      </c>
      <c r="O134" s="14" t="s">
        <v>1516</v>
      </c>
      <c r="P134" s="16" t="s">
        <v>1517</v>
      </c>
      <c r="Q134" s="6" t="s">
        <v>1518</v>
      </c>
      <c r="R134" s="6" t="s">
        <v>1518</v>
      </c>
      <c r="S134" s="14" t="s">
        <v>255</v>
      </c>
      <c r="T134" s="14" t="s">
        <v>316</v>
      </c>
      <c r="U134" s="14" t="s">
        <v>236</v>
      </c>
      <c r="V134" s="14" t="s">
        <v>331</v>
      </c>
      <c r="W134" s="14" t="s">
        <v>687</v>
      </c>
      <c r="X134" s="14" t="s">
        <v>239</v>
      </c>
      <c r="Y134" s="15" t="n">
        <v>605848</v>
      </c>
      <c r="Z134" s="15" t="n">
        <v>3528</v>
      </c>
      <c r="AA134" s="14" t="n">
        <v>29</v>
      </c>
      <c r="AB134" s="14" t="n">
        <v>21</v>
      </c>
      <c r="AC134" s="17" t="n">
        <v>0.00590577174472805</v>
      </c>
      <c r="AD134" s="18" t="n">
        <v>138.35</v>
      </c>
      <c r="AE134" s="18" t="n">
        <f aca="false">IF(AD134="","",MIN(AD134,100))</f>
        <v>100</v>
      </c>
      <c r="AF134" s="14" t="n">
        <v>99</v>
      </c>
      <c r="AG134" s="14" t="s">
        <v>224</v>
      </c>
      <c r="AH134" s="14" t="n">
        <v>3</v>
      </c>
      <c r="AI134" s="14" t="s">
        <v>224</v>
      </c>
      <c r="AJ134" s="14" t="s">
        <v>224</v>
      </c>
      <c r="AK134" s="14" t="s">
        <v>240</v>
      </c>
      <c r="AL134" s="19" t="n">
        <f aca="false">ROUND('Start Here'!$B$29*AH134+'Start Here'!$B$30*MIN(IF(AD134="",0,AD134),50)/5+IF(M134&lt;=30000,'Start Here'!$B$31,IF(M134&lt;=60000,'Start Here'!$B$32,0)),1)</f>
        <v>6.5</v>
      </c>
      <c r="AM134" s="6" t="s">
        <v>259</v>
      </c>
      <c r="AN134" s="6" t="s">
        <v>840</v>
      </c>
      <c r="AO134" s="6" t="s">
        <v>1519</v>
      </c>
      <c r="AP134" s="14" t="s">
        <v>1520</v>
      </c>
      <c r="AQ134" s="14" t="s">
        <v>363</v>
      </c>
      <c r="AR134" s="20" t="s">
        <v>246</v>
      </c>
      <c r="AS134" s="20"/>
    </row>
    <row r="135" customFormat="false" ht="60" hidden="false" customHeight="true" outlineLevel="0" collapsed="false">
      <c r="A135" s="14" t="n">
        <v>134</v>
      </c>
      <c r="B135" s="14" t="s">
        <v>247</v>
      </c>
      <c r="C135" s="14" t="s">
        <v>221</v>
      </c>
      <c r="D135" s="14" t="s">
        <v>443</v>
      </c>
      <c r="E135" s="14" t="s">
        <v>36</v>
      </c>
      <c r="F135" s="14" t="s">
        <v>223</v>
      </c>
      <c r="G135" s="14" t="s">
        <v>223</v>
      </c>
      <c r="H135" s="14" t="s">
        <v>224</v>
      </c>
      <c r="I135" s="14" t="s">
        <v>338</v>
      </c>
      <c r="J135" s="14" t="s">
        <v>1521</v>
      </c>
      <c r="K135" s="14" t="s">
        <v>1522</v>
      </c>
      <c r="L135" s="14" t="s">
        <v>1523</v>
      </c>
      <c r="M135" s="15" t="n">
        <v>7900</v>
      </c>
      <c r="N135" s="14" t="s">
        <v>283</v>
      </c>
      <c r="O135" s="14" t="s">
        <v>447</v>
      </c>
      <c r="P135" s="16" t="s">
        <v>1524</v>
      </c>
      <c r="Q135" s="6" t="s">
        <v>1525</v>
      </c>
      <c r="R135" s="6" t="s">
        <v>1526</v>
      </c>
      <c r="S135" s="14" t="s">
        <v>330</v>
      </c>
      <c r="T135" s="14" t="s">
        <v>235</v>
      </c>
      <c r="U135" s="14" t="s">
        <v>236</v>
      </c>
      <c r="V135" s="14" t="s">
        <v>1527</v>
      </c>
      <c r="W135" s="14" t="s">
        <v>452</v>
      </c>
      <c r="X135" s="14"/>
      <c r="Y135" s="15" t="n">
        <v>226200</v>
      </c>
      <c r="Z135" s="15"/>
      <c r="AA135" s="14"/>
      <c r="AB135" s="14"/>
      <c r="AC135" s="17"/>
      <c r="AD135" s="18" t="n">
        <v>60.4</v>
      </c>
      <c r="AE135" s="18" t="n">
        <f aca="false">IF(AD135="","",MIN(AD135,100))</f>
        <v>60.4</v>
      </c>
      <c r="AF135" s="14"/>
      <c r="AG135" s="14" t="s">
        <v>224</v>
      </c>
      <c r="AH135" s="14" t="n">
        <v>3</v>
      </c>
      <c r="AI135" s="14" t="s">
        <v>224</v>
      </c>
      <c r="AJ135" s="14" t="s">
        <v>224</v>
      </c>
      <c r="AK135" s="14" t="s">
        <v>240</v>
      </c>
      <c r="AL135" s="19" t="n">
        <f aca="false">ROUND('Start Here'!$B$29*AH135+'Start Here'!$B$30*MIN(IF(AD135="",0,AD135),50)/5+IF(M135&lt;=30000,'Start Here'!$B$31,IF(M135&lt;=60000,'Start Here'!$B$32,0)),1)</f>
        <v>6.5</v>
      </c>
      <c r="AM135" s="6" t="s">
        <v>1528</v>
      </c>
      <c r="AN135" s="6" t="s">
        <v>1529</v>
      </c>
      <c r="AO135" s="6" t="s">
        <v>1530</v>
      </c>
      <c r="AP135" s="14" t="s">
        <v>457</v>
      </c>
      <c r="AQ135" s="14" t="s">
        <v>923</v>
      </c>
      <c r="AR135" s="20" t="s">
        <v>246</v>
      </c>
      <c r="AS135" s="20"/>
    </row>
    <row r="136" customFormat="false" ht="60" hidden="false" customHeight="true" outlineLevel="0" collapsed="false">
      <c r="A136" s="14" t="n">
        <v>135</v>
      </c>
      <c r="B136" s="14" t="s">
        <v>247</v>
      </c>
      <c r="C136" s="14" t="s">
        <v>221</v>
      </c>
      <c r="D136" s="14" t="s">
        <v>443</v>
      </c>
      <c r="E136" s="14" t="s">
        <v>36</v>
      </c>
      <c r="F136" s="14" t="s">
        <v>223</v>
      </c>
      <c r="G136" s="14" t="s">
        <v>223</v>
      </c>
      <c r="H136" s="14" t="s">
        <v>224</v>
      </c>
      <c r="I136" s="14" t="s">
        <v>308</v>
      </c>
      <c r="J136" s="14"/>
      <c r="K136" s="14" t="s">
        <v>1531</v>
      </c>
      <c r="L136" s="14" t="s">
        <v>1532</v>
      </c>
      <c r="M136" s="15" t="n">
        <v>11100</v>
      </c>
      <c r="N136" s="14" t="s">
        <v>229</v>
      </c>
      <c r="O136" s="14" t="s">
        <v>447</v>
      </c>
      <c r="P136" s="16" t="s">
        <v>1533</v>
      </c>
      <c r="Q136" s="6" t="s">
        <v>1534</v>
      </c>
      <c r="R136" s="6" t="s">
        <v>1535</v>
      </c>
      <c r="S136" s="14" t="s">
        <v>685</v>
      </c>
      <c r="T136" s="14" t="s">
        <v>235</v>
      </c>
      <c r="U136" s="14" t="s">
        <v>686</v>
      </c>
      <c r="V136" s="14" t="s">
        <v>1536</v>
      </c>
      <c r="W136" s="14" t="s">
        <v>452</v>
      </c>
      <c r="X136" s="14"/>
      <c r="Y136" s="15" t="n">
        <v>226800</v>
      </c>
      <c r="Z136" s="15"/>
      <c r="AA136" s="14"/>
      <c r="AB136" s="14"/>
      <c r="AC136" s="17"/>
      <c r="AD136" s="18" t="n">
        <v>135.6</v>
      </c>
      <c r="AE136" s="18" t="n">
        <f aca="false">IF(AD136="","",MIN(AD136,100))</f>
        <v>100</v>
      </c>
      <c r="AF136" s="14"/>
      <c r="AG136" s="14" t="s">
        <v>224</v>
      </c>
      <c r="AH136" s="14" t="n">
        <v>3</v>
      </c>
      <c r="AI136" s="14" t="s">
        <v>224</v>
      </c>
      <c r="AJ136" s="14" t="s">
        <v>224</v>
      </c>
      <c r="AK136" s="14" t="s">
        <v>240</v>
      </c>
      <c r="AL136" s="19" t="n">
        <f aca="false">ROUND('Start Here'!$B$29*AH136+'Start Here'!$B$30*MIN(IF(AD136="",0,AD136),50)/5+IF(M136&lt;=30000,'Start Here'!$B$31,IF(M136&lt;=60000,'Start Here'!$B$32,0)),1)</f>
        <v>6.5</v>
      </c>
      <c r="AM136" s="6" t="s">
        <v>1537</v>
      </c>
      <c r="AN136" s="6" t="s">
        <v>1538</v>
      </c>
      <c r="AO136" s="6" t="s">
        <v>1539</v>
      </c>
      <c r="AP136" s="14" t="s">
        <v>922</v>
      </c>
      <c r="AQ136" s="14" t="s">
        <v>923</v>
      </c>
      <c r="AR136" s="20" t="s">
        <v>246</v>
      </c>
      <c r="AS136" s="20"/>
    </row>
    <row r="137" customFormat="false" ht="60" hidden="false" customHeight="true" outlineLevel="0" collapsed="false">
      <c r="A137" s="14" t="n">
        <v>136</v>
      </c>
      <c r="B137" s="14" t="s">
        <v>247</v>
      </c>
      <c r="C137" s="14" t="s">
        <v>221</v>
      </c>
      <c r="D137" s="14" t="s">
        <v>443</v>
      </c>
      <c r="E137" s="14" t="s">
        <v>36</v>
      </c>
      <c r="F137" s="14" t="s">
        <v>223</v>
      </c>
      <c r="G137" s="14" t="s">
        <v>223</v>
      </c>
      <c r="H137" s="14" t="s">
        <v>224</v>
      </c>
      <c r="I137" s="14" t="s">
        <v>635</v>
      </c>
      <c r="J137" s="14" t="s">
        <v>225</v>
      </c>
      <c r="K137" s="14" t="s">
        <v>1540</v>
      </c>
      <c r="L137" s="14" t="s">
        <v>1541</v>
      </c>
      <c r="M137" s="15" t="n">
        <v>5500</v>
      </c>
      <c r="N137" s="14" t="s">
        <v>283</v>
      </c>
      <c r="O137" s="14" t="s">
        <v>447</v>
      </c>
      <c r="P137" s="16" t="s">
        <v>1542</v>
      </c>
      <c r="Q137" s="6" t="s">
        <v>1543</v>
      </c>
      <c r="R137" s="6" t="s">
        <v>1544</v>
      </c>
      <c r="S137" s="14" t="s">
        <v>741</v>
      </c>
      <c r="T137" s="14" t="s">
        <v>235</v>
      </c>
      <c r="U137" s="14" t="s">
        <v>236</v>
      </c>
      <c r="V137" s="14" t="s">
        <v>1545</v>
      </c>
      <c r="W137" s="14" t="s">
        <v>452</v>
      </c>
      <c r="X137" s="14"/>
      <c r="Y137" s="15" t="n">
        <v>237000</v>
      </c>
      <c r="Z137" s="15"/>
      <c r="AA137" s="14"/>
      <c r="AB137" s="14"/>
      <c r="AC137" s="17"/>
      <c r="AD137" s="18" t="n">
        <v>822.9</v>
      </c>
      <c r="AE137" s="18" t="n">
        <f aca="false">IF(AD137="","",MIN(AD137,100))</f>
        <v>100</v>
      </c>
      <c r="AF137" s="14"/>
      <c r="AG137" s="14" t="s">
        <v>224</v>
      </c>
      <c r="AH137" s="14" t="n">
        <v>3</v>
      </c>
      <c r="AI137" s="14" t="s">
        <v>224</v>
      </c>
      <c r="AJ137" s="14" t="s">
        <v>224</v>
      </c>
      <c r="AK137" s="14" t="s">
        <v>240</v>
      </c>
      <c r="AL137" s="19" t="n">
        <f aca="false">ROUND('Start Here'!$B$29*AH137+'Start Here'!$B$30*MIN(IF(AD137="",0,AD137),50)/5+IF(M137&lt;=30000,'Start Here'!$B$31,IF(M137&lt;=60000,'Start Here'!$B$32,0)),1)</f>
        <v>6.5</v>
      </c>
      <c r="AM137" s="6" t="s">
        <v>1546</v>
      </c>
      <c r="AN137" s="6" t="s">
        <v>1547</v>
      </c>
      <c r="AO137" s="6" t="s">
        <v>1548</v>
      </c>
      <c r="AP137" s="14" t="s">
        <v>922</v>
      </c>
      <c r="AQ137" s="14" t="s">
        <v>1549</v>
      </c>
      <c r="AR137" s="20" t="s">
        <v>246</v>
      </c>
      <c r="AS137" s="20"/>
    </row>
    <row r="138" customFormat="false" ht="60" hidden="false" customHeight="true" outlineLevel="0" collapsed="false">
      <c r="A138" s="14" t="n">
        <v>137</v>
      </c>
      <c r="B138" s="14" t="s">
        <v>247</v>
      </c>
      <c r="C138" s="14" t="s">
        <v>221</v>
      </c>
      <c r="D138" s="14" t="s">
        <v>443</v>
      </c>
      <c r="E138" s="14" t="s">
        <v>36</v>
      </c>
      <c r="F138" s="14" t="s">
        <v>223</v>
      </c>
      <c r="G138" s="14" t="s">
        <v>223</v>
      </c>
      <c r="H138" s="14" t="s">
        <v>223</v>
      </c>
      <c r="I138" s="14" t="s">
        <v>225</v>
      </c>
      <c r="J138" s="14"/>
      <c r="K138" s="14" t="s">
        <v>1550</v>
      </c>
      <c r="L138" s="14" t="s">
        <v>1551</v>
      </c>
      <c r="M138" s="15" t="n">
        <v>12700</v>
      </c>
      <c r="N138" s="14" t="s">
        <v>229</v>
      </c>
      <c r="O138" s="14" t="s">
        <v>447</v>
      </c>
      <c r="P138" s="16" t="s">
        <v>1552</v>
      </c>
      <c r="Q138" s="6" t="s">
        <v>1553</v>
      </c>
      <c r="R138" s="6" t="s">
        <v>1554</v>
      </c>
      <c r="S138" s="14" t="s">
        <v>255</v>
      </c>
      <c r="T138" s="14" t="s">
        <v>466</v>
      </c>
      <c r="U138" s="14" t="s">
        <v>236</v>
      </c>
      <c r="V138" s="14" t="s">
        <v>1555</v>
      </c>
      <c r="W138" s="14" t="s">
        <v>452</v>
      </c>
      <c r="X138" s="14"/>
      <c r="Y138" s="15" t="n">
        <v>939000</v>
      </c>
      <c r="Z138" s="15"/>
      <c r="AA138" s="14"/>
      <c r="AB138" s="14"/>
      <c r="AC138" s="17"/>
      <c r="AD138" s="18" t="n">
        <v>66.3</v>
      </c>
      <c r="AE138" s="18" t="n">
        <f aca="false">IF(AD138="","",MIN(AD138,100))</f>
        <v>66.3</v>
      </c>
      <c r="AF138" s="14"/>
      <c r="AG138" s="14" t="s">
        <v>224</v>
      </c>
      <c r="AH138" s="14" t="n">
        <v>3</v>
      </c>
      <c r="AI138" s="14" t="s">
        <v>224</v>
      </c>
      <c r="AJ138" s="14" t="s">
        <v>224</v>
      </c>
      <c r="AK138" s="14" t="s">
        <v>240</v>
      </c>
      <c r="AL138" s="19" t="n">
        <f aca="false">ROUND('Start Here'!$B$29*AH138+'Start Here'!$B$30*MIN(IF(AD138="",0,AD138),50)/5+IF(M138&lt;=30000,'Start Here'!$B$31,IF(M138&lt;=60000,'Start Here'!$B$32,0)),1)</f>
        <v>6.5</v>
      </c>
      <c r="AM138" s="6" t="s">
        <v>1556</v>
      </c>
      <c r="AN138" s="6" t="s">
        <v>260</v>
      </c>
      <c r="AO138" s="6" t="s">
        <v>1557</v>
      </c>
      <c r="AP138" s="14" t="s">
        <v>1342</v>
      </c>
      <c r="AQ138" s="14" t="s">
        <v>574</v>
      </c>
      <c r="AR138" s="20" t="s">
        <v>246</v>
      </c>
      <c r="AS138" s="20"/>
    </row>
    <row r="139" customFormat="false" ht="60" hidden="false" customHeight="true" outlineLevel="0" collapsed="false">
      <c r="A139" s="14" t="n">
        <v>138</v>
      </c>
      <c r="B139" s="14" t="s">
        <v>247</v>
      </c>
      <c r="C139" s="14" t="s">
        <v>221</v>
      </c>
      <c r="D139" s="14" t="s">
        <v>443</v>
      </c>
      <c r="E139" s="14" t="s">
        <v>36</v>
      </c>
      <c r="F139" s="14" t="s">
        <v>223</v>
      </c>
      <c r="G139" s="14" t="s">
        <v>223</v>
      </c>
      <c r="H139" s="14" t="s">
        <v>223</v>
      </c>
      <c r="I139" s="14" t="s">
        <v>338</v>
      </c>
      <c r="J139" s="14"/>
      <c r="K139" s="14" t="s">
        <v>1558</v>
      </c>
      <c r="L139" s="14" t="s">
        <v>1559</v>
      </c>
      <c r="M139" s="15" t="n">
        <v>22200</v>
      </c>
      <c r="N139" s="14" t="s">
        <v>298</v>
      </c>
      <c r="O139" s="14" t="s">
        <v>447</v>
      </c>
      <c r="P139" s="16" t="s">
        <v>1560</v>
      </c>
      <c r="Q139" s="6" t="s">
        <v>1561</v>
      </c>
      <c r="R139" s="6" t="s">
        <v>1562</v>
      </c>
      <c r="S139" s="14" t="s">
        <v>741</v>
      </c>
      <c r="T139" s="14" t="s">
        <v>235</v>
      </c>
      <c r="U139" s="14" t="s">
        <v>236</v>
      </c>
      <c r="V139" s="14" t="s">
        <v>1563</v>
      </c>
      <c r="W139" s="14" t="s">
        <v>452</v>
      </c>
      <c r="X139" s="14"/>
      <c r="Y139" s="15" t="n">
        <v>552800</v>
      </c>
      <c r="Z139" s="15"/>
      <c r="AA139" s="14"/>
      <c r="AB139" s="14"/>
      <c r="AC139" s="17"/>
      <c r="AD139" s="18" t="n">
        <v>652.1</v>
      </c>
      <c r="AE139" s="18" t="n">
        <f aca="false">IF(AD139="","",MIN(AD139,100))</f>
        <v>100</v>
      </c>
      <c r="AF139" s="14"/>
      <c r="AG139" s="14" t="s">
        <v>224</v>
      </c>
      <c r="AH139" s="14" t="n">
        <v>3</v>
      </c>
      <c r="AI139" s="14" t="s">
        <v>224</v>
      </c>
      <c r="AJ139" s="14" t="s">
        <v>224</v>
      </c>
      <c r="AK139" s="14" t="s">
        <v>240</v>
      </c>
      <c r="AL139" s="19" t="n">
        <f aca="false">ROUND('Start Here'!$B$29*AH139+'Start Here'!$B$30*MIN(IF(AD139="",0,AD139),50)/5+IF(M139&lt;=30000,'Start Here'!$B$31,IF(M139&lt;=60000,'Start Here'!$B$32,0)),1)</f>
        <v>6.5</v>
      </c>
      <c r="AM139" s="6" t="s">
        <v>1564</v>
      </c>
      <c r="AN139" s="6" t="s">
        <v>744</v>
      </c>
      <c r="AO139" s="6" t="s">
        <v>1565</v>
      </c>
      <c r="AP139" s="14" t="s">
        <v>922</v>
      </c>
      <c r="AQ139" s="14" t="s">
        <v>747</v>
      </c>
      <c r="AR139" s="20" t="s">
        <v>246</v>
      </c>
      <c r="AS139" s="20"/>
    </row>
    <row r="140" customFormat="false" ht="60" hidden="false" customHeight="true" outlineLevel="0" collapsed="false">
      <c r="A140" s="14" t="n">
        <v>139</v>
      </c>
      <c r="B140" s="14" t="s">
        <v>247</v>
      </c>
      <c r="C140" s="14" t="s">
        <v>221</v>
      </c>
      <c r="D140" s="14" t="s">
        <v>443</v>
      </c>
      <c r="E140" s="14" t="s">
        <v>34</v>
      </c>
      <c r="F140" s="14" t="s">
        <v>223</v>
      </c>
      <c r="G140" s="14" t="s">
        <v>224</v>
      </c>
      <c r="H140" s="14" t="s">
        <v>224</v>
      </c>
      <c r="I140" s="14" t="s">
        <v>635</v>
      </c>
      <c r="J140" s="14" t="s">
        <v>1566</v>
      </c>
      <c r="K140" s="14" t="s">
        <v>1567</v>
      </c>
      <c r="L140" s="14" t="s">
        <v>1568</v>
      </c>
      <c r="M140" s="15" t="n">
        <v>92400</v>
      </c>
      <c r="N140" s="14" t="s">
        <v>400</v>
      </c>
      <c r="O140" s="14" t="s">
        <v>447</v>
      </c>
      <c r="P140" s="16" t="s">
        <v>1569</v>
      </c>
      <c r="Q140" s="6" t="s">
        <v>1570</v>
      </c>
      <c r="R140" s="6" t="s">
        <v>1571</v>
      </c>
      <c r="S140" s="14" t="s">
        <v>741</v>
      </c>
      <c r="T140" s="14" t="s">
        <v>235</v>
      </c>
      <c r="U140" s="14" t="s">
        <v>236</v>
      </c>
      <c r="V140" s="14" t="s">
        <v>1572</v>
      </c>
      <c r="W140" s="14" t="s">
        <v>1573</v>
      </c>
      <c r="X140" s="14"/>
      <c r="Y140" s="15" t="n">
        <v>100100</v>
      </c>
      <c r="Z140" s="15"/>
      <c r="AA140" s="14"/>
      <c r="AB140" s="14"/>
      <c r="AC140" s="17"/>
      <c r="AD140" s="18" t="n">
        <v>120.9</v>
      </c>
      <c r="AE140" s="18" t="n">
        <f aca="false">IF(AD140="","",MIN(AD140,100))</f>
        <v>100</v>
      </c>
      <c r="AF140" s="14"/>
      <c r="AG140" s="14" t="s">
        <v>224</v>
      </c>
      <c r="AH140" s="14" t="n">
        <v>7</v>
      </c>
      <c r="AI140" s="14" t="s">
        <v>224</v>
      </c>
      <c r="AJ140" s="14" t="s">
        <v>224</v>
      </c>
      <c r="AK140" s="14" t="s">
        <v>240</v>
      </c>
      <c r="AL140" s="19" t="n">
        <f aca="false">ROUND('Start Here'!$B$29*AH140+'Start Here'!$B$30*MIN(IF(AD140="",0,AD140),50)/5+IF(M140&lt;=30000,'Start Here'!$B$31,IF(M140&lt;=60000,'Start Here'!$B$32,0)),1)</f>
        <v>6.5</v>
      </c>
      <c r="AM140" s="6" t="s">
        <v>1574</v>
      </c>
      <c r="AN140" s="6" t="s">
        <v>1547</v>
      </c>
      <c r="AO140" s="6" t="s">
        <v>1575</v>
      </c>
      <c r="AP140" s="14" t="s">
        <v>922</v>
      </c>
      <c r="AQ140" s="14" t="s">
        <v>747</v>
      </c>
      <c r="AR140" s="20" t="s">
        <v>246</v>
      </c>
      <c r="AS140" s="20"/>
    </row>
    <row r="141" customFormat="false" ht="60" hidden="false" customHeight="true" outlineLevel="0" collapsed="false">
      <c r="A141" s="14" t="n">
        <v>140</v>
      </c>
      <c r="B141" s="14" t="s">
        <v>247</v>
      </c>
      <c r="C141" s="14" t="s">
        <v>221</v>
      </c>
      <c r="D141" s="14" t="s">
        <v>443</v>
      </c>
      <c r="E141" s="14" t="s">
        <v>36</v>
      </c>
      <c r="F141" s="14" t="s">
        <v>223</v>
      </c>
      <c r="G141" s="14" t="s">
        <v>223</v>
      </c>
      <c r="H141" s="14" t="s">
        <v>223</v>
      </c>
      <c r="I141" s="14" t="s">
        <v>338</v>
      </c>
      <c r="J141" s="14"/>
      <c r="K141" s="14" t="s">
        <v>1576</v>
      </c>
      <c r="L141" s="14" t="s">
        <v>1577</v>
      </c>
      <c r="M141" s="15" t="n">
        <v>13000</v>
      </c>
      <c r="N141" s="14" t="s">
        <v>229</v>
      </c>
      <c r="O141" s="14" t="s">
        <v>447</v>
      </c>
      <c r="P141" s="16" t="s">
        <v>1578</v>
      </c>
      <c r="Q141" s="6" t="s">
        <v>1579</v>
      </c>
      <c r="R141" s="6" t="s">
        <v>1580</v>
      </c>
      <c r="S141" s="14" t="s">
        <v>906</v>
      </c>
      <c r="T141" s="14" t="s">
        <v>235</v>
      </c>
      <c r="U141" s="14" t="s">
        <v>236</v>
      </c>
      <c r="V141" s="14" t="s">
        <v>1581</v>
      </c>
      <c r="W141" s="14" t="s">
        <v>452</v>
      </c>
      <c r="X141" s="14"/>
      <c r="Y141" s="15" t="n">
        <v>643200</v>
      </c>
      <c r="Z141" s="15"/>
      <c r="AA141" s="14"/>
      <c r="AB141" s="14"/>
      <c r="AC141" s="17"/>
      <c r="AD141" s="18" t="n">
        <v>64</v>
      </c>
      <c r="AE141" s="18" t="n">
        <f aca="false">IF(AD141="","",MIN(AD141,100))</f>
        <v>64</v>
      </c>
      <c r="AF141" s="14"/>
      <c r="AG141" s="14" t="s">
        <v>224</v>
      </c>
      <c r="AH141" s="14" t="n">
        <v>3</v>
      </c>
      <c r="AI141" s="14" t="s">
        <v>224</v>
      </c>
      <c r="AJ141" s="14" t="s">
        <v>224</v>
      </c>
      <c r="AK141" s="14" t="s">
        <v>240</v>
      </c>
      <c r="AL141" s="19" t="n">
        <f aca="false">ROUND('Start Here'!$B$29*AH141+'Start Here'!$B$30*MIN(IF(AD141="",0,AD141),50)/5+IF(M141&lt;=30000,'Start Here'!$B$31,IF(M141&lt;=60000,'Start Here'!$B$32,0)),1)</f>
        <v>6.5</v>
      </c>
      <c r="AM141" s="6" t="s">
        <v>1582</v>
      </c>
      <c r="AN141" s="6" t="s">
        <v>909</v>
      </c>
      <c r="AO141" s="6" t="s">
        <v>1583</v>
      </c>
      <c r="AP141" s="14" t="s">
        <v>922</v>
      </c>
      <c r="AQ141" s="14" t="s">
        <v>747</v>
      </c>
      <c r="AR141" s="20" t="s">
        <v>246</v>
      </c>
      <c r="AS141" s="20"/>
    </row>
    <row r="142" customFormat="false" ht="60" hidden="false" customHeight="true" outlineLevel="0" collapsed="false">
      <c r="A142" s="14" t="n">
        <v>141</v>
      </c>
      <c r="B142" s="14" t="s">
        <v>247</v>
      </c>
      <c r="C142" s="14" t="s">
        <v>442</v>
      </c>
      <c r="D142" s="14" t="s">
        <v>443</v>
      </c>
      <c r="E142" s="14" t="s">
        <v>36</v>
      </c>
      <c r="F142" s="14" t="s">
        <v>223</v>
      </c>
      <c r="G142" s="14" t="s">
        <v>223</v>
      </c>
      <c r="H142" s="14" t="s">
        <v>224</v>
      </c>
      <c r="I142" s="14" t="s">
        <v>364</v>
      </c>
      <c r="J142" s="14"/>
      <c r="K142" s="14" t="s">
        <v>1584</v>
      </c>
      <c r="L142" s="14" t="s">
        <v>1585</v>
      </c>
      <c r="M142" s="15" t="n">
        <v>8600</v>
      </c>
      <c r="N142" s="14" t="s">
        <v>283</v>
      </c>
      <c r="O142" s="14" t="s">
        <v>447</v>
      </c>
      <c r="P142" s="16" t="s">
        <v>1586</v>
      </c>
      <c r="Q142" s="6" t="s">
        <v>1587</v>
      </c>
      <c r="R142" s="6" t="s">
        <v>1588</v>
      </c>
      <c r="S142" s="14" t="s">
        <v>255</v>
      </c>
      <c r="T142" s="14" t="s">
        <v>235</v>
      </c>
      <c r="U142" s="14" t="s">
        <v>236</v>
      </c>
      <c r="V142" s="14" t="s">
        <v>1589</v>
      </c>
      <c r="W142" s="14" t="s">
        <v>452</v>
      </c>
      <c r="X142" s="14"/>
      <c r="Y142" s="15" t="n">
        <v>355800</v>
      </c>
      <c r="Z142" s="15"/>
      <c r="AA142" s="14"/>
      <c r="AB142" s="14"/>
      <c r="AC142" s="17"/>
      <c r="AD142" s="18" t="n">
        <v>169.9</v>
      </c>
      <c r="AE142" s="18" t="n">
        <f aca="false">IF(AD142="","",MIN(AD142,100))</f>
        <v>100</v>
      </c>
      <c r="AF142" s="14"/>
      <c r="AG142" s="14" t="s">
        <v>224</v>
      </c>
      <c r="AH142" s="14" t="n">
        <v>3</v>
      </c>
      <c r="AI142" s="14" t="s">
        <v>224</v>
      </c>
      <c r="AJ142" s="14" t="s">
        <v>224</v>
      </c>
      <c r="AK142" s="14" t="s">
        <v>453</v>
      </c>
      <c r="AL142" s="19" t="n">
        <f aca="false">ROUND('Start Here'!$B$29*AH142+'Start Here'!$B$30*MIN(IF(AD142="",0,AD142),50)/5+IF(M142&lt;=30000,'Start Here'!$B$31,IF(M142&lt;=60000,'Start Here'!$B$32,0)),1)</f>
        <v>6.5</v>
      </c>
      <c r="AM142" s="6" t="s">
        <v>1590</v>
      </c>
      <c r="AN142" s="6" t="s">
        <v>950</v>
      </c>
      <c r="AO142" s="6" t="s">
        <v>1591</v>
      </c>
      <c r="AP142" s="14" t="s">
        <v>1592</v>
      </c>
      <c r="AQ142" s="14" t="s">
        <v>1593</v>
      </c>
      <c r="AR142" s="20" t="s">
        <v>246</v>
      </c>
      <c r="AS142" s="20"/>
    </row>
    <row r="143" customFormat="false" ht="60" hidden="false" customHeight="true" outlineLevel="0" collapsed="false">
      <c r="A143" s="14" t="n">
        <v>142</v>
      </c>
      <c r="B143" s="14" t="s">
        <v>247</v>
      </c>
      <c r="C143" s="14" t="s">
        <v>442</v>
      </c>
      <c r="D143" s="14" t="s">
        <v>443</v>
      </c>
      <c r="E143" s="14" t="s">
        <v>36</v>
      </c>
      <c r="F143" s="14" t="s">
        <v>223</v>
      </c>
      <c r="G143" s="14" t="s">
        <v>223</v>
      </c>
      <c r="H143" s="14" t="s">
        <v>224</v>
      </c>
      <c r="I143" s="14" t="s">
        <v>322</v>
      </c>
      <c r="J143" s="14" t="s">
        <v>338</v>
      </c>
      <c r="K143" s="14" t="s">
        <v>1594</v>
      </c>
      <c r="L143" s="14" t="s">
        <v>1595</v>
      </c>
      <c r="M143" s="15" t="n">
        <v>5400</v>
      </c>
      <c r="N143" s="14" t="s">
        <v>283</v>
      </c>
      <c r="O143" s="14" t="s">
        <v>447</v>
      </c>
      <c r="P143" s="16" t="s">
        <v>1596</v>
      </c>
      <c r="Q143" s="6" t="s">
        <v>1597</v>
      </c>
      <c r="R143" s="6" t="s">
        <v>1598</v>
      </c>
      <c r="S143" s="14" t="s">
        <v>906</v>
      </c>
      <c r="T143" s="14" t="s">
        <v>235</v>
      </c>
      <c r="U143" s="14" t="s">
        <v>236</v>
      </c>
      <c r="V143" s="14" t="s">
        <v>1599</v>
      </c>
      <c r="W143" s="14" t="s">
        <v>1600</v>
      </c>
      <c r="X143" s="14"/>
      <c r="Y143" s="15" t="n">
        <v>267400</v>
      </c>
      <c r="Z143" s="15"/>
      <c r="AA143" s="14"/>
      <c r="AB143" s="14"/>
      <c r="AC143" s="17"/>
      <c r="AD143" s="18" t="n">
        <v>81.8</v>
      </c>
      <c r="AE143" s="18" t="n">
        <f aca="false">IF(AD143="","",MIN(AD143,100))</f>
        <v>81.8</v>
      </c>
      <c r="AF143" s="14"/>
      <c r="AG143" s="14" t="s">
        <v>224</v>
      </c>
      <c r="AH143" s="14" t="n">
        <v>3</v>
      </c>
      <c r="AI143" s="14" t="s">
        <v>224</v>
      </c>
      <c r="AJ143" s="14" t="s">
        <v>224</v>
      </c>
      <c r="AK143" s="14" t="s">
        <v>453</v>
      </c>
      <c r="AL143" s="19" t="n">
        <f aca="false">ROUND('Start Here'!$B$29*AH143+'Start Here'!$B$30*MIN(IF(AD143="",0,AD143),50)/5+IF(M143&lt;=30000,'Start Here'!$B$31,IF(M143&lt;=60000,'Start Here'!$B$32,0)),1)</f>
        <v>6.5</v>
      </c>
      <c r="AM143" s="6" t="s">
        <v>1601</v>
      </c>
      <c r="AN143" s="6" t="s">
        <v>1602</v>
      </c>
      <c r="AO143" s="6" t="s">
        <v>1603</v>
      </c>
      <c r="AP143" s="14" t="s">
        <v>922</v>
      </c>
      <c r="AQ143" s="14" t="s">
        <v>952</v>
      </c>
      <c r="AR143" s="20" t="s">
        <v>246</v>
      </c>
      <c r="AS143" s="20"/>
    </row>
    <row r="144" customFormat="false" ht="60" hidden="false" customHeight="true" outlineLevel="0" collapsed="false">
      <c r="A144" s="14" t="n">
        <v>143</v>
      </c>
      <c r="B144" s="14" t="s">
        <v>247</v>
      </c>
      <c r="C144" s="14" t="s">
        <v>221</v>
      </c>
      <c r="D144" s="14" t="s">
        <v>443</v>
      </c>
      <c r="E144" s="14" t="s">
        <v>36</v>
      </c>
      <c r="F144" s="14" t="s">
        <v>223</v>
      </c>
      <c r="G144" s="14" t="s">
        <v>223</v>
      </c>
      <c r="H144" s="14" t="s">
        <v>224</v>
      </c>
      <c r="I144" s="14" t="s">
        <v>225</v>
      </c>
      <c r="J144" s="14"/>
      <c r="K144" s="14" t="s">
        <v>1604</v>
      </c>
      <c r="L144" s="14" t="s">
        <v>1605</v>
      </c>
      <c r="M144" s="15" t="n">
        <v>7300</v>
      </c>
      <c r="N144" s="14" t="s">
        <v>283</v>
      </c>
      <c r="O144" s="14" t="s">
        <v>447</v>
      </c>
      <c r="P144" s="16" t="s">
        <v>1606</v>
      </c>
      <c r="Q144" s="6" t="s">
        <v>1607</v>
      </c>
      <c r="R144" s="6" t="s">
        <v>1608</v>
      </c>
      <c r="S144" s="14" t="s">
        <v>916</v>
      </c>
      <c r="T144" s="14" t="s">
        <v>466</v>
      </c>
      <c r="U144" s="14" t="s">
        <v>236</v>
      </c>
      <c r="V144" s="14" t="s">
        <v>1609</v>
      </c>
      <c r="W144" s="14" t="s">
        <v>452</v>
      </c>
      <c r="X144" s="14"/>
      <c r="Y144" s="15" t="n">
        <v>208000</v>
      </c>
      <c r="Z144" s="15"/>
      <c r="AA144" s="14"/>
      <c r="AB144" s="14"/>
      <c r="AC144" s="17"/>
      <c r="AD144" s="18" t="n">
        <v>69</v>
      </c>
      <c r="AE144" s="18" t="n">
        <f aca="false">IF(AD144="","",MIN(AD144,100))</f>
        <v>69</v>
      </c>
      <c r="AF144" s="14"/>
      <c r="AG144" s="14" t="s">
        <v>224</v>
      </c>
      <c r="AH144" s="14" t="n">
        <v>3</v>
      </c>
      <c r="AI144" s="14" t="s">
        <v>224</v>
      </c>
      <c r="AJ144" s="14" t="s">
        <v>224</v>
      </c>
      <c r="AK144" s="14" t="s">
        <v>240</v>
      </c>
      <c r="AL144" s="19" t="n">
        <f aca="false">ROUND('Start Here'!$B$29*AH144+'Start Here'!$B$30*MIN(IF(AD144="",0,AD144),50)/5+IF(M144&lt;=30000,'Start Here'!$B$31,IF(M144&lt;=60000,'Start Here'!$B$32,0)),1)</f>
        <v>6.5</v>
      </c>
      <c r="AM144" s="6" t="s">
        <v>1610</v>
      </c>
      <c r="AN144" s="6" t="s">
        <v>1611</v>
      </c>
      <c r="AO144" s="6" t="s">
        <v>1612</v>
      </c>
      <c r="AP144" s="14" t="s">
        <v>922</v>
      </c>
      <c r="AQ144" s="14" t="s">
        <v>1613</v>
      </c>
      <c r="AR144" s="20" t="s">
        <v>246</v>
      </c>
      <c r="AS144" s="20"/>
    </row>
    <row r="145" customFormat="false" ht="60" hidden="false" customHeight="true" outlineLevel="0" collapsed="false">
      <c r="A145" s="14" t="n">
        <v>144</v>
      </c>
      <c r="B145" s="14" t="s">
        <v>247</v>
      </c>
      <c r="C145" s="14" t="s">
        <v>221</v>
      </c>
      <c r="D145" s="14" t="s">
        <v>443</v>
      </c>
      <c r="E145" s="14" t="s">
        <v>36</v>
      </c>
      <c r="F145" s="14" t="s">
        <v>223</v>
      </c>
      <c r="G145" s="14" t="s">
        <v>223</v>
      </c>
      <c r="H145" s="14" t="s">
        <v>224</v>
      </c>
      <c r="I145" s="14" t="s">
        <v>322</v>
      </c>
      <c r="J145" s="14"/>
      <c r="K145" s="14" t="s">
        <v>1614</v>
      </c>
      <c r="L145" s="14" t="s">
        <v>1615</v>
      </c>
      <c r="M145" s="15" t="n">
        <v>24900</v>
      </c>
      <c r="N145" s="14" t="s">
        <v>298</v>
      </c>
      <c r="O145" s="14" t="s">
        <v>447</v>
      </c>
      <c r="P145" s="16" t="s">
        <v>1616</v>
      </c>
      <c r="Q145" s="6" t="s">
        <v>1617</v>
      </c>
      <c r="R145" s="6" t="s">
        <v>1618</v>
      </c>
      <c r="S145" s="14" t="s">
        <v>255</v>
      </c>
      <c r="T145" s="14" t="s">
        <v>235</v>
      </c>
      <c r="U145" s="14" t="s">
        <v>236</v>
      </c>
      <c r="V145" s="14" t="s">
        <v>1619</v>
      </c>
      <c r="W145" s="14" t="s">
        <v>452</v>
      </c>
      <c r="X145" s="14"/>
      <c r="Y145" s="15" t="n">
        <v>224600</v>
      </c>
      <c r="Z145" s="15"/>
      <c r="AA145" s="14"/>
      <c r="AB145" s="14"/>
      <c r="AC145" s="17"/>
      <c r="AD145" s="18" t="n">
        <v>62.7</v>
      </c>
      <c r="AE145" s="18" t="n">
        <f aca="false">IF(AD145="","",MIN(AD145,100))</f>
        <v>62.7</v>
      </c>
      <c r="AF145" s="14"/>
      <c r="AG145" s="14" t="s">
        <v>224</v>
      </c>
      <c r="AH145" s="14" t="n">
        <v>3</v>
      </c>
      <c r="AI145" s="14" t="s">
        <v>224</v>
      </c>
      <c r="AJ145" s="14" t="s">
        <v>224</v>
      </c>
      <c r="AK145" s="14" t="s">
        <v>240</v>
      </c>
      <c r="AL145" s="19" t="n">
        <f aca="false">ROUND('Start Here'!$B$29*AH145+'Start Here'!$B$30*MIN(IF(AD145="",0,AD145),50)/5+IF(M145&lt;=30000,'Start Here'!$B$31,IF(M145&lt;=60000,'Start Here'!$B$32,0)),1)</f>
        <v>6.5</v>
      </c>
      <c r="AM145" s="6" t="s">
        <v>1620</v>
      </c>
      <c r="AN145" s="6" t="s">
        <v>1504</v>
      </c>
      <c r="AO145" s="6" t="s">
        <v>1621</v>
      </c>
      <c r="AP145" s="14" t="s">
        <v>457</v>
      </c>
      <c r="AQ145" s="14" t="s">
        <v>1289</v>
      </c>
      <c r="AR145" s="20" t="s">
        <v>246</v>
      </c>
      <c r="AS145" s="20"/>
    </row>
    <row r="146" customFormat="false" ht="60" hidden="false" customHeight="true" outlineLevel="0" collapsed="false">
      <c r="A146" s="14" t="n">
        <v>145</v>
      </c>
      <c r="B146" s="14" t="s">
        <v>247</v>
      </c>
      <c r="C146" s="14" t="s">
        <v>221</v>
      </c>
      <c r="D146" s="14" t="s">
        <v>443</v>
      </c>
      <c r="E146" s="14" t="s">
        <v>36</v>
      </c>
      <c r="F146" s="14" t="s">
        <v>223</v>
      </c>
      <c r="G146" s="14" t="s">
        <v>223</v>
      </c>
      <c r="H146" s="14" t="s">
        <v>224</v>
      </c>
      <c r="I146" s="14" t="s">
        <v>225</v>
      </c>
      <c r="J146" s="14"/>
      <c r="K146" s="14" t="s">
        <v>1622</v>
      </c>
      <c r="L146" s="14" t="s">
        <v>1623</v>
      </c>
      <c r="M146" s="15" t="n">
        <v>19200</v>
      </c>
      <c r="N146" s="14" t="s">
        <v>229</v>
      </c>
      <c r="O146" s="14" t="s">
        <v>447</v>
      </c>
      <c r="P146" s="16" t="s">
        <v>1624</v>
      </c>
      <c r="Q146" s="6" t="s">
        <v>1625</v>
      </c>
      <c r="R146" s="6" t="s">
        <v>1626</v>
      </c>
      <c r="S146" s="14" t="s">
        <v>685</v>
      </c>
      <c r="T146" s="14" t="s">
        <v>235</v>
      </c>
      <c r="U146" s="14" t="s">
        <v>686</v>
      </c>
      <c r="V146" s="14" t="s">
        <v>1627</v>
      </c>
      <c r="W146" s="14" t="s">
        <v>452</v>
      </c>
      <c r="X146" s="14"/>
      <c r="Y146" s="15" t="n">
        <v>170700</v>
      </c>
      <c r="Z146" s="15"/>
      <c r="AA146" s="14"/>
      <c r="AB146" s="14"/>
      <c r="AC146" s="17"/>
      <c r="AD146" s="18" t="n">
        <v>57.5</v>
      </c>
      <c r="AE146" s="18" t="n">
        <f aca="false">IF(AD146="","",MIN(AD146,100))</f>
        <v>57.5</v>
      </c>
      <c r="AF146" s="14"/>
      <c r="AG146" s="14" t="s">
        <v>224</v>
      </c>
      <c r="AH146" s="14" t="n">
        <v>3</v>
      </c>
      <c r="AI146" s="14" t="s">
        <v>224</v>
      </c>
      <c r="AJ146" s="14" t="s">
        <v>224</v>
      </c>
      <c r="AK146" s="14" t="s">
        <v>240</v>
      </c>
      <c r="AL146" s="19" t="n">
        <f aca="false">ROUND('Start Here'!$B$29*AH146+'Start Here'!$B$30*MIN(IF(AD146="",0,AD146),50)/5+IF(M146&lt;=30000,'Start Here'!$B$31,IF(M146&lt;=60000,'Start Here'!$B$32,0)),1)</f>
        <v>6.5</v>
      </c>
      <c r="AM146" s="6" t="s">
        <v>1628</v>
      </c>
      <c r="AN146" s="6" t="s">
        <v>1383</v>
      </c>
      <c r="AO146" s="6" t="s">
        <v>1629</v>
      </c>
      <c r="AP146" s="14" t="s">
        <v>1385</v>
      </c>
      <c r="AQ146" s="14" t="s">
        <v>1289</v>
      </c>
      <c r="AR146" s="20" t="s">
        <v>246</v>
      </c>
      <c r="AS146" s="20"/>
    </row>
    <row r="147" customFormat="false" ht="60" hidden="false" customHeight="true" outlineLevel="0" collapsed="false">
      <c r="A147" s="14" t="n">
        <v>146</v>
      </c>
      <c r="B147" s="14" t="s">
        <v>247</v>
      </c>
      <c r="C147" s="14" t="s">
        <v>221</v>
      </c>
      <c r="D147" s="14" t="s">
        <v>443</v>
      </c>
      <c r="E147" s="14" t="s">
        <v>36</v>
      </c>
      <c r="F147" s="14" t="s">
        <v>223</v>
      </c>
      <c r="G147" s="14" t="s">
        <v>223</v>
      </c>
      <c r="H147" s="14" t="s">
        <v>223</v>
      </c>
      <c r="I147" s="14" t="s">
        <v>225</v>
      </c>
      <c r="J147" s="14" t="s">
        <v>586</v>
      </c>
      <c r="K147" s="14" t="s">
        <v>1630</v>
      </c>
      <c r="L147" s="14" t="s">
        <v>1631</v>
      </c>
      <c r="M147" s="15" t="n">
        <v>11000</v>
      </c>
      <c r="N147" s="14" t="s">
        <v>229</v>
      </c>
      <c r="O147" s="14" t="s">
        <v>447</v>
      </c>
      <c r="P147" s="16" t="s">
        <v>1632</v>
      </c>
      <c r="Q147" s="6" t="s">
        <v>1633</v>
      </c>
      <c r="R147" s="6" t="s">
        <v>1634</v>
      </c>
      <c r="S147" s="14" t="s">
        <v>1635</v>
      </c>
      <c r="T147" s="14" t="s">
        <v>235</v>
      </c>
      <c r="U147" s="14" t="s">
        <v>236</v>
      </c>
      <c r="V147" s="14" t="s">
        <v>1636</v>
      </c>
      <c r="W147" s="14" t="s">
        <v>452</v>
      </c>
      <c r="X147" s="14"/>
      <c r="Y147" s="15" t="n">
        <v>1400000</v>
      </c>
      <c r="Z147" s="15"/>
      <c r="AA147" s="14"/>
      <c r="AB147" s="14"/>
      <c r="AC147" s="17"/>
      <c r="AD147" s="18" t="n">
        <v>905</v>
      </c>
      <c r="AE147" s="18" t="n">
        <f aca="false">IF(AD147="","",MIN(AD147,100))</f>
        <v>100</v>
      </c>
      <c r="AF147" s="14"/>
      <c r="AG147" s="14" t="s">
        <v>224</v>
      </c>
      <c r="AH147" s="14" t="n">
        <v>3</v>
      </c>
      <c r="AI147" s="14" t="s">
        <v>224</v>
      </c>
      <c r="AJ147" s="14" t="s">
        <v>224</v>
      </c>
      <c r="AK147" s="14" t="s">
        <v>240</v>
      </c>
      <c r="AL147" s="19" t="n">
        <f aca="false">ROUND('Start Here'!$B$29*AH147+'Start Here'!$B$30*MIN(IF(AD147="",0,AD147),50)/5+IF(M147&lt;=30000,'Start Here'!$B$31,IF(M147&lt;=60000,'Start Here'!$B$32,0)),1)</f>
        <v>6.5</v>
      </c>
      <c r="AM147" s="6" t="s">
        <v>1637</v>
      </c>
      <c r="AN147" s="6" t="s">
        <v>1638</v>
      </c>
      <c r="AO147" s="6" t="s">
        <v>1639</v>
      </c>
      <c r="AP147" s="14" t="s">
        <v>561</v>
      </c>
      <c r="AQ147" s="14" t="s">
        <v>1640</v>
      </c>
      <c r="AR147" s="20" t="s">
        <v>246</v>
      </c>
      <c r="AS147" s="20"/>
    </row>
    <row r="148" customFormat="false" ht="60" hidden="false" customHeight="true" outlineLevel="0" collapsed="false">
      <c r="A148" s="14" t="n">
        <v>147</v>
      </c>
      <c r="B148" s="14" t="s">
        <v>220</v>
      </c>
      <c r="C148" s="14" t="s">
        <v>221</v>
      </c>
      <c r="D148" s="14" t="s">
        <v>222</v>
      </c>
      <c r="E148" s="14" t="s">
        <v>36</v>
      </c>
      <c r="F148" s="14" t="s">
        <v>223</v>
      </c>
      <c r="G148" s="14" t="s">
        <v>223</v>
      </c>
      <c r="H148" s="14" t="s">
        <v>224</v>
      </c>
      <c r="I148" s="14" t="s">
        <v>322</v>
      </c>
      <c r="J148" s="14" t="s">
        <v>1641</v>
      </c>
      <c r="K148" s="14" t="s">
        <v>1642</v>
      </c>
      <c r="L148" s="14" t="s">
        <v>1643</v>
      </c>
      <c r="M148" s="15" t="n">
        <v>19035</v>
      </c>
      <c r="N148" s="14" t="s">
        <v>229</v>
      </c>
      <c r="O148" s="14" t="s">
        <v>1644</v>
      </c>
      <c r="P148" s="16" t="s">
        <v>1645</v>
      </c>
      <c r="Q148" s="6" t="s">
        <v>1646</v>
      </c>
      <c r="R148" s="6" t="s">
        <v>1647</v>
      </c>
      <c r="S148" s="14" t="s">
        <v>255</v>
      </c>
      <c r="T148" s="14" t="s">
        <v>673</v>
      </c>
      <c r="U148" s="14" t="s">
        <v>236</v>
      </c>
      <c r="V148" s="14" t="s">
        <v>237</v>
      </c>
      <c r="W148" s="14" t="s">
        <v>238</v>
      </c>
      <c r="X148" s="14" t="s">
        <v>239</v>
      </c>
      <c r="Y148" s="15" t="n">
        <v>12136</v>
      </c>
      <c r="Z148" s="15" t="n">
        <v>172</v>
      </c>
      <c r="AA148" s="14" t="n">
        <v>25</v>
      </c>
      <c r="AB148" s="14" t="n">
        <v>6</v>
      </c>
      <c r="AC148" s="17" t="n">
        <v>0.0167270929466051</v>
      </c>
      <c r="AD148" s="18" t="n">
        <v>11.77</v>
      </c>
      <c r="AE148" s="18" t="n">
        <f aca="false">IF(AD148="","",MIN(AD148,100))</f>
        <v>11.77</v>
      </c>
      <c r="AF148" s="14" t="n">
        <v>98.4</v>
      </c>
      <c r="AG148" s="14" t="s">
        <v>224</v>
      </c>
      <c r="AH148" s="14" t="n">
        <v>7.5</v>
      </c>
      <c r="AI148" s="14" t="s">
        <v>224</v>
      </c>
      <c r="AJ148" s="14" t="s">
        <v>223</v>
      </c>
      <c r="AK148" s="14" t="s">
        <v>490</v>
      </c>
      <c r="AL148" s="19" t="n">
        <f aca="false">ROUND('Start Here'!$B$29*AH148+'Start Here'!$B$30*MIN(IF(AD148="",0,AD148),50)/5+IF(M148&lt;=30000,'Start Here'!$B$31,IF(M148&lt;=60000,'Start Here'!$B$32,0)),1)</f>
        <v>6.5</v>
      </c>
      <c r="AM148" s="6" t="s">
        <v>259</v>
      </c>
      <c r="AN148" s="6" t="s">
        <v>1648</v>
      </c>
      <c r="AO148" s="6" t="s">
        <v>1649</v>
      </c>
      <c r="AP148" s="14" t="s">
        <v>1650</v>
      </c>
      <c r="AQ148" s="14" t="s">
        <v>524</v>
      </c>
      <c r="AR148" s="20" t="s">
        <v>246</v>
      </c>
      <c r="AS148" s="20"/>
    </row>
    <row r="149" customFormat="false" ht="60" hidden="false" customHeight="true" outlineLevel="0" collapsed="false">
      <c r="A149" s="14" t="n">
        <v>148</v>
      </c>
      <c r="B149" s="14" t="s">
        <v>374</v>
      </c>
      <c r="C149" s="14" t="s">
        <v>221</v>
      </c>
      <c r="D149" s="14" t="s">
        <v>222</v>
      </c>
      <c r="E149" s="14" t="s">
        <v>34</v>
      </c>
      <c r="F149" s="14" t="s">
        <v>223</v>
      </c>
      <c r="G149" s="14" t="s">
        <v>224</v>
      </c>
      <c r="H149" s="14" t="s">
        <v>223</v>
      </c>
      <c r="I149" s="14" t="s">
        <v>308</v>
      </c>
      <c r="J149" s="14" t="s">
        <v>1651</v>
      </c>
      <c r="K149" s="14" t="s">
        <v>1652</v>
      </c>
      <c r="L149" s="14" t="s">
        <v>1653</v>
      </c>
      <c r="M149" s="15" t="n">
        <v>66923</v>
      </c>
      <c r="N149" s="14" t="s">
        <v>400</v>
      </c>
      <c r="O149" s="14" t="s">
        <v>1654</v>
      </c>
      <c r="P149" s="16" t="s">
        <v>1655</v>
      </c>
      <c r="Q149" s="6" t="s">
        <v>1656</v>
      </c>
      <c r="R149" s="6" t="s">
        <v>1657</v>
      </c>
      <c r="S149" s="14" t="s">
        <v>1495</v>
      </c>
      <c r="T149" s="14" t="s">
        <v>235</v>
      </c>
      <c r="U149" s="14" t="s">
        <v>236</v>
      </c>
      <c r="V149" s="14" t="s">
        <v>331</v>
      </c>
      <c r="W149" s="14" t="s">
        <v>275</v>
      </c>
      <c r="X149" s="14" t="s">
        <v>239</v>
      </c>
      <c r="Y149" s="15"/>
      <c r="Z149" s="15" t="n">
        <v>1853</v>
      </c>
      <c r="AA149" s="14" t="n">
        <v>4373</v>
      </c>
      <c r="AB149" s="14" t="n">
        <v>8</v>
      </c>
      <c r="AC149" s="17" t="n">
        <v>0.0970015715686122</v>
      </c>
      <c r="AD149" s="18" t="n">
        <v>61.95</v>
      </c>
      <c r="AE149" s="18" t="n">
        <f aca="false">IF(AD149="","",MIN(AD149,100))</f>
        <v>61.95</v>
      </c>
      <c r="AF149" s="14" t="n">
        <v>98.4</v>
      </c>
      <c r="AG149" s="14" t="s">
        <v>224</v>
      </c>
      <c r="AH149" s="14" t="n">
        <v>6.9</v>
      </c>
      <c r="AI149" s="14" t="s">
        <v>223</v>
      </c>
      <c r="AJ149" s="14" t="s">
        <v>224</v>
      </c>
      <c r="AK149" s="14" t="s">
        <v>240</v>
      </c>
      <c r="AL149" s="19" t="n">
        <f aca="false">ROUND('Start Here'!$B$29*AH149+'Start Here'!$B$30*MIN(IF(AD149="",0,AD149),50)/5+IF(M149&lt;=30000,'Start Here'!$B$31,IF(M149&lt;=60000,'Start Here'!$B$32,0)),1)</f>
        <v>6.5</v>
      </c>
      <c r="AM149" s="6" t="s">
        <v>1658</v>
      </c>
      <c r="AN149" s="6" t="s">
        <v>1659</v>
      </c>
      <c r="AO149" s="6" t="s">
        <v>1660</v>
      </c>
      <c r="AP149" s="14" t="s">
        <v>1661</v>
      </c>
      <c r="AQ149" s="14" t="s">
        <v>1662</v>
      </c>
      <c r="AR149" s="20" t="s">
        <v>246</v>
      </c>
      <c r="AS149" s="20"/>
    </row>
    <row r="150" customFormat="false" ht="60" hidden="false" customHeight="true" outlineLevel="0" collapsed="false">
      <c r="A150" s="14" t="n">
        <v>149</v>
      </c>
      <c r="B150" s="14" t="s">
        <v>374</v>
      </c>
      <c r="C150" s="14" t="s">
        <v>221</v>
      </c>
      <c r="D150" s="14" t="s">
        <v>222</v>
      </c>
      <c r="E150" s="14" t="s">
        <v>40</v>
      </c>
      <c r="F150" s="14" t="s">
        <v>224</v>
      </c>
      <c r="G150" s="14" t="s">
        <v>224</v>
      </c>
      <c r="H150" s="14" t="s">
        <v>224</v>
      </c>
      <c r="I150" s="14" t="s">
        <v>322</v>
      </c>
      <c r="J150" s="14" t="s">
        <v>1121</v>
      </c>
      <c r="K150" s="14" t="s">
        <v>1663</v>
      </c>
      <c r="L150" s="14" t="s">
        <v>1664</v>
      </c>
      <c r="M150" s="15" t="n">
        <v>33622</v>
      </c>
      <c r="N150" s="14" t="s">
        <v>462</v>
      </c>
      <c r="O150" s="14" t="s">
        <v>1665</v>
      </c>
      <c r="P150" s="16" t="s">
        <v>1666</v>
      </c>
      <c r="Q150" s="6" t="s">
        <v>1667</v>
      </c>
      <c r="R150" s="6" t="s">
        <v>1668</v>
      </c>
      <c r="S150" s="14" t="s">
        <v>884</v>
      </c>
      <c r="T150" s="14" t="s">
        <v>235</v>
      </c>
      <c r="U150" s="14" t="s">
        <v>236</v>
      </c>
      <c r="V150" s="14" t="s">
        <v>237</v>
      </c>
      <c r="W150" s="14" t="s">
        <v>332</v>
      </c>
      <c r="X150" s="14" t="s">
        <v>333</v>
      </c>
      <c r="Y150" s="15"/>
      <c r="Z150" s="15" t="n">
        <v>843</v>
      </c>
      <c r="AA150" s="14" t="n">
        <v>139</v>
      </c>
      <c r="AB150" s="14" t="n">
        <v>27</v>
      </c>
      <c r="AC150" s="17" t="n">
        <v>0.0325925447380322</v>
      </c>
      <c r="AD150" s="18" t="n">
        <v>6.96</v>
      </c>
      <c r="AE150" s="18" t="n">
        <f aca="false">IF(AD150="","",MIN(AD150,100))</f>
        <v>6.96</v>
      </c>
      <c r="AF150" s="14"/>
      <c r="AG150" s="14" t="s">
        <v>224</v>
      </c>
      <c r="AH150" s="14" t="n">
        <v>10</v>
      </c>
      <c r="AI150" s="14" t="s">
        <v>224</v>
      </c>
      <c r="AJ150" s="14" t="s">
        <v>224</v>
      </c>
      <c r="AK150" s="14" t="s">
        <v>240</v>
      </c>
      <c r="AL150" s="19" t="n">
        <f aca="false">ROUND('Start Here'!$B$29*AH150+'Start Here'!$B$30*MIN(IF(AD150="",0,AD150),50)/5+IF(M150&lt;=30000,'Start Here'!$B$31,IF(M150&lt;=60000,'Start Here'!$B$32,0)),1)</f>
        <v>6.4</v>
      </c>
      <c r="AM150" s="6" t="s">
        <v>1163</v>
      </c>
      <c r="AN150" s="6" t="s">
        <v>1669</v>
      </c>
      <c r="AO150" s="6" t="s">
        <v>1670</v>
      </c>
      <c r="AP150" s="14" t="s">
        <v>1671</v>
      </c>
      <c r="AQ150" s="14" t="s">
        <v>1672</v>
      </c>
      <c r="AR150" s="20" t="s">
        <v>246</v>
      </c>
      <c r="AS150" s="20"/>
    </row>
    <row r="151" customFormat="false" ht="60" hidden="false" customHeight="true" outlineLevel="0" collapsed="false">
      <c r="A151" s="14" t="n">
        <v>150</v>
      </c>
      <c r="B151" s="14" t="s">
        <v>247</v>
      </c>
      <c r="C151" s="14" t="s">
        <v>221</v>
      </c>
      <c r="D151" s="14" t="s">
        <v>443</v>
      </c>
      <c r="E151" s="14" t="s">
        <v>36</v>
      </c>
      <c r="F151" s="14" t="s">
        <v>223</v>
      </c>
      <c r="G151" s="14" t="s">
        <v>223</v>
      </c>
      <c r="H151" s="14" t="s">
        <v>224</v>
      </c>
      <c r="I151" s="14" t="s">
        <v>322</v>
      </c>
      <c r="J151" s="14"/>
      <c r="K151" s="14" t="s">
        <v>1673</v>
      </c>
      <c r="L151" s="14" t="s">
        <v>1674</v>
      </c>
      <c r="M151" s="15" t="n">
        <v>18000</v>
      </c>
      <c r="N151" s="14" t="s">
        <v>229</v>
      </c>
      <c r="O151" s="14" t="s">
        <v>447</v>
      </c>
      <c r="P151" s="16" t="s">
        <v>1675</v>
      </c>
      <c r="Q151" s="6" t="s">
        <v>1676</v>
      </c>
      <c r="R151" s="6" t="s">
        <v>1677</v>
      </c>
      <c r="S151" s="14" t="s">
        <v>255</v>
      </c>
      <c r="T151" s="14" t="s">
        <v>235</v>
      </c>
      <c r="U151" s="14" t="s">
        <v>236</v>
      </c>
      <c r="V151" s="14" t="s">
        <v>930</v>
      </c>
      <c r="W151" s="14" t="s">
        <v>1600</v>
      </c>
      <c r="X151" s="14"/>
      <c r="Y151" s="15" t="n">
        <v>130900</v>
      </c>
      <c r="Z151" s="15"/>
      <c r="AA151" s="14"/>
      <c r="AB151" s="14"/>
      <c r="AC151" s="17"/>
      <c r="AD151" s="18" t="n">
        <v>48.5</v>
      </c>
      <c r="AE151" s="18" t="n">
        <f aca="false">IF(AD151="","",MIN(AD151,100))</f>
        <v>48.5</v>
      </c>
      <c r="AF151" s="14"/>
      <c r="AG151" s="14" t="s">
        <v>224</v>
      </c>
      <c r="AH151" s="14" t="n">
        <v>3</v>
      </c>
      <c r="AI151" s="14" t="s">
        <v>224</v>
      </c>
      <c r="AJ151" s="14" t="s">
        <v>224</v>
      </c>
      <c r="AK151" s="14" t="s">
        <v>240</v>
      </c>
      <c r="AL151" s="19" t="n">
        <f aca="false">ROUND('Start Here'!$B$29*AH151+'Start Here'!$B$30*MIN(IF(AD151="",0,AD151),50)/5+IF(M151&lt;=30000,'Start Here'!$B$31,IF(M151&lt;=60000,'Start Here'!$B$32,0)),1)</f>
        <v>6.4</v>
      </c>
      <c r="AM151" s="6" t="s">
        <v>1678</v>
      </c>
      <c r="AN151" s="6" t="s">
        <v>1504</v>
      </c>
      <c r="AO151" s="6" t="s">
        <v>1679</v>
      </c>
      <c r="AP151" s="14" t="s">
        <v>457</v>
      </c>
      <c r="AQ151" s="14" t="s">
        <v>1280</v>
      </c>
      <c r="AR151" s="20" t="s">
        <v>246</v>
      </c>
      <c r="AS151" s="20"/>
    </row>
    <row r="152" customFormat="false" ht="60" hidden="false" customHeight="true" outlineLevel="0" collapsed="false">
      <c r="A152" s="14" t="n">
        <v>151</v>
      </c>
      <c r="B152" s="14" t="s">
        <v>374</v>
      </c>
      <c r="C152" s="14" t="s">
        <v>221</v>
      </c>
      <c r="D152" s="14" t="s">
        <v>222</v>
      </c>
      <c r="E152" s="14" t="s">
        <v>34</v>
      </c>
      <c r="F152" s="14" t="s">
        <v>223</v>
      </c>
      <c r="G152" s="14" t="s">
        <v>224</v>
      </c>
      <c r="H152" s="14" t="s">
        <v>223</v>
      </c>
      <c r="I152" s="14" t="s">
        <v>225</v>
      </c>
      <c r="J152" s="14" t="s">
        <v>1061</v>
      </c>
      <c r="K152" s="14" t="s">
        <v>1680</v>
      </c>
      <c r="L152" s="14" t="s">
        <v>1681</v>
      </c>
      <c r="M152" s="15" t="n">
        <v>75817</v>
      </c>
      <c r="N152" s="14" t="s">
        <v>400</v>
      </c>
      <c r="O152" s="14" t="s">
        <v>1682</v>
      </c>
      <c r="P152" s="16" t="s">
        <v>1683</v>
      </c>
      <c r="Q152" s="6" t="s">
        <v>1684</v>
      </c>
      <c r="R152" s="6" t="s">
        <v>1685</v>
      </c>
      <c r="S152" s="14" t="s">
        <v>685</v>
      </c>
      <c r="T152" s="14" t="s">
        <v>235</v>
      </c>
      <c r="U152" s="14" t="s">
        <v>686</v>
      </c>
      <c r="V152" s="14" t="s">
        <v>237</v>
      </c>
      <c r="W152" s="14" t="s">
        <v>275</v>
      </c>
      <c r="X152" s="14" t="s">
        <v>258</v>
      </c>
      <c r="Y152" s="15"/>
      <c r="Z152" s="15" t="n">
        <v>1946</v>
      </c>
      <c r="AA152" s="14" t="n">
        <v>249</v>
      </c>
      <c r="AB152" s="14" t="n">
        <v>61</v>
      </c>
      <c r="AC152" s="17" t="n">
        <v>0.031338556426071</v>
      </c>
      <c r="AD152" s="18" t="n">
        <v>40.14</v>
      </c>
      <c r="AE152" s="18" t="n">
        <f aca="false">IF(AD152="","",MIN(AD152,100))</f>
        <v>40.14</v>
      </c>
      <c r="AF152" s="14" t="n">
        <v>99.8</v>
      </c>
      <c r="AG152" s="14" t="s">
        <v>224</v>
      </c>
      <c r="AH152" s="14" t="n">
        <v>8</v>
      </c>
      <c r="AI152" s="14" t="s">
        <v>224</v>
      </c>
      <c r="AJ152" s="14" t="s">
        <v>224</v>
      </c>
      <c r="AK152" s="14" t="s">
        <v>240</v>
      </c>
      <c r="AL152" s="19" t="n">
        <f aca="false">ROUND('Start Here'!$B$29*AH152+'Start Here'!$B$30*MIN(IF(AD152="",0,AD152),50)/5+IF(M152&lt;=30000,'Start Here'!$B$31,IF(M152&lt;=60000,'Start Here'!$B$32,0)),1)</f>
        <v>6.4</v>
      </c>
      <c r="AM152" s="6" t="s">
        <v>689</v>
      </c>
      <c r="AN152" s="6" t="s">
        <v>690</v>
      </c>
      <c r="AO152" s="6" t="s">
        <v>1686</v>
      </c>
      <c r="AP152" s="14" t="s">
        <v>1687</v>
      </c>
      <c r="AQ152" s="14" t="s">
        <v>1672</v>
      </c>
      <c r="AR152" s="20" t="s">
        <v>246</v>
      </c>
      <c r="AS152" s="20"/>
    </row>
    <row r="153" customFormat="false" ht="60" hidden="false" customHeight="true" outlineLevel="0" collapsed="false">
      <c r="A153" s="14" t="n">
        <v>152</v>
      </c>
      <c r="B153" s="14" t="s">
        <v>247</v>
      </c>
      <c r="C153" s="14" t="s">
        <v>221</v>
      </c>
      <c r="D153" s="14" t="s">
        <v>443</v>
      </c>
      <c r="E153" s="14" t="s">
        <v>36</v>
      </c>
      <c r="F153" s="14" t="s">
        <v>223</v>
      </c>
      <c r="G153" s="14" t="s">
        <v>223</v>
      </c>
      <c r="H153" s="14" t="s">
        <v>224</v>
      </c>
      <c r="I153" s="14" t="s">
        <v>225</v>
      </c>
      <c r="J153" s="14" t="s">
        <v>971</v>
      </c>
      <c r="K153" s="14" t="s">
        <v>1688</v>
      </c>
      <c r="L153" s="14" t="s">
        <v>1689</v>
      </c>
      <c r="M153" s="15" t="n">
        <v>22000</v>
      </c>
      <c r="N153" s="14" t="s">
        <v>298</v>
      </c>
      <c r="O153" s="14" t="s">
        <v>447</v>
      </c>
      <c r="P153" s="16" t="s">
        <v>1690</v>
      </c>
      <c r="Q153" s="6" t="s">
        <v>1691</v>
      </c>
      <c r="R153" s="6" t="s">
        <v>1692</v>
      </c>
      <c r="S153" s="14" t="s">
        <v>255</v>
      </c>
      <c r="T153" s="14" t="s">
        <v>273</v>
      </c>
      <c r="U153" s="14" t="s">
        <v>274</v>
      </c>
      <c r="V153" s="14" t="s">
        <v>1693</v>
      </c>
      <c r="W153" s="14" t="s">
        <v>452</v>
      </c>
      <c r="X153" s="14"/>
      <c r="Y153" s="15" t="n">
        <v>77900</v>
      </c>
      <c r="Z153" s="15"/>
      <c r="AA153" s="14"/>
      <c r="AB153" s="14"/>
      <c r="AC153" s="17"/>
      <c r="AD153" s="18" t="n">
        <v>31.8</v>
      </c>
      <c r="AE153" s="18" t="n">
        <f aca="false">IF(AD153="","",MIN(AD153,100))</f>
        <v>31.8</v>
      </c>
      <c r="AF153" s="14"/>
      <c r="AG153" s="14" t="s">
        <v>224</v>
      </c>
      <c r="AH153" s="14" t="n">
        <v>5</v>
      </c>
      <c r="AI153" s="14" t="s">
        <v>224</v>
      </c>
      <c r="AJ153" s="14" t="s">
        <v>224</v>
      </c>
      <c r="AK153" s="14" t="s">
        <v>240</v>
      </c>
      <c r="AL153" s="19" t="n">
        <f aca="false">ROUND('Start Here'!$B$29*AH153+'Start Here'!$B$30*MIN(IF(AD153="",0,AD153),50)/5+IF(M153&lt;=30000,'Start Here'!$B$31,IF(M153&lt;=60000,'Start Here'!$B$32,0)),1)</f>
        <v>6.4</v>
      </c>
      <c r="AM153" s="6" t="s">
        <v>1694</v>
      </c>
      <c r="AN153" s="6" t="s">
        <v>260</v>
      </c>
      <c r="AO153" s="6" t="s">
        <v>1695</v>
      </c>
      <c r="AP153" s="14" t="s">
        <v>1696</v>
      </c>
      <c r="AQ153" s="14" t="s">
        <v>574</v>
      </c>
      <c r="AR153" s="20" t="s">
        <v>246</v>
      </c>
      <c r="AS153" s="20"/>
    </row>
    <row r="154" customFormat="false" ht="60" hidden="false" customHeight="true" outlineLevel="0" collapsed="false">
      <c r="A154" s="14" t="n">
        <v>153</v>
      </c>
      <c r="B154" s="14" t="s">
        <v>220</v>
      </c>
      <c r="C154" s="14" t="s">
        <v>221</v>
      </c>
      <c r="D154" s="14" t="s">
        <v>222</v>
      </c>
      <c r="E154" s="14" t="s">
        <v>36</v>
      </c>
      <c r="F154" s="14" t="s">
        <v>223</v>
      </c>
      <c r="G154" s="14" t="s">
        <v>223</v>
      </c>
      <c r="H154" s="14" t="s">
        <v>224</v>
      </c>
      <c r="I154" s="14" t="s">
        <v>225</v>
      </c>
      <c r="J154" s="14" t="s">
        <v>1697</v>
      </c>
      <c r="K154" s="14" t="s">
        <v>340</v>
      </c>
      <c r="L154" s="14" t="s">
        <v>341</v>
      </c>
      <c r="M154" s="15" t="n">
        <v>5044</v>
      </c>
      <c r="N154" s="14" t="s">
        <v>283</v>
      </c>
      <c r="O154" s="14" t="s">
        <v>1698</v>
      </c>
      <c r="P154" s="16" t="s">
        <v>1699</v>
      </c>
      <c r="Q154" s="6" t="s">
        <v>1700</v>
      </c>
      <c r="R154" s="6" t="s">
        <v>1701</v>
      </c>
      <c r="S154" s="14" t="s">
        <v>234</v>
      </c>
      <c r="T154" s="14" t="s">
        <v>235</v>
      </c>
      <c r="U154" s="14" t="s">
        <v>346</v>
      </c>
      <c r="V154" s="14" t="s">
        <v>237</v>
      </c>
      <c r="W154" s="14" t="s">
        <v>238</v>
      </c>
      <c r="X154" s="14" t="s">
        <v>333</v>
      </c>
      <c r="Y154" s="15" t="n">
        <v>5050</v>
      </c>
      <c r="Z154" s="15" t="n">
        <v>73</v>
      </c>
      <c r="AA154" s="14" t="n">
        <v>17</v>
      </c>
      <c r="AB154" s="14" t="n">
        <v>1</v>
      </c>
      <c r="AC154" s="17" t="n">
        <v>0.018019801980198</v>
      </c>
      <c r="AD154" s="18" t="n">
        <v>10.44</v>
      </c>
      <c r="AE154" s="18" t="n">
        <f aca="false">IF(AD154="","",MIN(AD154,100))</f>
        <v>10.44</v>
      </c>
      <c r="AF154" s="14" t="n">
        <v>98.9</v>
      </c>
      <c r="AG154" s="14" t="s">
        <v>224</v>
      </c>
      <c r="AH154" s="14" t="n">
        <v>7.5</v>
      </c>
      <c r="AI154" s="14" t="s">
        <v>224</v>
      </c>
      <c r="AJ154" s="14" t="s">
        <v>223</v>
      </c>
      <c r="AK154" s="14" t="s">
        <v>490</v>
      </c>
      <c r="AL154" s="19" t="n">
        <f aca="false">ROUND('Start Here'!$B$29*AH154+'Start Here'!$B$30*MIN(IF(AD154="",0,AD154),50)/5+IF(M154&lt;=30000,'Start Here'!$B$31,IF(M154&lt;=60000,'Start Here'!$B$32,0)),1)</f>
        <v>6.4</v>
      </c>
      <c r="AM154" s="6" t="s">
        <v>241</v>
      </c>
      <c r="AN154" s="6" t="s">
        <v>1702</v>
      </c>
      <c r="AO154" s="6" t="s">
        <v>1703</v>
      </c>
      <c r="AP154" s="14" t="s">
        <v>1704</v>
      </c>
      <c r="AQ154" s="14" t="s">
        <v>351</v>
      </c>
      <c r="AR154" s="20" t="s">
        <v>246</v>
      </c>
      <c r="AS154" s="20"/>
    </row>
    <row r="155" customFormat="false" ht="60" hidden="false" customHeight="true" outlineLevel="0" collapsed="false">
      <c r="A155" s="14" t="n">
        <v>154</v>
      </c>
      <c r="B155" s="14" t="s">
        <v>220</v>
      </c>
      <c r="C155" s="14" t="s">
        <v>221</v>
      </c>
      <c r="D155" s="14" t="s">
        <v>222</v>
      </c>
      <c r="E155" s="14" t="s">
        <v>36</v>
      </c>
      <c r="F155" s="14" t="s">
        <v>223</v>
      </c>
      <c r="G155" s="14" t="s">
        <v>223</v>
      </c>
      <c r="H155" s="14" t="s">
        <v>224</v>
      </c>
      <c r="I155" s="14" t="s">
        <v>322</v>
      </c>
      <c r="J155" s="14" t="s">
        <v>1705</v>
      </c>
      <c r="K155" s="14" t="s">
        <v>963</v>
      </c>
      <c r="L155" s="14" t="s">
        <v>964</v>
      </c>
      <c r="M155" s="15" t="n">
        <v>13198</v>
      </c>
      <c r="N155" s="14" t="s">
        <v>229</v>
      </c>
      <c r="O155" s="14" t="s">
        <v>1706</v>
      </c>
      <c r="P155" s="16" t="s">
        <v>1707</v>
      </c>
      <c r="Q155" s="6" t="s">
        <v>1708</v>
      </c>
      <c r="R155" s="6" t="s">
        <v>1709</v>
      </c>
      <c r="S155" s="14" t="s">
        <v>234</v>
      </c>
      <c r="T155" s="14" t="s">
        <v>235</v>
      </c>
      <c r="U155" s="14" t="s">
        <v>236</v>
      </c>
      <c r="V155" s="14" t="s">
        <v>237</v>
      </c>
      <c r="W155" s="14" t="s">
        <v>257</v>
      </c>
      <c r="X155" s="14" t="s">
        <v>239</v>
      </c>
      <c r="Y155" s="15" t="n">
        <v>10940</v>
      </c>
      <c r="Z155" s="15" t="n">
        <v>70</v>
      </c>
      <c r="AA155" s="14" t="n">
        <v>4</v>
      </c>
      <c r="AB155" s="14" t="n">
        <v>9</v>
      </c>
      <c r="AC155" s="17" t="n">
        <v>0.00758683729433272</v>
      </c>
      <c r="AD155" s="18" t="n">
        <v>34.6</v>
      </c>
      <c r="AE155" s="18" t="n">
        <f aca="false">IF(AD155="","",MIN(AD155,100))</f>
        <v>34.6</v>
      </c>
      <c r="AF155" s="14" t="n">
        <v>85.5</v>
      </c>
      <c r="AG155" s="14" t="s">
        <v>224</v>
      </c>
      <c r="AH155" s="14" t="n">
        <v>4.6</v>
      </c>
      <c r="AI155" s="14" t="s">
        <v>223</v>
      </c>
      <c r="AJ155" s="14" t="s">
        <v>224</v>
      </c>
      <c r="AK155" s="14" t="s">
        <v>240</v>
      </c>
      <c r="AL155" s="19" t="n">
        <f aca="false">ROUND('Start Here'!$B$29*AH155+'Start Here'!$B$30*MIN(IF(AD155="",0,AD155),50)/5+IF(M155&lt;=30000,'Start Here'!$B$31,IF(M155&lt;=60000,'Start Here'!$B$32,0)),1)</f>
        <v>6.4</v>
      </c>
      <c r="AM155" s="6" t="s">
        <v>241</v>
      </c>
      <c r="AN155" s="6" t="s">
        <v>360</v>
      </c>
      <c r="AO155" s="6" t="s">
        <v>1710</v>
      </c>
      <c r="AP155" s="14" t="s">
        <v>1711</v>
      </c>
      <c r="AQ155" s="14" t="s">
        <v>373</v>
      </c>
      <c r="AR155" s="20" t="s">
        <v>246</v>
      </c>
      <c r="AS155" s="20"/>
    </row>
    <row r="156" customFormat="false" ht="60" hidden="false" customHeight="true" outlineLevel="0" collapsed="false">
      <c r="A156" s="14" t="n">
        <v>155</v>
      </c>
      <c r="B156" s="14" t="s">
        <v>247</v>
      </c>
      <c r="C156" s="14" t="s">
        <v>221</v>
      </c>
      <c r="D156" s="14" t="s">
        <v>443</v>
      </c>
      <c r="E156" s="14" t="s">
        <v>34</v>
      </c>
      <c r="F156" s="14" t="s">
        <v>223</v>
      </c>
      <c r="G156" s="14" t="s">
        <v>224</v>
      </c>
      <c r="H156" s="14" t="s">
        <v>224</v>
      </c>
      <c r="I156" s="14" t="s">
        <v>586</v>
      </c>
      <c r="J156" s="14" t="s">
        <v>1712</v>
      </c>
      <c r="K156" s="14" t="s">
        <v>1713</v>
      </c>
      <c r="L156" s="14" t="s">
        <v>1714</v>
      </c>
      <c r="M156" s="15" t="n">
        <v>98800</v>
      </c>
      <c r="N156" s="14" t="s">
        <v>400</v>
      </c>
      <c r="O156" s="14" t="s">
        <v>447</v>
      </c>
      <c r="P156" s="16" t="s">
        <v>1715</v>
      </c>
      <c r="Q156" s="6" t="s">
        <v>1716</v>
      </c>
      <c r="R156" s="6" t="s">
        <v>1717</v>
      </c>
      <c r="S156" s="14" t="s">
        <v>330</v>
      </c>
      <c r="T156" s="14" t="s">
        <v>235</v>
      </c>
      <c r="U156" s="14" t="s">
        <v>236</v>
      </c>
      <c r="V156" s="14" t="s">
        <v>1563</v>
      </c>
      <c r="W156" s="14" t="s">
        <v>452</v>
      </c>
      <c r="X156" s="14"/>
      <c r="Y156" s="15" t="n">
        <v>177300</v>
      </c>
      <c r="Z156" s="15"/>
      <c r="AA156" s="14"/>
      <c r="AB156" s="14"/>
      <c r="AC156" s="17"/>
      <c r="AD156" s="18" t="n">
        <v>39.3</v>
      </c>
      <c r="AE156" s="18" t="n">
        <f aca="false">IF(AD156="","",MIN(AD156,100))</f>
        <v>39.3</v>
      </c>
      <c r="AF156" s="14"/>
      <c r="AG156" s="14" t="s">
        <v>224</v>
      </c>
      <c r="AH156" s="14" t="n">
        <v>8</v>
      </c>
      <c r="AI156" s="14" t="s">
        <v>224</v>
      </c>
      <c r="AJ156" s="14" t="s">
        <v>224</v>
      </c>
      <c r="AK156" s="14" t="s">
        <v>240</v>
      </c>
      <c r="AL156" s="19" t="n">
        <f aca="false">ROUND('Start Here'!$B$29*AH156+'Start Here'!$B$30*MIN(IF(AD156="",0,AD156),50)/5+IF(M156&lt;=30000,'Start Here'!$B$31,IF(M156&lt;=60000,'Start Here'!$B$32,0)),1)</f>
        <v>6.4</v>
      </c>
      <c r="AM156" s="6" t="s">
        <v>1718</v>
      </c>
      <c r="AN156" s="6" t="s">
        <v>1719</v>
      </c>
      <c r="AO156" s="6" t="s">
        <v>1720</v>
      </c>
      <c r="AP156" s="14" t="s">
        <v>922</v>
      </c>
      <c r="AQ156" s="14" t="s">
        <v>1721</v>
      </c>
      <c r="AR156" s="20" t="s">
        <v>246</v>
      </c>
      <c r="AS156" s="20"/>
    </row>
    <row r="157" customFormat="false" ht="60" hidden="false" customHeight="true" outlineLevel="0" collapsed="false">
      <c r="A157" s="14" t="n">
        <v>156</v>
      </c>
      <c r="B157" s="14" t="s">
        <v>220</v>
      </c>
      <c r="C157" s="14" t="s">
        <v>221</v>
      </c>
      <c r="D157" s="14" t="s">
        <v>222</v>
      </c>
      <c r="E157" s="14" t="s">
        <v>36</v>
      </c>
      <c r="F157" s="14" t="s">
        <v>224</v>
      </c>
      <c r="G157" s="14" t="s">
        <v>223</v>
      </c>
      <c r="H157" s="14" t="s">
        <v>224</v>
      </c>
      <c r="I157" s="14" t="s">
        <v>635</v>
      </c>
      <c r="J157" s="14" t="s">
        <v>1722</v>
      </c>
      <c r="K157" s="14" t="s">
        <v>1723</v>
      </c>
      <c r="L157" s="14" t="s">
        <v>1724</v>
      </c>
      <c r="M157" s="15" t="n">
        <v>7460</v>
      </c>
      <c r="N157" s="14" t="s">
        <v>283</v>
      </c>
      <c r="O157" s="14" t="s">
        <v>342</v>
      </c>
      <c r="P157" s="16" t="s">
        <v>1725</v>
      </c>
      <c r="Q157" s="6" t="s">
        <v>1726</v>
      </c>
      <c r="R157" s="6" t="s">
        <v>1727</v>
      </c>
      <c r="S157" s="14" t="s">
        <v>234</v>
      </c>
      <c r="T157" s="14" t="s">
        <v>235</v>
      </c>
      <c r="U157" s="14" t="s">
        <v>236</v>
      </c>
      <c r="V157" s="14" t="s">
        <v>237</v>
      </c>
      <c r="W157" s="14" t="s">
        <v>238</v>
      </c>
      <c r="X157" s="14" t="s">
        <v>546</v>
      </c>
      <c r="Y157" s="15" t="n">
        <v>9239</v>
      </c>
      <c r="Z157" s="15" t="n">
        <v>144</v>
      </c>
      <c r="AA157" s="14" t="n">
        <v>33</v>
      </c>
      <c r="AB157" s="14" t="n">
        <v>4</v>
      </c>
      <c r="AC157" s="17" t="n">
        <v>0.0195908648122091</v>
      </c>
      <c r="AD157" s="18" t="n">
        <v>5.96</v>
      </c>
      <c r="AE157" s="18" t="n">
        <f aca="false">IF(AD157="","",MIN(AD157,100))</f>
        <v>5.96</v>
      </c>
      <c r="AF157" s="14" t="n">
        <v>96.2</v>
      </c>
      <c r="AG157" s="14" t="s">
        <v>224</v>
      </c>
      <c r="AH157" s="14" t="n">
        <v>8</v>
      </c>
      <c r="AI157" s="14" t="s">
        <v>224</v>
      </c>
      <c r="AJ157" s="14" t="s">
        <v>224</v>
      </c>
      <c r="AK157" s="14" t="s">
        <v>240</v>
      </c>
      <c r="AL157" s="19" t="n">
        <f aca="false">ROUND('Start Here'!$B$29*AH157+'Start Here'!$B$30*MIN(IF(AD157="",0,AD157),50)/5+IF(M157&lt;=30000,'Start Here'!$B$31,IF(M157&lt;=60000,'Start Here'!$B$32,0)),1)</f>
        <v>6.4</v>
      </c>
      <c r="AM157" s="6" t="s">
        <v>1728</v>
      </c>
      <c r="AN157" s="6" t="s">
        <v>1729</v>
      </c>
      <c r="AO157" s="6" t="s">
        <v>1730</v>
      </c>
      <c r="AP157" s="14" t="s">
        <v>1731</v>
      </c>
      <c r="AQ157" s="14" t="s">
        <v>351</v>
      </c>
      <c r="AR157" s="20" t="s">
        <v>246</v>
      </c>
      <c r="AS157" s="20"/>
    </row>
    <row r="158" customFormat="false" ht="60" hidden="false" customHeight="true" outlineLevel="0" collapsed="false">
      <c r="A158" s="14" t="n">
        <v>157</v>
      </c>
      <c r="B158" s="14" t="s">
        <v>247</v>
      </c>
      <c r="C158" s="14" t="s">
        <v>221</v>
      </c>
      <c r="D158" s="14" t="s">
        <v>443</v>
      </c>
      <c r="E158" s="14" t="s">
        <v>36</v>
      </c>
      <c r="F158" s="14" t="s">
        <v>223</v>
      </c>
      <c r="G158" s="14" t="s">
        <v>223</v>
      </c>
      <c r="H158" s="14" t="s">
        <v>224</v>
      </c>
      <c r="I158" s="14" t="s">
        <v>375</v>
      </c>
      <c r="J158" s="14"/>
      <c r="K158" s="14" t="s">
        <v>1732</v>
      </c>
      <c r="L158" s="14" t="s">
        <v>626</v>
      </c>
      <c r="M158" s="15" t="n">
        <v>26100</v>
      </c>
      <c r="N158" s="14" t="s">
        <v>298</v>
      </c>
      <c r="O158" s="14" t="s">
        <v>447</v>
      </c>
      <c r="P158" s="16" t="s">
        <v>1733</v>
      </c>
      <c r="Q158" s="6" t="s">
        <v>1734</v>
      </c>
      <c r="R158" s="6" t="s">
        <v>1735</v>
      </c>
      <c r="S158" s="14" t="s">
        <v>330</v>
      </c>
      <c r="T158" s="14" t="s">
        <v>235</v>
      </c>
      <c r="U158" s="14" t="s">
        <v>236</v>
      </c>
      <c r="V158" s="14" t="s">
        <v>895</v>
      </c>
      <c r="W158" s="14" t="s">
        <v>452</v>
      </c>
      <c r="X158" s="14"/>
      <c r="Y158" s="15" t="n">
        <v>127300</v>
      </c>
      <c r="Z158" s="15"/>
      <c r="AA158" s="14"/>
      <c r="AB158" s="14"/>
      <c r="AC158" s="17"/>
      <c r="AD158" s="18" t="n">
        <v>46.9</v>
      </c>
      <c r="AE158" s="18" t="n">
        <f aca="false">IF(AD158="","",MIN(AD158,100))</f>
        <v>46.9</v>
      </c>
      <c r="AF158" s="14"/>
      <c r="AG158" s="14" t="s">
        <v>224</v>
      </c>
      <c r="AH158" s="14" t="n">
        <v>3</v>
      </c>
      <c r="AI158" s="14" t="s">
        <v>224</v>
      </c>
      <c r="AJ158" s="14" t="s">
        <v>224</v>
      </c>
      <c r="AK158" s="14" t="s">
        <v>240</v>
      </c>
      <c r="AL158" s="19" t="n">
        <f aca="false">ROUND('Start Here'!$B$29*AH158+'Start Here'!$B$30*MIN(IF(AD158="",0,AD158),50)/5+IF(M158&lt;=30000,'Start Here'!$B$31,IF(M158&lt;=60000,'Start Here'!$B$32,0)),1)</f>
        <v>6.3</v>
      </c>
      <c r="AM158" s="6" t="s">
        <v>1736</v>
      </c>
      <c r="AN158" s="6" t="s">
        <v>1737</v>
      </c>
      <c r="AO158" s="6" t="s">
        <v>1738</v>
      </c>
      <c r="AP158" s="14" t="s">
        <v>457</v>
      </c>
      <c r="AQ158" s="14" t="s">
        <v>1249</v>
      </c>
      <c r="AR158" s="20" t="s">
        <v>246</v>
      </c>
      <c r="AS158" s="20"/>
    </row>
    <row r="159" customFormat="false" ht="60" hidden="false" customHeight="true" outlineLevel="0" collapsed="false">
      <c r="A159" s="14" t="n">
        <v>158</v>
      </c>
      <c r="B159" s="14" t="s">
        <v>220</v>
      </c>
      <c r="C159" s="14" t="s">
        <v>221</v>
      </c>
      <c r="D159" s="14" t="s">
        <v>222</v>
      </c>
      <c r="E159" s="14" t="s">
        <v>36</v>
      </c>
      <c r="F159" s="14" t="s">
        <v>223</v>
      </c>
      <c r="G159" s="14" t="s">
        <v>223</v>
      </c>
      <c r="H159" s="14" t="s">
        <v>224</v>
      </c>
      <c r="I159" s="14" t="s">
        <v>225</v>
      </c>
      <c r="J159" s="14" t="s">
        <v>586</v>
      </c>
      <c r="K159" s="14" t="s">
        <v>1739</v>
      </c>
      <c r="L159" s="14" t="s">
        <v>1740</v>
      </c>
      <c r="M159" s="15" t="n">
        <v>8603</v>
      </c>
      <c r="N159" s="14" t="s">
        <v>283</v>
      </c>
      <c r="O159" s="14" t="s">
        <v>1468</v>
      </c>
      <c r="P159" s="16" t="s">
        <v>1741</v>
      </c>
      <c r="Q159" s="6" t="s">
        <v>1742</v>
      </c>
      <c r="R159" s="6" t="s">
        <v>1743</v>
      </c>
      <c r="S159" s="14" t="s">
        <v>513</v>
      </c>
      <c r="T159" s="14" t="s">
        <v>235</v>
      </c>
      <c r="U159" s="14" t="s">
        <v>236</v>
      </c>
      <c r="V159" s="14" t="s">
        <v>237</v>
      </c>
      <c r="W159" s="14" t="s">
        <v>238</v>
      </c>
      <c r="X159" s="14" t="s">
        <v>546</v>
      </c>
      <c r="Y159" s="15" t="n">
        <v>91047</v>
      </c>
      <c r="Z159" s="15" t="n">
        <v>1765</v>
      </c>
      <c r="AA159" s="14" t="n">
        <v>64</v>
      </c>
      <c r="AB159" s="14" t="n">
        <v>99</v>
      </c>
      <c r="AC159" s="17" t="n">
        <v>0.021175876195811</v>
      </c>
      <c r="AD159" s="18" t="n">
        <v>38.34</v>
      </c>
      <c r="AE159" s="18" t="n">
        <f aca="false">IF(AD159="","",MIN(AD159,100))</f>
        <v>38.34</v>
      </c>
      <c r="AF159" s="14" t="n">
        <v>100</v>
      </c>
      <c r="AG159" s="14" t="s">
        <v>224</v>
      </c>
      <c r="AH159" s="14" t="n">
        <v>4</v>
      </c>
      <c r="AI159" s="14" t="s">
        <v>224</v>
      </c>
      <c r="AJ159" s="14" t="s">
        <v>224</v>
      </c>
      <c r="AK159" s="14" t="s">
        <v>240</v>
      </c>
      <c r="AL159" s="19" t="n">
        <f aca="false">ROUND('Start Here'!$B$29*AH159+'Start Here'!$B$30*MIN(IF(AD159="",0,AD159),50)/5+IF(M159&lt;=30000,'Start Here'!$B$31,IF(M159&lt;=60000,'Start Here'!$B$32,0)),1)</f>
        <v>6.3</v>
      </c>
      <c r="AM159" s="6" t="s">
        <v>514</v>
      </c>
      <c r="AN159" s="6" t="s">
        <v>1098</v>
      </c>
      <c r="AO159" s="6" t="s">
        <v>1744</v>
      </c>
      <c r="AP159" s="14" t="s">
        <v>1745</v>
      </c>
      <c r="AQ159" s="14" t="s">
        <v>1120</v>
      </c>
      <c r="AR159" s="20" t="s">
        <v>246</v>
      </c>
      <c r="AS159" s="20"/>
    </row>
    <row r="160" customFormat="false" ht="60" hidden="false" customHeight="true" outlineLevel="0" collapsed="false">
      <c r="A160" s="14" t="n">
        <v>159</v>
      </c>
      <c r="B160" s="14" t="s">
        <v>374</v>
      </c>
      <c r="C160" s="14" t="s">
        <v>221</v>
      </c>
      <c r="D160" s="14" t="s">
        <v>222</v>
      </c>
      <c r="E160" s="14" t="s">
        <v>36</v>
      </c>
      <c r="F160" s="14" t="s">
        <v>223</v>
      </c>
      <c r="G160" s="14" t="s">
        <v>223</v>
      </c>
      <c r="H160" s="14" t="s">
        <v>224</v>
      </c>
      <c r="I160" s="14" t="s">
        <v>264</v>
      </c>
      <c r="J160" s="14" t="s">
        <v>924</v>
      </c>
      <c r="K160" s="14" t="s">
        <v>1746</v>
      </c>
      <c r="L160" s="14" t="s">
        <v>1747</v>
      </c>
      <c r="M160" s="15" t="n">
        <v>18104</v>
      </c>
      <c r="N160" s="14" t="s">
        <v>229</v>
      </c>
      <c r="O160" s="14" t="s">
        <v>1748</v>
      </c>
      <c r="P160" s="16" t="s">
        <v>1749</v>
      </c>
      <c r="Q160" s="6" t="s">
        <v>1750</v>
      </c>
      <c r="R160" s="6" t="s">
        <v>1751</v>
      </c>
      <c r="S160" s="14" t="s">
        <v>255</v>
      </c>
      <c r="T160" s="14" t="s">
        <v>235</v>
      </c>
      <c r="U160" s="14" t="s">
        <v>236</v>
      </c>
      <c r="V160" s="14" t="s">
        <v>237</v>
      </c>
      <c r="W160" s="14" t="s">
        <v>275</v>
      </c>
      <c r="X160" s="14" t="s">
        <v>289</v>
      </c>
      <c r="Y160" s="15"/>
      <c r="Z160" s="15" t="n">
        <v>39</v>
      </c>
      <c r="AA160" s="14" t="n">
        <v>5</v>
      </c>
      <c r="AB160" s="14" t="n">
        <v>1</v>
      </c>
      <c r="AC160" s="17" t="n">
        <v>0.0024856385329209</v>
      </c>
      <c r="AD160" s="18" t="n">
        <v>13</v>
      </c>
      <c r="AE160" s="18" t="n">
        <f aca="false">IF(AD160="","",MIN(AD160,100))</f>
        <v>13</v>
      </c>
      <c r="AF160" s="14" t="n">
        <v>96.9</v>
      </c>
      <c r="AG160" s="14" t="s">
        <v>224</v>
      </c>
      <c r="AH160" s="14" t="n">
        <v>7</v>
      </c>
      <c r="AI160" s="14" t="s">
        <v>224</v>
      </c>
      <c r="AJ160" s="14" t="s">
        <v>224</v>
      </c>
      <c r="AK160" s="14" t="s">
        <v>240</v>
      </c>
      <c r="AL160" s="19" t="n">
        <f aca="false">ROUND('Start Here'!$B$29*AH160+'Start Here'!$B$30*MIN(IF(AD160="",0,AD160),50)/5+IF(M160&lt;=30000,'Start Here'!$B$31,IF(M160&lt;=60000,'Start Here'!$B$32,0)),1)</f>
        <v>6.3</v>
      </c>
      <c r="AM160" s="6" t="s">
        <v>259</v>
      </c>
      <c r="AN160" s="6" t="s">
        <v>1752</v>
      </c>
      <c r="AO160" s="6" t="s">
        <v>1753</v>
      </c>
      <c r="AP160" s="14" t="s">
        <v>1754</v>
      </c>
      <c r="AQ160" s="14" t="s">
        <v>351</v>
      </c>
      <c r="AR160" s="20" t="s">
        <v>246</v>
      </c>
      <c r="AS160" s="20"/>
    </row>
    <row r="161" customFormat="false" ht="60" hidden="false" customHeight="true" outlineLevel="0" collapsed="false">
      <c r="A161" s="14" t="n">
        <v>160</v>
      </c>
      <c r="B161" s="14" t="s">
        <v>247</v>
      </c>
      <c r="C161" s="14" t="s">
        <v>221</v>
      </c>
      <c r="D161" s="14" t="s">
        <v>443</v>
      </c>
      <c r="E161" s="14" t="s">
        <v>36</v>
      </c>
      <c r="F161" s="14" t="s">
        <v>223</v>
      </c>
      <c r="G161" s="14" t="s">
        <v>223</v>
      </c>
      <c r="H161" s="14" t="s">
        <v>224</v>
      </c>
      <c r="I161" s="14" t="s">
        <v>225</v>
      </c>
      <c r="J161" s="14" t="s">
        <v>1755</v>
      </c>
      <c r="K161" s="14" t="s">
        <v>1756</v>
      </c>
      <c r="L161" s="14" t="s">
        <v>1757</v>
      </c>
      <c r="M161" s="15" t="n">
        <v>17700</v>
      </c>
      <c r="N161" s="14" t="s">
        <v>229</v>
      </c>
      <c r="O161" s="14" t="s">
        <v>447</v>
      </c>
      <c r="P161" s="16" t="s">
        <v>1758</v>
      </c>
      <c r="Q161" s="6" t="s">
        <v>1759</v>
      </c>
      <c r="R161" s="6" t="s">
        <v>1760</v>
      </c>
      <c r="S161" s="14" t="s">
        <v>255</v>
      </c>
      <c r="T161" s="14" t="s">
        <v>273</v>
      </c>
      <c r="U161" s="14" t="s">
        <v>274</v>
      </c>
      <c r="V161" s="14" t="s">
        <v>1761</v>
      </c>
      <c r="W161" s="14" t="s">
        <v>452</v>
      </c>
      <c r="X161" s="14"/>
      <c r="Y161" s="15" t="n">
        <v>59300</v>
      </c>
      <c r="Z161" s="15"/>
      <c r="AA161" s="14"/>
      <c r="AB161" s="14"/>
      <c r="AC161" s="17"/>
      <c r="AD161" s="18" t="n">
        <v>21.3</v>
      </c>
      <c r="AE161" s="18" t="n">
        <f aca="false">IF(AD161="","",MIN(AD161,100))</f>
        <v>21.3</v>
      </c>
      <c r="AF161" s="14"/>
      <c r="AG161" s="14" t="s">
        <v>224</v>
      </c>
      <c r="AH161" s="14" t="n">
        <v>6</v>
      </c>
      <c r="AI161" s="14" t="s">
        <v>224</v>
      </c>
      <c r="AJ161" s="14" t="s">
        <v>224</v>
      </c>
      <c r="AK161" s="14" t="s">
        <v>240</v>
      </c>
      <c r="AL161" s="19" t="n">
        <f aca="false">ROUND('Start Here'!$B$29*AH161+'Start Here'!$B$30*MIN(IF(AD161="",0,AD161),50)/5+IF(M161&lt;=30000,'Start Here'!$B$31,IF(M161&lt;=60000,'Start Here'!$B$32,0)),1)</f>
        <v>6.3</v>
      </c>
      <c r="AM161" s="6" t="s">
        <v>1762</v>
      </c>
      <c r="AN161" s="6" t="s">
        <v>260</v>
      </c>
      <c r="AO161" s="6" t="s">
        <v>1763</v>
      </c>
      <c r="AP161" s="14" t="s">
        <v>1385</v>
      </c>
      <c r="AQ161" s="14" t="s">
        <v>1386</v>
      </c>
      <c r="AR161" s="20" t="s">
        <v>246</v>
      </c>
      <c r="AS161" s="20"/>
    </row>
    <row r="162" customFormat="false" ht="60" hidden="false" customHeight="true" outlineLevel="0" collapsed="false">
      <c r="A162" s="14" t="n">
        <v>161</v>
      </c>
      <c r="B162" s="14" t="s">
        <v>374</v>
      </c>
      <c r="C162" s="14" t="s">
        <v>221</v>
      </c>
      <c r="D162" s="14" t="s">
        <v>222</v>
      </c>
      <c r="E162" s="14" t="s">
        <v>38</v>
      </c>
      <c r="F162" s="14" t="s">
        <v>224</v>
      </c>
      <c r="G162" s="14" t="s">
        <v>224</v>
      </c>
      <c r="H162" s="14" t="s">
        <v>223</v>
      </c>
      <c r="I162" s="14" t="s">
        <v>264</v>
      </c>
      <c r="J162" s="14" t="s">
        <v>1764</v>
      </c>
      <c r="K162" s="14" t="s">
        <v>1765</v>
      </c>
      <c r="L162" s="14" t="s">
        <v>1766</v>
      </c>
      <c r="M162" s="15" t="n">
        <v>45929</v>
      </c>
      <c r="N162" s="14" t="s">
        <v>462</v>
      </c>
      <c r="O162" s="14" t="s">
        <v>1039</v>
      </c>
      <c r="P162" s="16" t="s">
        <v>1767</v>
      </c>
      <c r="Q162" s="6" t="s">
        <v>1768</v>
      </c>
      <c r="R162" s="6" t="s">
        <v>1769</v>
      </c>
      <c r="S162" s="14" t="s">
        <v>513</v>
      </c>
      <c r="T162" s="14" t="s">
        <v>235</v>
      </c>
      <c r="U162" s="14" t="s">
        <v>236</v>
      </c>
      <c r="V162" s="14" t="s">
        <v>331</v>
      </c>
      <c r="W162" s="14" t="s">
        <v>238</v>
      </c>
      <c r="X162" s="14" t="s">
        <v>258</v>
      </c>
      <c r="Y162" s="15"/>
      <c r="Z162" s="15" t="n">
        <v>1647</v>
      </c>
      <c r="AA162" s="14" t="n">
        <v>179</v>
      </c>
      <c r="AB162" s="14" t="n">
        <v>177</v>
      </c>
      <c r="AC162" s="17" t="n">
        <v>0.0448630367101933</v>
      </c>
      <c r="AD162" s="18" t="n">
        <v>4.53</v>
      </c>
      <c r="AE162" s="18" t="n">
        <f aca="false">IF(AD162="","",MIN(AD162,100))</f>
        <v>4.53</v>
      </c>
      <c r="AF162" s="14" t="n">
        <v>97.8</v>
      </c>
      <c r="AG162" s="14" t="s">
        <v>224</v>
      </c>
      <c r="AH162" s="14" t="n">
        <v>10</v>
      </c>
      <c r="AI162" s="14" t="s">
        <v>224</v>
      </c>
      <c r="AJ162" s="14" t="s">
        <v>224</v>
      </c>
      <c r="AK162" s="14" t="s">
        <v>240</v>
      </c>
      <c r="AL162" s="19" t="n">
        <f aca="false">ROUND('Start Here'!$B$29*AH162+'Start Here'!$B$30*MIN(IF(AD162="",0,AD162),50)/5+IF(M162&lt;=30000,'Start Here'!$B$31,IF(M162&lt;=60000,'Start Here'!$B$32,0)),1)</f>
        <v>6.3</v>
      </c>
      <c r="AM162" s="6" t="s">
        <v>789</v>
      </c>
      <c r="AN162" s="6" t="s">
        <v>1362</v>
      </c>
      <c r="AO162" s="6" t="s">
        <v>1770</v>
      </c>
      <c r="AP162" s="14" t="s">
        <v>1771</v>
      </c>
      <c r="AQ162" s="14" t="s">
        <v>718</v>
      </c>
      <c r="AR162" s="20" t="s">
        <v>246</v>
      </c>
      <c r="AS162" s="20"/>
    </row>
    <row r="163" customFormat="false" ht="60" hidden="false" customHeight="true" outlineLevel="0" collapsed="false">
      <c r="A163" s="14" t="n">
        <v>162</v>
      </c>
      <c r="B163" s="14" t="s">
        <v>374</v>
      </c>
      <c r="C163" s="14" t="s">
        <v>221</v>
      </c>
      <c r="D163" s="14" t="s">
        <v>222</v>
      </c>
      <c r="E163" s="14" t="s">
        <v>34</v>
      </c>
      <c r="F163" s="14" t="s">
        <v>223</v>
      </c>
      <c r="G163" s="14" t="s">
        <v>224</v>
      </c>
      <c r="H163" s="14" t="s">
        <v>223</v>
      </c>
      <c r="I163" s="14" t="s">
        <v>308</v>
      </c>
      <c r="J163" s="14" t="s">
        <v>1772</v>
      </c>
      <c r="K163" s="14" t="s">
        <v>1773</v>
      </c>
      <c r="L163" s="14" t="s">
        <v>1774</v>
      </c>
      <c r="M163" s="15" t="n">
        <v>52450</v>
      </c>
      <c r="N163" s="14" t="s">
        <v>400</v>
      </c>
      <c r="O163" s="14" t="s">
        <v>1074</v>
      </c>
      <c r="P163" s="16" t="s">
        <v>1775</v>
      </c>
      <c r="Q163" s="6" t="s">
        <v>1776</v>
      </c>
      <c r="R163" s="6" t="s">
        <v>1777</v>
      </c>
      <c r="S163" s="14" t="s">
        <v>234</v>
      </c>
      <c r="T163" s="14" t="s">
        <v>235</v>
      </c>
      <c r="U163" s="14" t="s">
        <v>236</v>
      </c>
      <c r="V163" s="14" t="s">
        <v>331</v>
      </c>
      <c r="W163" s="14" t="s">
        <v>238</v>
      </c>
      <c r="X163" s="14" t="s">
        <v>333</v>
      </c>
      <c r="Y163" s="15"/>
      <c r="Z163" s="15" t="n">
        <v>6406</v>
      </c>
      <c r="AA163" s="14" t="n">
        <v>309</v>
      </c>
      <c r="AB163" s="14" t="n">
        <v>519</v>
      </c>
      <c r="AC163" s="17" t="n">
        <v>0.139773934885518</v>
      </c>
      <c r="AD163" s="18" t="n">
        <v>54.36</v>
      </c>
      <c r="AE163" s="18" t="n">
        <f aca="false">IF(AD163="","",MIN(AD163,100))</f>
        <v>54.36</v>
      </c>
      <c r="AF163" s="14" t="n">
        <v>99.8</v>
      </c>
      <c r="AG163" s="14" t="s">
        <v>224</v>
      </c>
      <c r="AH163" s="14" t="n">
        <v>4.5</v>
      </c>
      <c r="AI163" s="14" t="s">
        <v>224</v>
      </c>
      <c r="AJ163" s="14" t="s">
        <v>223</v>
      </c>
      <c r="AK163" s="14" t="s">
        <v>490</v>
      </c>
      <c r="AL163" s="19" t="n">
        <f aca="false">ROUND('Start Here'!$B$29*AH163+'Start Here'!$B$30*MIN(IF(AD163="",0,AD163),50)/5+IF(M163&lt;=30000,'Start Here'!$B$31,IF(M163&lt;=60000,'Start Here'!$B$32,0)),1)</f>
        <v>6.3</v>
      </c>
      <c r="AM163" s="6" t="s">
        <v>503</v>
      </c>
      <c r="AN163" s="6" t="s">
        <v>1778</v>
      </c>
      <c r="AO163" s="6" t="s">
        <v>1779</v>
      </c>
      <c r="AP163" s="14" t="s">
        <v>1780</v>
      </c>
      <c r="AQ163" s="14" t="s">
        <v>677</v>
      </c>
      <c r="AR163" s="20" t="s">
        <v>246</v>
      </c>
      <c r="AS163" s="20"/>
    </row>
    <row r="164" customFormat="false" ht="60" hidden="false" customHeight="true" outlineLevel="0" collapsed="false">
      <c r="A164" s="14" t="n">
        <v>163</v>
      </c>
      <c r="B164" s="14" t="s">
        <v>374</v>
      </c>
      <c r="C164" s="14" t="s">
        <v>221</v>
      </c>
      <c r="D164" s="14" t="s">
        <v>222</v>
      </c>
      <c r="E164" s="14" t="s">
        <v>36</v>
      </c>
      <c r="F164" s="14" t="s">
        <v>223</v>
      </c>
      <c r="G164" s="14" t="s">
        <v>223</v>
      </c>
      <c r="H164" s="14" t="s">
        <v>224</v>
      </c>
      <c r="I164" s="14" t="s">
        <v>322</v>
      </c>
      <c r="J164" s="14" t="s">
        <v>636</v>
      </c>
      <c r="K164" s="14" t="s">
        <v>1781</v>
      </c>
      <c r="L164" s="14" t="s">
        <v>1782</v>
      </c>
      <c r="M164" s="15" t="n">
        <v>21167</v>
      </c>
      <c r="N164" s="14" t="s">
        <v>298</v>
      </c>
      <c r="O164" s="14" t="s">
        <v>1783</v>
      </c>
      <c r="P164" s="16" t="s">
        <v>1784</v>
      </c>
      <c r="Q164" s="6" t="s">
        <v>1785</v>
      </c>
      <c r="R164" s="6" t="s">
        <v>1786</v>
      </c>
      <c r="S164" s="14" t="s">
        <v>1495</v>
      </c>
      <c r="T164" s="14" t="s">
        <v>235</v>
      </c>
      <c r="U164" s="14" t="s">
        <v>236</v>
      </c>
      <c r="V164" s="14" t="s">
        <v>383</v>
      </c>
      <c r="W164" s="14"/>
      <c r="X164" s="14"/>
      <c r="Y164" s="15"/>
      <c r="Z164" s="15" t="n">
        <v>870</v>
      </c>
      <c r="AA164" s="14" t="n">
        <v>197</v>
      </c>
      <c r="AB164" s="14" t="n">
        <v>6</v>
      </c>
      <c r="AC164" s="17" t="n">
        <v>0.0506921150848018</v>
      </c>
      <c r="AD164" s="18" t="n">
        <v>19.77</v>
      </c>
      <c r="AE164" s="18" t="n">
        <f aca="false">IF(AD164="","",MIN(AD164,100))</f>
        <v>19.77</v>
      </c>
      <c r="AF164" s="14" t="n">
        <v>99.4</v>
      </c>
      <c r="AG164" s="14" t="s">
        <v>224</v>
      </c>
      <c r="AH164" s="14" t="n">
        <v>6</v>
      </c>
      <c r="AI164" s="14" t="s">
        <v>224</v>
      </c>
      <c r="AJ164" s="14" t="s">
        <v>224</v>
      </c>
      <c r="AK164" s="14" t="s">
        <v>240</v>
      </c>
      <c r="AL164" s="19" t="n">
        <f aca="false">ROUND('Start Here'!$B$29*AH164+'Start Here'!$B$30*MIN(IF(AD164="",0,AD164),50)/5+IF(M164&lt;=30000,'Start Here'!$B$31,IF(M164&lt;=60000,'Start Here'!$B$32,0)),1)</f>
        <v>6.2</v>
      </c>
      <c r="AM164" s="6" t="s">
        <v>1787</v>
      </c>
      <c r="AN164" s="6" t="s">
        <v>1788</v>
      </c>
      <c r="AO164" s="6"/>
      <c r="AP164" s="14"/>
      <c r="AQ164" s="14" t="s">
        <v>1789</v>
      </c>
      <c r="AR164" s="20" t="s">
        <v>246</v>
      </c>
      <c r="AS164" s="20"/>
    </row>
    <row r="165" customFormat="false" ht="60" hidden="false" customHeight="true" outlineLevel="0" collapsed="false">
      <c r="A165" s="14" t="n">
        <v>164</v>
      </c>
      <c r="B165" s="14" t="s">
        <v>220</v>
      </c>
      <c r="C165" s="14" t="s">
        <v>221</v>
      </c>
      <c r="D165" s="14" t="s">
        <v>222</v>
      </c>
      <c r="E165" s="14" t="s">
        <v>40</v>
      </c>
      <c r="F165" s="14" t="s">
        <v>224</v>
      </c>
      <c r="G165" s="14" t="s">
        <v>224</v>
      </c>
      <c r="H165" s="14" t="s">
        <v>224</v>
      </c>
      <c r="I165" s="14" t="s">
        <v>375</v>
      </c>
      <c r="J165" s="14" t="s">
        <v>1790</v>
      </c>
      <c r="K165" s="14" t="s">
        <v>1092</v>
      </c>
      <c r="L165" s="14" t="s">
        <v>1093</v>
      </c>
      <c r="M165" s="15" t="n">
        <v>17119</v>
      </c>
      <c r="N165" s="14" t="s">
        <v>229</v>
      </c>
      <c r="O165" s="14" t="s">
        <v>1791</v>
      </c>
      <c r="P165" s="16" t="s">
        <v>1792</v>
      </c>
      <c r="Q165" s="6" t="s">
        <v>1793</v>
      </c>
      <c r="R165" s="6" t="s">
        <v>1794</v>
      </c>
      <c r="S165" s="14" t="s">
        <v>685</v>
      </c>
      <c r="T165" s="14" t="s">
        <v>235</v>
      </c>
      <c r="U165" s="14" t="s">
        <v>686</v>
      </c>
      <c r="V165" s="14" t="s">
        <v>237</v>
      </c>
      <c r="W165" s="14" t="s">
        <v>238</v>
      </c>
      <c r="X165" s="14" t="s">
        <v>688</v>
      </c>
      <c r="Y165" s="15" t="n">
        <v>11883</v>
      </c>
      <c r="Z165" s="15" t="n">
        <v>111</v>
      </c>
      <c r="AA165" s="14" t="n">
        <v>1</v>
      </c>
      <c r="AB165" s="14" t="n">
        <v>13</v>
      </c>
      <c r="AC165" s="17" t="n">
        <v>0.0105192291508878</v>
      </c>
      <c r="AD165" s="18" t="n">
        <v>2.85</v>
      </c>
      <c r="AE165" s="18" t="n">
        <f aca="false">IF(AD165="","",MIN(AD165,100))</f>
        <v>2.85</v>
      </c>
      <c r="AF165" s="14" t="n">
        <v>86</v>
      </c>
      <c r="AG165" s="14" t="s">
        <v>224</v>
      </c>
      <c r="AH165" s="14" t="n">
        <v>8</v>
      </c>
      <c r="AI165" s="14" t="s">
        <v>224</v>
      </c>
      <c r="AJ165" s="14" t="s">
        <v>224</v>
      </c>
      <c r="AK165" s="14" t="s">
        <v>240</v>
      </c>
      <c r="AL165" s="19" t="n">
        <f aca="false">ROUND('Start Here'!$B$29*AH165+'Start Here'!$B$30*MIN(IF(AD165="",0,AD165),50)/5+IF(M165&lt;=30000,'Start Here'!$B$31,IF(M165&lt;=60000,'Start Here'!$B$32,0)),1)</f>
        <v>6.2</v>
      </c>
      <c r="AM165" s="6" t="s">
        <v>1795</v>
      </c>
      <c r="AN165" s="6" t="s">
        <v>1796</v>
      </c>
      <c r="AO165" s="6" t="s">
        <v>1797</v>
      </c>
      <c r="AP165" s="14" t="s">
        <v>1798</v>
      </c>
      <c r="AQ165" s="14" t="s">
        <v>263</v>
      </c>
      <c r="AR165" s="20" t="s">
        <v>246</v>
      </c>
      <c r="AS165" s="20"/>
    </row>
    <row r="166" customFormat="false" ht="60" hidden="false" customHeight="true" outlineLevel="0" collapsed="false">
      <c r="A166" s="14" t="n">
        <v>165</v>
      </c>
      <c r="B166" s="14" t="s">
        <v>247</v>
      </c>
      <c r="C166" s="14" t="s">
        <v>221</v>
      </c>
      <c r="D166" s="14" t="s">
        <v>222</v>
      </c>
      <c r="E166" s="14" t="s">
        <v>36</v>
      </c>
      <c r="F166" s="14" t="s">
        <v>223</v>
      </c>
      <c r="G166" s="14" t="s">
        <v>223</v>
      </c>
      <c r="H166" s="14" t="s">
        <v>224</v>
      </c>
      <c r="I166" s="14" t="s">
        <v>586</v>
      </c>
      <c r="J166" s="14" t="s">
        <v>878</v>
      </c>
      <c r="K166" s="14" t="s">
        <v>1799</v>
      </c>
      <c r="L166" s="14" t="s">
        <v>1800</v>
      </c>
      <c r="M166" s="15" t="n">
        <v>17479</v>
      </c>
      <c r="N166" s="14" t="s">
        <v>229</v>
      </c>
      <c r="O166" s="14" t="s">
        <v>1030</v>
      </c>
      <c r="P166" s="16" t="s">
        <v>1801</v>
      </c>
      <c r="Q166" s="6" t="s">
        <v>1802</v>
      </c>
      <c r="R166" s="6" t="s">
        <v>1803</v>
      </c>
      <c r="S166" s="14" t="s">
        <v>255</v>
      </c>
      <c r="T166" s="14" t="s">
        <v>235</v>
      </c>
      <c r="U166" s="14" t="s">
        <v>236</v>
      </c>
      <c r="V166" s="14" t="s">
        <v>288</v>
      </c>
      <c r="W166" s="14" t="s">
        <v>257</v>
      </c>
      <c r="X166" s="14" t="s">
        <v>258</v>
      </c>
      <c r="Y166" s="15" t="n">
        <v>43833</v>
      </c>
      <c r="Z166" s="15" t="n">
        <v>1048</v>
      </c>
      <c r="AA166" s="14" t="n">
        <v>33</v>
      </c>
      <c r="AB166" s="14"/>
      <c r="AC166" s="17" t="n">
        <v>0.0246617845002624</v>
      </c>
      <c r="AD166" s="18" t="n">
        <v>11.15</v>
      </c>
      <c r="AE166" s="18" t="n">
        <f aca="false">IF(AD166="","",MIN(AD166,100))</f>
        <v>11.15</v>
      </c>
      <c r="AF166" s="14" t="n">
        <v>92.5</v>
      </c>
      <c r="AG166" s="14" t="s">
        <v>224</v>
      </c>
      <c r="AH166" s="14" t="n">
        <v>7</v>
      </c>
      <c r="AI166" s="14" t="s">
        <v>224</v>
      </c>
      <c r="AJ166" s="14" t="s">
        <v>224</v>
      </c>
      <c r="AK166" s="14" t="s">
        <v>240</v>
      </c>
      <c r="AL166" s="19" t="n">
        <f aca="false">ROUND('Start Here'!$B$29*AH166+'Start Here'!$B$30*MIN(IF(AD166="",0,AD166),50)/5+IF(M166&lt;=30000,'Start Here'!$B$31,IF(M166&lt;=60000,'Start Here'!$B$32,0)),1)</f>
        <v>6.2</v>
      </c>
      <c r="AM166" s="6" t="s">
        <v>259</v>
      </c>
      <c r="AN166" s="6" t="s">
        <v>1804</v>
      </c>
      <c r="AO166" s="6" t="s">
        <v>1805</v>
      </c>
      <c r="AP166" s="14" t="s">
        <v>1806</v>
      </c>
      <c r="AQ166" s="14" t="s">
        <v>431</v>
      </c>
      <c r="AR166" s="20" t="s">
        <v>246</v>
      </c>
      <c r="AS166" s="20"/>
    </row>
    <row r="167" customFormat="false" ht="60" hidden="false" customHeight="true" outlineLevel="0" collapsed="false">
      <c r="A167" s="14" t="n">
        <v>166</v>
      </c>
      <c r="B167" s="14" t="s">
        <v>374</v>
      </c>
      <c r="C167" s="14" t="s">
        <v>221</v>
      </c>
      <c r="D167" s="14" t="s">
        <v>222</v>
      </c>
      <c r="E167" s="14" t="s">
        <v>40</v>
      </c>
      <c r="F167" s="14" t="s">
        <v>224</v>
      </c>
      <c r="G167" s="14" t="s">
        <v>224</v>
      </c>
      <c r="H167" s="14" t="s">
        <v>224</v>
      </c>
      <c r="I167" s="14" t="s">
        <v>586</v>
      </c>
      <c r="J167" s="14" t="s">
        <v>1807</v>
      </c>
      <c r="K167" s="14" t="s">
        <v>1808</v>
      </c>
      <c r="L167" s="14" t="s">
        <v>1809</v>
      </c>
      <c r="M167" s="15" t="n">
        <v>47915</v>
      </c>
      <c r="N167" s="14" t="s">
        <v>462</v>
      </c>
      <c r="O167" s="14" t="s">
        <v>1810</v>
      </c>
      <c r="P167" s="16" t="s">
        <v>1811</v>
      </c>
      <c r="Q167" s="6" t="s">
        <v>1812</v>
      </c>
      <c r="R167" s="6" t="s">
        <v>1813</v>
      </c>
      <c r="S167" s="14" t="s">
        <v>330</v>
      </c>
      <c r="T167" s="14" t="s">
        <v>235</v>
      </c>
      <c r="U167" s="14" t="s">
        <v>236</v>
      </c>
      <c r="V167" s="14" t="s">
        <v>331</v>
      </c>
      <c r="W167" s="14" t="s">
        <v>257</v>
      </c>
      <c r="X167" s="14" t="s">
        <v>258</v>
      </c>
      <c r="Y167" s="15"/>
      <c r="Z167" s="15" t="n">
        <v>937</v>
      </c>
      <c r="AA167" s="14" t="n">
        <v>294</v>
      </c>
      <c r="AB167" s="14" t="n">
        <v>34</v>
      </c>
      <c r="AC167" s="17" t="n">
        <v>0.0301938132518618</v>
      </c>
      <c r="AD167" s="18" t="n">
        <v>2.55</v>
      </c>
      <c r="AE167" s="18" t="n">
        <f aca="false">IF(AD167="","",MIN(AD167,100))</f>
        <v>2.55</v>
      </c>
      <c r="AF167" s="14" t="n">
        <v>98.7</v>
      </c>
      <c r="AG167" s="14" t="s">
        <v>224</v>
      </c>
      <c r="AH167" s="14" t="n">
        <v>10</v>
      </c>
      <c r="AI167" s="14" t="s">
        <v>224</v>
      </c>
      <c r="AJ167" s="14" t="s">
        <v>224</v>
      </c>
      <c r="AK167" s="14" t="s">
        <v>240</v>
      </c>
      <c r="AL167" s="19" t="n">
        <f aca="false">ROUND('Start Here'!$B$29*AH167+'Start Here'!$B$30*MIN(IF(AD167="",0,AD167),50)/5+IF(M167&lt;=30000,'Start Here'!$B$31,IF(M167&lt;=60000,'Start Here'!$B$32,0)),1)</f>
        <v>6.2</v>
      </c>
      <c r="AM167" s="6" t="s">
        <v>1814</v>
      </c>
      <c r="AN167" s="6" t="s">
        <v>1815</v>
      </c>
      <c r="AO167" s="6" t="s">
        <v>1816</v>
      </c>
      <c r="AP167" s="14" t="s">
        <v>1817</v>
      </c>
      <c r="AQ167" s="14" t="s">
        <v>1120</v>
      </c>
      <c r="AR167" s="20" t="s">
        <v>246</v>
      </c>
      <c r="AS167" s="20"/>
    </row>
    <row r="168" customFormat="false" ht="60" hidden="false" customHeight="true" outlineLevel="0" collapsed="false">
      <c r="A168" s="14" t="n">
        <v>167</v>
      </c>
      <c r="B168" s="14" t="s">
        <v>220</v>
      </c>
      <c r="C168" s="14" t="s">
        <v>221</v>
      </c>
      <c r="D168" s="14" t="s">
        <v>222</v>
      </c>
      <c r="E168" s="14" t="s">
        <v>34</v>
      </c>
      <c r="F168" s="14" t="s">
        <v>223</v>
      </c>
      <c r="G168" s="14" t="s">
        <v>224</v>
      </c>
      <c r="H168" s="14" t="s">
        <v>224</v>
      </c>
      <c r="I168" s="14" t="s">
        <v>225</v>
      </c>
      <c r="J168" s="14" t="s">
        <v>1818</v>
      </c>
      <c r="K168" s="14" t="s">
        <v>1819</v>
      </c>
      <c r="L168" s="14" t="s">
        <v>1820</v>
      </c>
      <c r="M168" s="15" t="n">
        <v>45971</v>
      </c>
      <c r="N168" s="14" t="s">
        <v>462</v>
      </c>
      <c r="O168" s="14" t="s">
        <v>1156</v>
      </c>
      <c r="P168" s="16" t="s">
        <v>1821</v>
      </c>
      <c r="Q168" s="6" t="s">
        <v>1822</v>
      </c>
      <c r="R168" s="6" t="s">
        <v>1823</v>
      </c>
      <c r="S168" s="14" t="s">
        <v>330</v>
      </c>
      <c r="T168" s="14" t="s">
        <v>235</v>
      </c>
      <c r="U168" s="14" t="s">
        <v>236</v>
      </c>
      <c r="V168" s="14" t="s">
        <v>331</v>
      </c>
      <c r="W168" s="14" t="s">
        <v>275</v>
      </c>
      <c r="X168" s="14" t="s">
        <v>239</v>
      </c>
      <c r="Y168" s="15" t="n">
        <v>79233</v>
      </c>
      <c r="Z168" s="15" t="n">
        <v>1104</v>
      </c>
      <c r="AA168" s="14" t="n">
        <v>553</v>
      </c>
      <c r="AB168" s="14" t="n">
        <v>114</v>
      </c>
      <c r="AC168" s="17" t="n">
        <v>0.022351797862002</v>
      </c>
      <c r="AD168" s="18" t="n">
        <v>68</v>
      </c>
      <c r="AE168" s="18" t="n">
        <f aca="false">IF(AD168="","",MIN(AD168,100))</f>
        <v>68</v>
      </c>
      <c r="AF168" s="14" t="n">
        <v>98.4</v>
      </c>
      <c r="AG168" s="14" t="s">
        <v>224</v>
      </c>
      <c r="AH168" s="14" t="n">
        <v>4.1</v>
      </c>
      <c r="AI168" s="14" t="s">
        <v>223</v>
      </c>
      <c r="AJ168" s="14" t="s">
        <v>223</v>
      </c>
      <c r="AK168" s="14" t="s">
        <v>490</v>
      </c>
      <c r="AL168" s="19" t="n">
        <f aca="false">ROUND('Start Here'!$B$29*AH168+'Start Here'!$B$30*MIN(IF(AD168="",0,AD168),50)/5+IF(M168&lt;=30000,'Start Here'!$B$31,IF(M168&lt;=60000,'Start Here'!$B$32,0)),1)</f>
        <v>6.1</v>
      </c>
      <c r="AM168" s="6" t="s">
        <v>1824</v>
      </c>
      <c r="AN168" s="6" t="s">
        <v>654</v>
      </c>
      <c r="AO168" s="6" t="s">
        <v>1825</v>
      </c>
      <c r="AP168" s="14" t="s">
        <v>1826</v>
      </c>
      <c r="AQ168" s="14" t="s">
        <v>495</v>
      </c>
      <c r="AR168" s="20" t="s">
        <v>246</v>
      </c>
      <c r="AS168" s="20"/>
    </row>
    <row r="169" customFormat="false" ht="60" hidden="false" customHeight="true" outlineLevel="0" collapsed="false">
      <c r="A169" s="14" t="n">
        <v>168</v>
      </c>
      <c r="B169" s="14" t="s">
        <v>220</v>
      </c>
      <c r="C169" s="14" t="s">
        <v>221</v>
      </c>
      <c r="D169" s="14" t="s">
        <v>222</v>
      </c>
      <c r="E169" s="14" t="s">
        <v>34</v>
      </c>
      <c r="F169" s="14" t="s">
        <v>223</v>
      </c>
      <c r="G169" s="14" t="s">
        <v>224</v>
      </c>
      <c r="H169" s="14" t="s">
        <v>224</v>
      </c>
      <c r="I169" s="14" t="s">
        <v>338</v>
      </c>
      <c r="J169" s="14" t="s">
        <v>308</v>
      </c>
      <c r="K169" s="14" t="s">
        <v>1827</v>
      </c>
      <c r="L169" s="14" t="s">
        <v>1828</v>
      </c>
      <c r="M169" s="15" t="n">
        <v>31879</v>
      </c>
      <c r="N169" s="14" t="s">
        <v>462</v>
      </c>
      <c r="O169" s="14" t="s">
        <v>1829</v>
      </c>
      <c r="P169" s="16" t="s">
        <v>1830</v>
      </c>
      <c r="Q169" s="6" t="s">
        <v>1831</v>
      </c>
      <c r="R169" s="6" t="s">
        <v>1831</v>
      </c>
      <c r="S169" s="14" t="s">
        <v>255</v>
      </c>
      <c r="T169" s="14" t="s">
        <v>673</v>
      </c>
      <c r="U169" s="14" t="s">
        <v>236</v>
      </c>
      <c r="V169" s="14" t="s">
        <v>288</v>
      </c>
      <c r="W169" s="14" t="s">
        <v>257</v>
      </c>
      <c r="X169" s="14" t="s">
        <v>258</v>
      </c>
      <c r="Y169" s="15" t="n">
        <v>53378</v>
      </c>
      <c r="Z169" s="15" t="n">
        <v>1617</v>
      </c>
      <c r="AA169" s="14" t="n">
        <v>8</v>
      </c>
      <c r="AB169" s="14" t="n">
        <v>64</v>
      </c>
      <c r="AC169" s="17" t="n">
        <v>0.0316422496159467</v>
      </c>
      <c r="AD169" s="18" t="n">
        <v>72.51</v>
      </c>
      <c r="AE169" s="18" t="n">
        <f aca="false">IF(AD169="","",MIN(AD169,100))</f>
        <v>72.51</v>
      </c>
      <c r="AF169" s="14" t="n">
        <v>83.9</v>
      </c>
      <c r="AG169" s="14" t="s">
        <v>224</v>
      </c>
      <c r="AH169" s="14" t="n">
        <v>4</v>
      </c>
      <c r="AI169" s="14" t="s">
        <v>224</v>
      </c>
      <c r="AJ169" s="14" t="s">
        <v>224</v>
      </c>
      <c r="AK169" s="14" t="s">
        <v>240</v>
      </c>
      <c r="AL169" s="19" t="n">
        <f aca="false">ROUND('Start Here'!$B$29*AH169+'Start Here'!$B$30*MIN(IF(AD169="",0,AD169),50)/5+IF(M169&lt;=30000,'Start Here'!$B$31,IF(M169&lt;=60000,'Start Here'!$B$32,0)),1)</f>
        <v>6</v>
      </c>
      <c r="AM169" s="6" t="s">
        <v>534</v>
      </c>
      <c r="AN169" s="6" t="s">
        <v>1832</v>
      </c>
      <c r="AO169" s="6" t="s">
        <v>1833</v>
      </c>
      <c r="AP169" s="14" t="s">
        <v>1834</v>
      </c>
      <c r="AQ169" s="14" t="s">
        <v>538</v>
      </c>
      <c r="AR169" s="20" t="s">
        <v>246</v>
      </c>
      <c r="AS169" s="20"/>
    </row>
    <row r="170" customFormat="false" ht="60" hidden="false" customHeight="true" outlineLevel="0" collapsed="false">
      <c r="A170" s="14" t="n">
        <v>169</v>
      </c>
      <c r="B170" s="14" t="s">
        <v>247</v>
      </c>
      <c r="C170" s="14" t="s">
        <v>221</v>
      </c>
      <c r="D170" s="14" t="s">
        <v>222</v>
      </c>
      <c r="E170" s="14" t="s">
        <v>34</v>
      </c>
      <c r="F170" s="14" t="s">
        <v>223</v>
      </c>
      <c r="G170" s="14" t="s">
        <v>224</v>
      </c>
      <c r="H170" s="14" t="s">
        <v>224</v>
      </c>
      <c r="I170" s="14" t="s">
        <v>322</v>
      </c>
      <c r="J170" s="14" t="s">
        <v>1835</v>
      </c>
      <c r="K170" s="14" t="s">
        <v>1836</v>
      </c>
      <c r="L170" s="14" t="s">
        <v>1837</v>
      </c>
      <c r="M170" s="15" t="n">
        <v>30874</v>
      </c>
      <c r="N170" s="14" t="s">
        <v>462</v>
      </c>
      <c r="O170" s="14" t="s">
        <v>1838</v>
      </c>
      <c r="P170" s="16" t="s">
        <v>1839</v>
      </c>
      <c r="Q170" s="6" t="s">
        <v>1840</v>
      </c>
      <c r="R170" s="6" t="s">
        <v>1841</v>
      </c>
      <c r="S170" s="14" t="s">
        <v>255</v>
      </c>
      <c r="T170" s="14" t="s">
        <v>235</v>
      </c>
      <c r="U170" s="14" t="s">
        <v>236</v>
      </c>
      <c r="V170" s="14" t="s">
        <v>810</v>
      </c>
      <c r="W170" s="14"/>
      <c r="X170" s="14"/>
      <c r="Y170" s="15" t="n">
        <v>465963</v>
      </c>
      <c r="Z170" s="15" t="n">
        <v>9445</v>
      </c>
      <c r="AA170" s="14" t="n">
        <v>144</v>
      </c>
      <c r="AB170" s="14"/>
      <c r="AC170" s="17" t="n">
        <v>0.0205788871648607</v>
      </c>
      <c r="AD170" s="18" t="n">
        <v>82.03</v>
      </c>
      <c r="AE170" s="18" t="n">
        <f aca="false">IF(AD170="","",MIN(AD170,100))</f>
        <v>82.03</v>
      </c>
      <c r="AF170" s="14" t="n">
        <v>99</v>
      </c>
      <c r="AG170" s="14" t="s">
        <v>224</v>
      </c>
      <c r="AH170" s="14" t="n">
        <v>4</v>
      </c>
      <c r="AI170" s="14" t="s">
        <v>224</v>
      </c>
      <c r="AJ170" s="14" t="s">
        <v>224</v>
      </c>
      <c r="AK170" s="14" t="s">
        <v>240</v>
      </c>
      <c r="AL170" s="19" t="n">
        <f aca="false">ROUND('Start Here'!$B$29*AH170+'Start Here'!$B$30*MIN(IF(AD170="",0,AD170),50)/5+IF(M170&lt;=30000,'Start Here'!$B$31,IF(M170&lt;=60000,'Start Here'!$B$32,0)),1)</f>
        <v>6</v>
      </c>
      <c r="AM170" s="6" t="s">
        <v>534</v>
      </c>
      <c r="AN170" s="6" t="s">
        <v>1504</v>
      </c>
      <c r="AO170" s="6"/>
      <c r="AP170" s="14"/>
      <c r="AQ170" s="14" t="s">
        <v>294</v>
      </c>
      <c r="AR170" s="20" t="s">
        <v>246</v>
      </c>
      <c r="AS170" s="20"/>
    </row>
    <row r="171" customFormat="false" ht="60" hidden="false" customHeight="true" outlineLevel="0" collapsed="false">
      <c r="A171" s="14" t="n">
        <v>170</v>
      </c>
      <c r="B171" s="14" t="s">
        <v>220</v>
      </c>
      <c r="C171" s="14" t="s">
        <v>221</v>
      </c>
      <c r="D171" s="14" t="s">
        <v>222</v>
      </c>
      <c r="E171" s="14" t="s">
        <v>34</v>
      </c>
      <c r="F171" s="14" t="s">
        <v>223</v>
      </c>
      <c r="G171" s="14" t="s">
        <v>224</v>
      </c>
      <c r="H171" s="14" t="s">
        <v>223</v>
      </c>
      <c r="I171" s="14" t="s">
        <v>322</v>
      </c>
      <c r="J171" s="14" t="s">
        <v>1842</v>
      </c>
      <c r="K171" s="14" t="s">
        <v>1843</v>
      </c>
      <c r="L171" s="14" t="s">
        <v>1844</v>
      </c>
      <c r="M171" s="15" t="n">
        <v>71721</v>
      </c>
      <c r="N171" s="14" t="s">
        <v>400</v>
      </c>
      <c r="O171" s="14" t="s">
        <v>1845</v>
      </c>
      <c r="P171" s="16" t="s">
        <v>1846</v>
      </c>
      <c r="Q171" s="6" t="s">
        <v>1847</v>
      </c>
      <c r="R171" s="6" t="s">
        <v>1848</v>
      </c>
      <c r="S171" s="14" t="s">
        <v>234</v>
      </c>
      <c r="T171" s="14" t="s">
        <v>235</v>
      </c>
      <c r="U171" s="14" t="s">
        <v>236</v>
      </c>
      <c r="V171" s="14" t="s">
        <v>439</v>
      </c>
      <c r="W171" s="14"/>
      <c r="X171" s="14"/>
      <c r="Y171" s="15" t="n">
        <v>1251524</v>
      </c>
      <c r="Z171" s="15" t="n">
        <v>10058</v>
      </c>
      <c r="AA171" s="14" t="n">
        <v>1314</v>
      </c>
      <c r="AB171" s="14" t="n">
        <v>1516</v>
      </c>
      <c r="AC171" s="17" t="n">
        <v>0.0102978448675375</v>
      </c>
      <c r="AD171" s="18" t="n">
        <v>55.97</v>
      </c>
      <c r="AE171" s="18" t="n">
        <f aca="false">IF(AD171="","",MIN(AD171,100))</f>
        <v>55.97</v>
      </c>
      <c r="AF171" s="14" t="n">
        <v>99.6</v>
      </c>
      <c r="AG171" s="14" t="s">
        <v>224</v>
      </c>
      <c r="AH171" s="14" t="n">
        <v>6</v>
      </c>
      <c r="AI171" s="14" t="s">
        <v>224</v>
      </c>
      <c r="AJ171" s="14" t="s">
        <v>224</v>
      </c>
      <c r="AK171" s="14" t="s">
        <v>240</v>
      </c>
      <c r="AL171" s="19" t="n">
        <f aca="false">ROUND('Start Here'!$B$29*AH171+'Start Here'!$B$30*MIN(IF(AD171="",0,AD171),50)/5+IF(M171&lt;=30000,'Start Here'!$B$31,IF(M171&lt;=60000,'Start Here'!$B$32,0)),1)</f>
        <v>6</v>
      </c>
      <c r="AM171" s="6" t="s">
        <v>503</v>
      </c>
      <c r="AN171" s="6" t="s">
        <v>360</v>
      </c>
      <c r="AO171" s="6"/>
      <c r="AP171" s="14"/>
      <c r="AQ171" s="14" t="s">
        <v>373</v>
      </c>
      <c r="AR171" s="20" t="s">
        <v>246</v>
      </c>
      <c r="AS171" s="20"/>
    </row>
    <row r="172" customFormat="false" ht="60" hidden="false" customHeight="true" outlineLevel="0" collapsed="false">
      <c r="A172" s="14" t="n">
        <v>171</v>
      </c>
      <c r="B172" s="14" t="s">
        <v>247</v>
      </c>
      <c r="C172" s="14" t="s">
        <v>221</v>
      </c>
      <c r="D172" s="14" t="s">
        <v>222</v>
      </c>
      <c r="E172" s="14" t="s">
        <v>34</v>
      </c>
      <c r="F172" s="14" t="s">
        <v>223</v>
      </c>
      <c r="G172" s="14" t="s">
        <v>224</v>
      </c>
      <c r="H172" s="14" t="s">
        <v>224</v>
      </c>
      <c r="I172" s="14" t="s">
        <v>322</v>
      </c>
      <c r="J172" s="14" t="s">
        <v>636</v>
      </c>
      <c r="K172" s="14" t="s">
        <v>1849</v>
      </c>
      <c r="L172" s="14" t="s">
        <v>1850</v>
      </c>
      <c r="M172" s="15" t="n">
        <v>82006</v>
      </c>
      <c r="N172" s="14" t="s">
        <v>400</v>
      </c>
      <c r="O172" s="14" t="s">
        <v>1312</v>
      </c>
      <c r="P172" s="16" t="s">
        <v>1851</v>
      </c>
      <c r="Q172" s="6" t="s">
        <v>1852</v>
      </c>
      <c r="R172" s="6" t="s">
        <v>1853</v>
      </c>
      <c r="S172" s="14" t="s">
        <v>330</v>
      </c>
      <c r="T172" s="14" t="s">
        <v>235</v>
      </c>
      <c r="U172" s="14" t="s">
        <v>236</v>
      </c>
      <c r="V172" s="14" t="s">
        <v>383</v>
      </c>
      <c r="W172" s="14"/>
      <c r="X172" s="14"/>
      <c r="Y172" s="15"/>
      <c r="Z172" s="15" t="n">
        <v>234</v>
      </c>
      <c r="AA172" s="14" t="n">
        <v>12</v>
      </c>
      <c r="AB172" s="14"/>
      <c r="AC172" s="17" t="n">
        <v>0.00299978050386557</v>
      </c>
      <c r="AD172" s="18" t="n">
        <v>78</v>
      </c>
      <c r="AE172" s="18" t="n">
        <f aca="false">IF(AD172="","",MIN(AD172,100))</f>
        <v>78</v>
      </c>
      <c r="AF172" s="14" t="n">
        <v>75.6</v>
      </c>
      <c r="AG172" s="14" t="s">
        <v>224</v>
      </c>
      <c r="AH172" s="14" t="n">
        <v>6</v>
      </c>
      <c r="AI172" s="14" t="s">
        <v>224</v>
      </c>
      <c r="AJ172" s="14" t="s">
        <v>224</v>
      </c>
      <c r="AK172" s="14" t="s">
        <v>453</v>
      </c>
      <c r="AL172" s="19" t="n">
        <f aca="false">ROUND('Start Here'!$B$29*AH172+'Start Here'!$B$30*MIN(IF(AD172="",0,AD172),50)/5+IF(M172&lt;=30000,'Start Here'!$B$31,IF(M172&lt;=60000,'Start Here'!$B$32,0)),1)</f>
        <v>6</v>
      </c>
      <c r="AM172" s="6" t="s">
        <v>334</v>
      </c>
      <c r="AN172" s="6" t="s">
        <v>1258</v>
      </c>
      <c r="AO172" s="6"/>
      <c r="AP172" s="14"/>
      <c r="AQ172" s="14" t="s">
        <v>373</v>
      </c>
      <c r="AR172" s="20" t="s">
        <v>246</v>
      </c>
      <c r="AS172" s="20"/>
    </row>
    <row r="173" customFormat="false" ht="60" hidden="false" customHeight="true" outlineLevel="0" collapsed="false">
      <c r="A173" s="14" t="n">
        <v>172</v>
      </c>
      <c r="B173" s="14" t="s">
        <v>247</v>
      </c>
      <c r="C173" s="14" t="s">
        <v>221</v>
      </c>
      <c r="D173" s="14" t="s">
        <v>443</v>
      </c>
      <c r="E173" s="14" t="s">
        <v>34</v>
      </c>
      <c r="F173" s="14" t="s">
        <v>223</v>
      </c>
      <c r="G173" s="14" t="s">
        <v>224</v>
      </c>
      <c r="H173" s="14" t="s">
        <v>224</v>
      </c>
      <c r="I173" s="14" t="s">
        <v>375</v>
      </c>
      <c r="J173" s="14" t="s">
        <v>364</v>
      </c>
      <c r="K173" s="14" t="s">
        <v>1854</v>
      </c>
      <c r="L173" s="14" t="s">
        <v>1855</v>
      </c>
      <c r="M173" s="15" t="n">
        <v>35900</v>
      </c>
      <c r="N173" s="14" t="s">
        <v>462</v>
      </c>
      <c r="O173" s="14" t="s">
        <v>447</v>
      </c>
      <c r="P173" s="16" t="s">
        <v>1856</v>
      </c>
      <c r="Q173" s="6" t="s">
        <v>1857</v>
      </c>
      <c r="R173" s="6" t="s">
        <v>1858</v>
      </c>
      <c r="S173" s="14" t="s">
        <v>272</v>
      </c>
      <c r="T173" s="14" t="s">
        <v>273</v>
      </c>
      <c r="U173" s="14" t="s">
        <v>274</v>
      </c>
      <c r="V173" s="14" t="s">
        <v>1859</v>
      </c>
      <c r="W173" s="14" t="s">
        <v>452</v>
      </c>
      <c r="X173" s="14"/>
      <c r="Y173" s="15" t="n">
        <v>252000</v>
      </c>
      <c r="Z173" s="15"/>
      <c r="AA173" s="14"/>
      <c r="AB173" s="14"/>
      <c r="AC173" s="17"/>
      <c r="AD173" s="18" t="n">
        <v>69.8</v>
      </c>
      <c r="AE173" s="18" t="n">
        <f aca="false">IF(AD173="","",MIN(AD173,100))</f>
        <v>69.8</v>
      </c>
      <c r="AF173" s="14"/>
      <c r="AG173" s="14" t="s">
        <v>224</v>
      </c>
      <c r="AH173" s="14" t="n">
        <v>4</v>
      </c>
      <c r="AI173" s="14" t="s">
        <v>224</v>
      </c>
      <c r="AJ173" s="14" t="s">
        <v>224</v>
      </c>
      <c r="AK173" s="14" t="s">
        <v>240</v>
      </c>
      <c r="AL173" s="19" t="n">
        <f aca="false">ROUND('Start Here'!$B$29*AH173+'Start Here'!$B$30*MIN(IF(AD173="",0,AD173),50)/5+IF(M173&lt;=30000,'Start Here'!$B$31,IF(M173&lt;=60000,'Start Here'!$B$32,0)),1)</f>
        <v>6</v>
      </c>
      <c r="AM173" s="6" t="s">
        <v>1860</v>
      </c>
      <c r="AN173" s="6" t="s">
        <v>1861</v>
      </c>
      <c r="AO173" s="6" t="s">
        <v>1862</v>
      </c>
      <c r="AP173" s="14" t="s">
        <v>922</v>
      </c>
      <c r="AQ173" s="14" t="s">
        <v>1249</v>
      </c>
      <c r="AR173" s="20" t="s">
        <v>246</v>
      </c>
      <c r="AS173" s="20"/>
    </row>
    <row r="174" customFormat="false" ht="60" hidden="false" customHeight="true" outlineLevel="0" collapsed="false">
      <c r="A174" s="14" t="n">
        <v>173</v>
      </c>
      <c r="B174" s="14" t="s">
        <v>247</v>
      </c>
      <c r="C174" s="14" t="s">
        <v>221</v>
      </c>
      <c r="D174" s="14" t="s">
        <v>443</v>
      </c>
      <c r="E174" s="14" t="s">
        <v>34</v>
      </c>
      <c r="F174" s="14" t="s">
        <v>223</v>
      </c>
      <c r="G174" s="14" t="s">
        <v>224</v>
      </c>
      <c r="H174" s="14" t="s">
        <v>224</v>
      </c>
      <c r="I174" s="14" t="s">
        <v>338</v>
      </c>
      <c r="J174" s="14" t="s">
        <v>635</v>
      </c>
      <c r="K174" s="14" t="s">
        <v>1863</v>
      </c>
      <c r="L174" s="14" t="s">
        <v>1864</v>
      </c>
      <c r="M174" s="15" t="n">
        <v>74300</v>
      </c>
      <c r="N174" s="14" t="s">
        <v>400</v>
      </c>
      <c r="O174" s="14" t="s">
        <v>447</v>
      </c>
      <c r="P174" s="16" t="s">
        <v>1865</v>
      </c>
      <c r="Q174" s="6" t="s">
        <v>1866</v>
      </c>
      <c r="R174" s="6" t="s">
        <v>1867</v>
      </c>
      <c r="S174" s="14" t="s">
        <v>741</v>
      </c>
      <c r="T174" s="14" t="s">
        <v>235</v>
      </c>
      <c r="U174" s="14" t="s">
        <v>236</v>
      </c>
      <c r="V174" s="14" t="s">
        <v>1868</v>
      </c>
      <c r="W174" s="14" t="s">
        <v>452</v>
      </c>
      <c r="X174" s="14"/>
      <c r="Y174" s="15" t="n">
        <v>272900</v>
      </c>
      <c r="Z174" s="15"/>
      <c r="AA174" s="14"/>
      <c r="AB174" s="14"/>
      <c r="AC174" s="17"/>
      <c r="AD174" s="18" t="n">
        <v>120</v>
      </c>
      <c r="AE174" s="18" t="n">
        <f aca="false">IF(AD174="","",MIN(AD174,100))</f>
        <v>100</v>
      </c>
      <c r="AF174" s="14"/>
      <c r="AG174" s="14" t="s">
        <v>224</v>
      </c>
      <c r="AH174" s="14" t="n">
        <v>6</v>
      </c>
      <c r="AI174" s="14" t="s">
        <v>224</v>
      </c>
      <c r="AJ174" s="14" t="s">
        <v>224</v>
      </c>
      <c r="AK174" s="14" t="s">
        <v>240</v>
      </c>
      <c r="AL174" s="19" t="n">
        <f aca="false">ROUND('Start Here'!$B$29*AH174+'Start Here'!$B$30*MIN(IF(AD174="",0,AD174),50)/5+IF(M174&lt;=30000,'Start Here'!$B$31,IF(M174&lt;=60000,'Start Here'!$B$32,0)),1)</f>
        <v>6</v>
      </c>
      <c r="AM174" s="6" t="s">
        <v>1869</v>
      </c>
      <c r="AN174" s="6" t="s">
        <v>744</v>
      </c>
      <c r="AO174" s="6" t="s">
        <v>1870</v>
      </c>
      <c r="AP174" s="14" t="s">
        <v>922</v>
      </c>
      <c r="AQ174" s="14" t="s">
        <v>747</v>
      </c>
      <c r="AR174" s="20" t="s">
        <v>246</v>
      </c>
      <c r="AS174" s="20"/>
    </row>
    <row r="175" customFormat="false" ht="60" hidden="false" customHeight="true" outlineLevel="0" collapsed="false">
      <c r="A175" s="14" t="n">
        <v>174</v>
      </c>
      <c r="B175" s="14" t="s">
        <v>247</v>
      </c>
      <c r="C175" s="14" t="s">
        <v>221</v>
      </c>
      <c r="D175" s="14" t="s">
        <v>443</v>
      </c>
      <c r="E175" s="14" t="s">
        <v>34</v>
      </c>
      <c r="F175" s="14" t="s">
        <v>223</v>
      </c>
      <c r="G175" s="14" t="s">
        <v>224</v>
      </c>
      <c r="H175" s="14" t="s">
        <v>223</v>
      </c>
      <c r="I175" s="14" t="s">
        <v>225</v>
      </c>
      <c r="J175" s="14" t="s">
        <v>586</v>
      </c>
      <c r="K175" s="14" t="s">
        <v>1871</v>
      </c>
      <c r="L175" s="14" t="s">
        <v>1872</v>
      </c>
      <c r="M175" s="15" t="n">
        <v>33000</v>
      </c>
      <c r="N175" s="14" t="s">
        <v>462</v>
      </c>
      <c r="O175" s="14" t="s">
        <v>447</v>
      </c>
      <c r="P175" s="16" t="s">
        <v>1873</v>
      </c>
      <c r="Q175" s="6" t="s">
        <v>1874</v>
      </c>
      <c r="R175" s="6" t="s">
        <v>1875</v>
      </c>
      <c r="S175" s="14" t="s">
        <v>1495</v>
      </c>
      <c r="T175" s="14" t="s">
        <v>235</v>
      </c>
      <c r="U175" s="14" t="s">
        <v>236</v>
      </c>
      <c r="V175" s="14" t="s">
        <v>1876</v>
      </c>
      <c r="W175" s="14" t="s">
        <v>452</v>
      </c>
      <c r="X175" s="14"/>
      <c r="Y175" s="15" t="n">
        <v>2700000</v>
      </c>
      <c r="Z175" s="15"/>
      <c r="AA175" s="14"/>
      <c r="AB175" s="14"/>
      <c r="AC175" s="17"/>
      <c r="AD175" s="18" t="n">
        <v>98.7</v>
      </c>
      <c r="AE175" s="18" t="n">
        <f aca="false">IF(AD175="","",MIN(AD175,100))</f>
        <v>98.7</v>
      </c>
      <c r="AF175" s="14"/>
      <c r="AG175" s="14" t="s">
        <v>224</v>
      </c>
      <c r="AH175" s="14" t="n">
        <v>4</v>
      </c>
      <c r="AI175" s="14" t="s">
        <v>224</v>
      </c>
      <c r="AJ175" s="14" t="s">
        <v>224</v>
      </c>
      <c r="AK175" s="14" t="s">
        <v>240</v>
      </c>
      <c r="AL175" s="19" t="n">
        <f aca="false">ROUND('Start Here'!$B$29*AH175+'Start Here'!$B$30*MIN(IF(AD175="",0,AD175),50)/5+IF(M175&lt;=30000,'Start Here'!$B$31,IF(M175&lt;=60000,'Start Here'!$B$32,0)),1)</f>
        <v>6</v>
      </c>
      <c r="AM175" s="6" t="s">
        <v>1877</v>
      </c>
      <c r="AN175" s="6" t="s">
        <v>1878</v>
      </c>
      <c r="AO175" s="6" t="s">
        <v>1879</v>
      </c>
      <c r="AP175" s="14" t="s">
        <v>561</v>
      </c>
      <c r="AQ175" s="14" t="s">
        <v>1640</v>
      </c>
      <c r="AR175" s="20" t="s">
        <v>246</v>
      </c>
      <c r="AS175" s="20"/>
    </row>
    <row r="176" customFormat="false" ht="60" hidden="false" customHeight="true" outlineLevel="0" collapsed="false">
      <c r="A176" s="14" t="n">
        <v>175</v>
      </c>
      <c r="B176" s="14" t="s">
        <v>247</v>
      </c>
      <c r="C176" s="14" t="s">
        <v>221</v>
      </c>
      <c r="D176" s="14" t="s">
        <v>443</v>
      </c>
      <c r="E176" s="14" t="s">
        <v>36</v>
      </c>
      <c r="F176" s="14" t="s">
        <v>223</v>
      </c>
      <c r="G176" s="14" t="s">
        <v>223</v>
      </c>
      <c r="H176" s="14" t="s">
        <v>224</v>
      </c>
      <c r="I176" s="14" t="s">
        <v>322</v>
      </c>
      <c r="J176" s="14" t="s">
        <v>225</v>
      </c>
      <c r="K176" s="14" t="s">
        <v>1880</v>
      </c>
      <c r="L176" s="14" t="s">
        <v>1881</v>
      </c>
      <c r="M176" s="15" t="n">
        <v>28100</v>
      </c>
      <c r="N176" s="14" t="s">
        <v>298</v>
      </c>
      <c r="O176" s="14" t="s">
        <v>447</v>
      </c>
      <c r="P176" s="16" t="s">
        <v>1882</v>
      </c>
      <c r="Q176" s="6" t="s">
        <v>1883</v>
      </c>
      <c r="R176" s="6" t="s">
        <v>1884</v>
      </c>
      <c r="S176" s="14" t="s">
        <v>255</v>
      </c>
      <c r="T176" s="14" t="s">
        <v>235</v>
      </c>
      <c r="U176" s="14" t="s">
        <v>236</v>
      </c>
      <c r="V176" s="14" t="s">
        <v>930</v>
      </c>
      <c r="W176" s="14" t="s">
        <v>452</v>
      </c>
      <c r="X176" s="14"/>
      <c r="Y176" s="15" t="n">
        <v>61100</v>
      </c>
      <c r="Z176" s="15"/>
      <c r="AA176" s="14"/>
      <c r="AB176" s="14"/>
      <c r="AC176" s="17"/>
      <c r="AD176" s="18" t="n">
        <v>32.7</v>
      </c>
      <c r="AE176" s="18" t="n">
        <f aca="false">IF(AD176="","",MIN(AD176,100))</f>
        <v>32.7</v>
      </c>
      <c r="AF176" s="14"/>
      <c r="AG176" s="14" t="s">
        <v>224</v>
      </c>
      <c r="AH176" s="14" t="n">
        <v>4</v>
      </c>
      <c r="AI176" s="14" t="s">
        <v>224</v>
      </c>
      <c r="AJ176" s="14" t="s">
        <v>224</v>
      </c>
      <c r="AK176" s="14" t="s">
        <v>240</v>
      </c>
      <c r="AL176" s="19" t="n">
        <f aca="false">ROUND('Start Here'!$B$29*AH176+'Start Here'!$B$30*MIN(IF(AD176="",0,AD176),50)/5+IF(M176&lt;=30000,'Start Here'!$B$31,IF(M176&lt;=60000,'Start Here'!$B$32,0)),1)</f>
        <v>6</v>
      </c>
      <c r="AM176" s="6" t="s">
        <v>1885</v>
      </c>
      <c r="AN176" s="6" t="s">
        <v>1504</v>
      </c>
      <c r="AO176" s="6" t="s">
        <v>1886</v>
      </c>
      <c r="AP176" s="14" t="s">
        <v>922</v>
      </c>
      <c r="AQ176" s="14" t="s">
        <v>1280</v>
      </c>
      <c r="AR176" s="20" t="s">
        <v>246</v>
      </c>
      <c r="AS176" s="20"/>
    </row>
    <row r="177" customFormat="false" ht="60" hidden="false" customHeight="true" outlineLevel="0" collapsed="false">
      <c r="A177" s="14" t="n">
        <v>176</v>
      </c>
      <c r="B177" s="14" t="s">
        <v>220</v>
      </c>
      <c r="C177" s="14" t="s">
        <v>221</v>
      </c>
      <c r="D177" s="14" t="s">
        <v>222</v>
      </c>
      <c r="E177" s="14" t="s">
        <v>34</v>
      </c>
      <c r="F177" s="14" t="s">
        <v>223</v>
      </c>
      <c r="G177" s="14" t="s">
        <v>224</v>
      </c>
      <c r="H177" s="14" t="s">
        <v>224</v>
      </c>
      <c r="I177" s="14" t="s">
        <v>225</v>
      </c>
      <c r="J177" s="14" t="s">
        <v>1887</v>
      </c>
      <c r="K177" s="14" t="s">
        <v>1888</v>
      </c>
      <c r="L177" s="14" t="s">
        <v>1889</v>
      </c>
      <c r="M177" s="15" t="n">
        <v>33380</v>
      </c>
      <c r="N177" s="14" t="s">
        <v>462</v>
      </c>
      <c r="O177" s="14" t="s">
        <v>1890</v>
      </c>
      <c r="P177" s="16" t="s">
        <v>1891</v>
      </c>
      <c r="Q177" s="6" t="s">
        <v>1892</v>
      </c>
      <c r="R177" s="6" t="s">
        <v>1893</v>
      </c>
      <c r="S177" s="14" t="s">
        <v>255</v>
      </c>
      <c r="T177" s="14" t="s">
        <v>235</v>
      </c>
      <c r="U177" s="14" t="s">
        <v>236</v>
      </c>
      <c r="V177" s="14" t="s">
        <v>288</v>
      </c>
      <c r="W177" s="14" t="s">
        <v>257</v>
      </c>
      <c r="X177" s="14" t="s">
        <v>239</v>
      </c>
      <c r="Y177" s="15" t="n">
        <v>171700</v>
      </c>
      <c r="Z177" s="15" t="n">
        <v>1667</v>
      </c>
      <c r="AA177" s="14" t="n">
        <v>87</v>
      </c>
      <c r="AB177" s="14" t="n">
        <v>121</v>
      </c>
      <c r="AC177" s="17" t="n">
        <v>0.0109202096680256</v>
      </c>
      <c r="AD177" s="18" t="n">
        <v>165.21</v>
      </c>
      <c r="AE177" s="18" t="n">
        <f aca="false">IF(AD177="","",MIN(AD177,100))</f>
        <v>100</v>
      </c>
      <c r="AF177" s="14" t="n">
        <v>99.6</v>
      </c>
      <c r="AG177" s="14" t="s">
        <v>224</v>
      </c>
      <c r="AH177" s="14" t="n">
        <v>3.9</v>
      </c>
      <c r="AI177" s="14" t="s">
        <v>223</v>
      </c>
      <c r="AJ177" s="14" t="s">
        <v>224</v>
      </c>
      <c r="AK177" s="14" t="s">
        <v>240</v>
      </c>
      <c r="AL177" s="19" t="n">
        <f aca="false">ROUND('Start Here'!$B$29*AH177+'Start Here'!$B$30*MIN(IF(AD177="",0,AD177),50)/5+IF(M177&lt;=30000,'Start Here'!$B$31,IF(M177&lt;=60000,'Start Here'!$B$32,0)),1)</f>
        <v>6</v>
      </c>
      <c r="AM177" s="6" t="s">
        <v>534</v>
      </c>
      <c r="AN177" s="6" t="s">
        <v>674</v>
      </c>
      <c r="AO177" s="6" t="s">
        <v>1894</v>
      </c>
      <c r="AP177" s="14" t="s">
        <v>1895</v>
      </c>
      <c r="AQ177" s="14" t="s">
        <v>657</v>
      </c>
      <c r="AR177" s="20" t="s">
        <v>246</v>
      </c>
      <c r="AS177" s="20"/>
    </row>
    <row r="178" customFormat="false" ht="60" hidden="false" customHeight="true" outlineLevel="0" collapsed="false">
      <c r="A178" s="14" t="n">
        <v>177</v>
      </c>
      <c r="B178" s="14" t="s">
        <v>247</v>
      </c>
      <c r="C178" s="14" t="s">
        <v>221</v>
      </c>
      <c r="D178" s="14" t="s">
        <v>222</v>
      </c>
      <c r="E178" s="14" t="s">
        <v>36</v>
      </c>
      <c r="F178" s="14" t="s">
        <v>224</v>
      </c>
      <c r="G178" s="14" t="s">
        <v>223</v>
      </c>
      <c r="H178" s="14" t="s">
        <v>224</v>
      </c>
      <c r="I178" s="14" t="s">
        <v>308</v>
      </c>
      <c r="J178" s="14" t="s">
        <v>1311</v>
      </c>
      <c r="K178" s="14" t="s">
        <v>1896</v>
      </c>
      <c r="L178" s="14" t="s">
        <v>1897</v>
      </c>
      <c r="M178" s="15" t="n">
        <v>27282</v>
      </c>
      <c r="N178" s="14" t="s">
        <v>298</v>
      </c>
      <c r="O178" s="14" t="s">
        <v>1898</v>
      </c>
      <c r="P178" s="16" t="s">
        <v>1899</v>
      </c>
      <c r="Q178" s="6" t="s">
        <v>1900</v>
      </c>
      <c r="R178" s="6" t="s">
        <v>1901</v>
      </c>
      <c r="S178" s="14" t="s">
        <v>1635</v>
      </c>
      <c r="T178" s="14" t="s">
        <v>273</v>
      </c>
      <c r="U178" s="14" t="s">
        <v>274</v>
      </c>
      <c r="V178" s="14" t="s">
        <v>256</v>
      </c>
      <c r="W178" s="14" t="s">
        <v>238</v>
      </c>
      <c r="X178" s="14" t="s">
        <v>239</v>
      </c>
      <c r="Y178" s="15" t="n">
        <v>252667</v>
      </c>
      <c r="Z178" s="15" t="n">
        <v>5261</v>
      </c>
      <c r="AA178" s="14" t="n">
        <v>449</v>
      </c>
      <c r="AB178" s="14"/>
      <c r="AC178" s="17" t="n">
        <v>0.0225989147771573</v>
      </c>
      <c r="AD178" s="18" t="n">
        <v>7.34</v>
      </c>
      <c r="AE178" s="18" t="n">
        <f aca="false">IF(AD178="","",MIN(AD178,100))</f>
        <v>7.34</v>
      </c>
      <c r="AF178" s="14" t="n">
        <v>98.2</v>
      </c>
      <c r="AG178" s="14" t="s">
        <v>224</v>
      </c>
      <c r="AH178" s="14" t="n">
        <v>7</v>
      </c>
      <c r="AI178" s="14" t="s">
        <v>224</v>
      </c>
      <c r="AJ178" s="14" t="s">
        <v>224</v>
      </c>
      <c r="AK178" s="14" t="s">
        <v>240</v>
      </c>
      <c r="AL178" s="19" t="n">
        <f aca="false">ROUND('Start Here'!$B$29*AH178+'Start Here'!$B$30*MIN(IF(AD178="",0,AD178),50)/5+IF(M178&lt;=30000,'Start Here'!$B$31,IF(M178&lt;=60000,'Start Here'!$B$32,0)),1)</f>
        <v>5.9</v>
      </c>
      <c r="AM178" s="6" t="s">
        <v>1902</v>
      </c>
      <c r="AN178" s="6" t="s">
        <v>1903</v>
      </c>
      <c r="AO178" s="6" t="s">
        <v>1904</v>
      </c>
      <c r="AP178" s="14" t="s">
        <v>1905</v>
      </c>
      <c r="AQ178" s="14" t="s">
        <v>363</v>
      </c>
      <c r="AR178" s="20" t="s">
        <v>246</v>
      </c>
      <c r="AS178" s="20"/>
    </row>
    <row r="179" customFormat="false" ht="60" hidden="false" customHeight="true" outlineLevel="0" collapsed="false">
      <c r="A179" s="14" t="n">
        <v>178</v>
      </c>
      <c r="B179" s="14" t="s">
        <v>374</v>
      </c>
      <c r="C179" s="14" t="s">
        <v>221</v>
      </c>
      <c r="D179" s="14" t="s">
        <v>222</v>
      </c>
      <c r="E179" s="14" t="s">
        <v>36</v>
      </c>
      <c r="F179" s="14" t="s">
        <v>223</v>
      </c>
      <c r="G179" s="14" t="s">
        <v>223</v>
      </c>
      <c r="H179" s="14" t="s">
        <v>223</v>
      </c>
      <c r="I179" s="14" t="s">
        <v>322</v>
      </c>
      <c r="J179" s="14" t="s">
        <v>1906</v>
      </c>
      <c r="K179" s="14" t="s">
        <v>1907</v>
      </c>
      <c r="L179" s="14" t="s">
        <v>1908</v>
      </c>
      <c r="M179" s="15" t="n">
        <v>20059</v>
      </c>
      <c r="N179" s="14" t="s">
        <v>298</v>
      </c>
      <c r="O179" s="14" t="s">
        <v>1909</v>
      </c>
      <c r="P179" s="16" t="s">
        <v>1910</v>
      </c>
      <c r="Q179" s="6" t="s">
        <v>1911</v>
      </c>
      <c r="R179" s="6" t="s">
        <v>1912</v>
      </c>
      <c r="S179" s="14" t="s">
        <v>234</v>
      </c>
      <c r="T179" s="14" t="s">
        <v>316</v>
      </c>
      <c r="U179" s="14" t="s">
        <v>346</v>
      </c>
      <c r="V179" s="14" t="s">
        <v>237</v>
      </c>
      <c r="W179" s="14" t="s">
        <v>332</v>
      </c>
      <c r="X179" s="14" t="s">
        <v>239</v>
      </c>
      <c r="Y179" s="15"/>
      <c r="Z179" s="15" t="n">
        <v>1597</v>
      </c>
      <c r="AA179" s="14" t="n">
        <v>152</v>
      </c>
      <c r="AB179" s="14" t="n">
        <v>26</v>
      </c>
      <c r="AC179" s="17" t="n">
        <v>0.0884889575751533</v>
      </c>
      <c r="AD179" s="18" t="n">
        <v>31.62</v>
      </c>
      <c r="AE179" s="18" t="n">
        <f aca="false">IF(AD179="","",MIN(AD179,100))</f>
        <v>31.62</v>
      </c>
      <c r="AF179" s="14" t="n">
        <v>99.9</v>
      </c>
      <c r="AG179" s="14" t="s">
        <v>224</v>
      </c>
      <c r="AH179" s="14" t="n">
        <v>4</v>
      </c>
      <c r="AI179" s="14" t="s">
        <v>224</v>
      </c>
      <c r="AJ179" s="14" t="s">
        <v>224</v>
      </c>
      <c r="AK179" s="14" t="s">
        <v>240</v>
      </c>
      <c r="AL179" s="19" t="n">
        <f aca="false">ROUND('Start Here'!$B$29*AH179+'Start Here'!$B$30*MIN(IF(AD179="",0,AD179),50)/5+IF(M179&lt;=30000,'Start Here'!$B$31,IF(M179&lt;=60000,'Start Here'!$B$32,0)),1)</f>
        <v>5.9</v>
      </c>
      <c r="AM179" s="6" t="s">
        <v>958</v>
      </c>
      <c r="AN179" s="6" t="s">
        <v>360</v>
      </c>
      <c r="AO179" s="6" t="s">
        <v>1913</v>
      </c>
      <c r="AP179" s="14" t="s">
        <v>1914</v>
      </c>
      <c r="AQ179" s="14" t="s">
        <v>1184</v>
      </c>
      <c r="AR179" s="20" t="s">
        <v>246</v>
      </c>
      <c r="AS179" s="20"/>
    </row>
    <row r="180" customFormat="false" ht="60" hidden="false" customHeight="true" outlineLevel="0" collapsed="false">
      <c r="A180" s="14" t="n">
        <v>179</v>
      </c>
      <c r="B180" s="14" t="s">
        <v>247</v>
      </c>
      <c r="C180" s="14" t="s">
        <v>221</v>
      </c>
      <c r="D180" s="14" t="s">
        <v>222</v>
      </c>
      <c r="E180" s="14" t="s">
        <v>36</v>
      </c>
      <c r="F180" s="14" t="s">
        <v>223</v>
      </c>
      <c r="G180" s="14" t="s">
        <v>223</v>
      </c>
      <c r="H180" s="14" t="s">
        <v>224</v>
      </c>
      <c r="I180" s="14" t="s">
        <v>322</v>
      </c>
      <c r="J180" s="14" t="s">
        <v>1915</v>
      </c>
      <c r="K180" s="14" t="s">
        <v>1916</v>
      </c>
      <c r="L180" s="14" t="s">
        <v>1917</v>
      </c>
      <c r="M180" s="15" t="n">
        <v>6411</v>
      </c>
      <c r="N180" s="14" t="s">
        <v>283</v>
      </c>
      <c r="O180" s="14" t="s">
        <v>1918</v>
      </c>
      <c r="P180" s="16" t="s">
        <v>1919</v>
      </c>
      <c r="Q180" s="6" t="s">
        <v>1920</v>
      </c>
      <c r="R180" s="6" t="s">
        <v>1920</v>
      </c>
      <c r="S180" s="14" t="s">
        <v>255</v>
      </c>
      <c r="T180" s="14" t="s">
        <v>235</v>
      </c>
      <c r="U180" s="14" t="s">
        <v>236</v>
      </c>
      <c r="V180" s="14" t="s">
        <v>288</v>
      </c>
      <c r="W180" s="14" t="s">
        <v>238</v>
      </c>
      <c r="X180" s="14" t="s">
        <v>546</v>
      </c>
      <c r="Y180" s="15" t="n">
        <v>39192</v>
      </c>
      <c r="Z180" s="15" t="n">
        <v>855</v>
      </c>
      <c r="AA180" s="14" t="n">
        <v>13</v>
      </c>
      <c r="AB180" s="14"/>
      <c r="AC180" s="17" t="n">
        <v>0.0221473770157175</v>
      </c>
      <c r="AD180" s="18" t="n">
        <v>18.88</v>
      </c>
      <c r="AE180" s="18" t="n">
        <f aca="false">IF(AD180="","",MIN(AD180,100))</f>
        <v>18.88</v>
      </c>
      <c r="AF180" s="14" t="n">
        <v>97.3</v>
      </c>
      <c r="AG180" s="14" t="s">
        <v>224</v>
      </c>
      <c r="AH180" s="14" t="n">
        <v>5.5</v>
      </c>
      <c r="AI180" s="14" t="s">
        <v>224</v>
      </c>
      <c r="AJ180" s="14" t="s">
        <v>223</v>
      </c>
      <c r="AK180" s="14" t="s">
        <v>490</v>
      </c>
      <c r="AL180" s="19" t="n">
        <f aca="false">ROUND('Start Here'!$B$29*AH180+'Start Here'!$B$30*MIN(IF(AD180="",0,AD180),50)/5+IF(M180&lt;=30000,'Start Here'!$B$31,IF(M180&lt;=60000,'Start Here'!$B$32,0)),1)</f>
        <v>5.9</v>
      </c>
      <c r="AM180" s="6" t="s">
        <v>259</v>
      </c>
      <c r="AN180" s="6" t="s">
        <v>492</v>
      </c>
      <c r="AO180" s="6" t="s">
        <v>1921</v>
      </c>
      <c r="AP180" s="14" t="s">
        <v>1922</v>
      </c>
      <c r="AQ180" s="14" t="s">
        <v>373</v>
      </c>
      <c r="AR180" s="20" t="s">
        <v>246</v>
      </c>
      <c r="AS180" s="20"/>
    </row>
    <row r="181" customFormat="false" ht="60" hidden="false" customHeight="true" outlineLevel="0" collapsed="false">
      <c r="A181" s="14" t="n">
        <v>180</v>
      </c>
      <c r="B181" s="14" t="s">
        <v>247</v>
      </c>
      <c r="C181" s="14" t="s">
        <v>221</v>
      </c>
      <c r="D181" s="14" t="s">
        <v>443</v>
      </c>
      <c r="E181" s="14" t="s">
        <v>36</v>
      </c>
      <c r="F181" s="14" t="s">
        <v>223</v>
      </c>
      <c r="G181" s="14" t="s">
        <v>223</v>
      </c>
      <c r="H181" s="14" t="s">
        <v>224</v>
      </c>
      <c r="I181" s="14" t="s">
        <v>338</v>
      </c>
      <c r="J181" s="14" t="s">
        <v>322</v>
      </c>
      <c r="K181" s="14" t="s">
        <v>1923</v>
      </c>
      <c r="L181" s="14" t="s">
        <v>1924</v>
      </c>
      <c r="M181" s="15" t="n">
        <v>14900</v>
      </c>
      <c r="N181" s="14" t="s">
        <v>229</v>
      </c>
      <c r="O181" s="14" t="s">
        <v>447</v>
      </c>
      <c r="P181" s="16" t="s">
        <v>1925</v>
      </c>
      <c r="Q181" s="6" t="s">
        <v>1926</v>
      </c>
      <c r="R181" s="6" t="s">
        <v>1927</v>
      </c>
      <c r="S181" s="14" t="s">
        <v>513</v>
      </c>
      <c r="T181" s="14" t="s">
        <v>235</v>
      </c>
      <c r="U181" s="14" t="s">
        <v>236</v>
      </c>
      <c r="V181" s="14" t="s">
        <v>930</v>
      </c>
      <c r="W181" s="14" t="s">
        <v>452</v>
      </c>
      <c r="X181" s="14"/>
      <c r="Y181" s="15" t="n">
        <v>131100</v>
      </c>
      <c r="Z181" s="15"/>
      <c r="AA181" s="14"/>
      <c r="AB181" s="14"/>
      <c r="AC181" s="17"/>
      <c r="AD181" s="18" t="n">
        <v>39.7</v>
      </c>
      <c r="AE181" s="18" t="n">
        <f aca="false">IF(AD181="","",MIN(AD181,100))</f>
        <v>39.7</v>
      </c>
      <c r="AF181" s="14"/>
      <c r="AG181" s="14" t="s">
        <v>224</v>
      </c>
      <c r="AH181" s="14" t="n">
        <v>3</v>
      </c>
      <c r="AI181" s="14" t="s">
        <v>224</v>
      </c>
      <c r="AJ181" s="14" t="s">
        <v>224</v>
      </c>
      <c r="AK181" s="14" t="s">
        <v>240</v>
      </c>
      <c r="AL181" s="19" t="n">
        <f aca="false">ROUND('Start Here'!$B$29*AH181+'Start Here'!$B$30*MIN(IF(AD181="",0,AD181),50)/5+IF(M181&lt;=30000,'Start Here'!$B$31,IF(M181&lt;=60000,'Start Here'!$B$32,0)),1)</f>
        <v>5.9</v>
      </c>
      <c r="AM181" s="6" t="s">
        <v>1928</v>
      </c>
      <c r="AN181" s="6" t="s">
        <v>942</v>
      </c>
      <c r="AO181" s="6" t="s">
        <v>1929</v>
      </c>
      <c r="AP181" s="14" t="s">
        <v>922</v>
      </c>
      <c r="AQ181" s="14" t="s">
        <v>747</v>
      </c>
      <c r="AR181" s="20" t="s">
        <v>246</v>
      </c>
      <c r="AS181" s="20"/>
    </row>
    <row r="182" customFormat="false" ht="60" hidden="false" customHeight="true" outlineLevel="0" collapsed="false">
      <c r="A182" s="14" t="n">
        <v>181</v>
      </c>
      <c r="B182" s="14" t="s">
        <v>220</v>
      </c>
      <c r="C182" s="14" t="s">
        <v>221</v>
      </c>
      <c r="D182" s="14" t="s">
        <v>222</v>
      </c>
      <c r="E182" s="14" t="s">
        <v>36</v>
      </c>
      <c r="F182" s="14" t="s">
        <v>223</v>
      </c>
      <c r="G182" s="14" t="s">
        <v>223</v>
      </c>
      <c r="H182" s="14" t="s">
        <v>223</v>
      </c>
      <c r="I182" s="14" t="s">
        <v>322</v>
      </c>
      <c r="J182" s="14" t="s">
        <v>1930</v>
      </c>
      <c r="K182" s="14" t="s">
        <v>1931</v>
      </c>
      <c r="L182" s="14" t="s">
        <v>1932</v>
      </c>
      <c r="M182" s="15" t="n">
        <v>20477</v>
      </c>
      <c r="N182" s="14" t="s">
        <v>298</v>
      </c>
      <c r="O182" s="14" t="s">
        <v>1933</v>
      </c>
      <c r="P182" s="16" t="s">
        <v>1934</v>
      </c>
      <c r="Q182" s="6" t="s">
        <v>1935</v>
      </c>
      <c r="R182" s="6" t="s">
        <v>1936</v>
      </c>
      <c r="S182" s="14" t="s">
        <v>234</v>
      </c>
      <c r="T182" s="14" t="s">
        <v>235</v>
      </c>
      <c r="U182" s="14" t="s">
        <v>236</v>
      </c>
      <c r="V182" s="14" t="s">
        <v>288</v>
      </c>
      <c r="W182" s="14" t="s">
        <v>257</v>
      </c>
      <c r="X182" s="14" t="s">
        <v>239</v>
      </c>
      <c r="Y182" s="15" t="n">
        <v>1860051</v>
      </c>
      <c r="Z182" s="15" t="n">
        <v>1516</v>
      </c>
      <c r="AA182" s="14" t="n">
        <v>43</v>
      </c>
      <c r="AB182" s="14" t="n">
        <v>96</v>
      </c>
      <c r="AC182" s="17" t="n">
        <v>0.000889760549576329</v>
      </c>
      <c r="AD182" s="18" t="n">
        <v>10.18</v>
      </c>
      <c r="AE182" s="18" t="n">
        <f aca="false">IF(AD182="","",MIN(AD182,100))</f>
        <v>10.18</v>
      </c>
      <c r="AF182" s="14" t="n">
        <v>99.2</v>
      </c>
      <c r="AG182" s="14" t="s">
        <v>224</v>
      </c>
      <c r="AH182" s="14" t="n">
        <v>6.5</v>
      </c>
      <c r="AI182" s="14" t="s">
        <v>224</v>
      </c>
      <c r="AJ182" s="14" t="s">
        <v>223</v>
      </c>
      <c r="AK182" s="14" t="s">
        <v>490</v>
      </c>
      <c r="AL182" s="19" t="n">
        <f aca="false">ROUND('Start Here'!$B$29*AH182+'Start Here'!$B$30*MIN(IF(AD182="",0,AD182),50)/5+IF(M182&lt;=30000,'Start Here'!$B$31,IF(M182&lt;=60000,'Start Here'!$B$32,0)),1)</f>
        <v>5.9</v>
      </c>
      <c r="AM182" s="6" t="s">
        <v>958</v>
      </c>
      <c r="AN182" s="6" t="s">
        <v>1937</v>
      </c>
      <c r="AO182" s="6" t="s">
        <v>1938</v>
      </c>
      <c r="AP182" s="14" t="s">
        <v>1939</v>
      </c>
      <c r="AQ182" s="14" t="s">
        <v>677</v>
      </c>
      <c r="AR182" s="20" t="s">
        <v>246</v>
      </c>
      <c r="AS182" s="20"/>
    </row>
    <row r="183" customFormat="false" ht="60" hidden="false" customHeight="true" outlineLevel="0" collapsed="false">
      <c r="A183" s="14" t="n">
        <v>182</v>
      </c>
      <c r="B183" s="14" t="s">
        <v>247</v>
      </c>
      <c r="C183" s="14" t="s">
        <v>221</v>
      </c>
      <c r="D183" s="14" t="s">
        <v>222</v>
      </c>
      <c r="E183" s="14" t="s">
        <v>34</v>
      </c>
      <c r="F183" s="14" t="s">
        <v>223</v>
      </c>
      <c r="G183" s="14" t="s">
        <v>224</v>
      </c>
      <c r="H183" s="14" t="s">
        <v>224</v>
      </c>
      <c r="I183" s="14" t="s">
        <v>322</v>
      </c>
      <c r="J183" s="14" t="s">
        <v>1940</v>
      </c>
      <c r="K183" s="14" t="s">
        <v>460</v>
      </c>
      <c r="L183" s="14" t="s">
        <v>461</v>
      </c>
      <c r="M183" s="15" t="n">
        <v>46241</v>
      </c>
      <c r="N183" s="14" t="s">
        <v>462</v>
      </c>
      <c r="O183" s="14" t="s">
        <v>1941</v>
      </c>
      <c r="P183" s="16" t="s">
        <v>1942</v>
      </c>
      <c r="Q183" s="6" t="s">
        <v>1943</v>
      </c>
      <c r="R183" s="6" t="s">
        <v>1944</v>
      </c>
      <c r="S183" s="14" t="s">
        <v>234</v>
      </c>
      <c r="T183" s="14" t="s">
        <v>235</v>
      </c>
      <c r="U183" s="14" t="s">
        <v>346</v>
      </c>
      <c r="V183" s="14" t="s">
        <v>256</v>
      </c>
      <c r="W183" s="14" t="s">
        <v>332</v>
      </c>
      <c r="X183" s="14" t="s">
        <v>239</v>
      </c>
      <c r="Y183" s="15" t="n">
        <v>25357</v>
      </c>
      <c r="Z183" s="15" t="n">
        <v>375</v>
      </c>
      <c r="AA183" s="14" t="n">
        <v>10</v>
      </c>
      <c r="AB183" s="14"/>
      <c r="AC183" s="17" t="n">
        <v>0.0151831841306148</v>
      </c>
      <c r="AD183" s="18" t="n">
        <v>14.24</v>
      </c>
      <c r="AE183" s="18" t="n">
        <f aca="false">IF(AD183="","",MIN(AD183,100))</f>
        <v>14.24</v>
      </c>
      <c r="AF183" s="14" t="n">
        <v>95.1</v>
      </c>
      <c r="AG183" s="14" t="s">
        <v>224</v>
      </c>
      <c r="AH183" s="14" t="n">
        <v>8</v>
      </c>
      <c r="AI183" s="14" t="s">
        <v>224</v>
      </c>
      <c r="AJ183" s="14" t="s">
        <v>224</v>
      </c>
      <c r="AK183" s="14" t="s">
        <v>240</v>
      </c>
      <c r="AL183" s="19" t="n">
        <f aca="false">ROUND('Start Here'!$B$29*AH183+'Start Here'!$B$30*MIN(IF(AD183="",0,AD183),50)/5+IF(M183&lt;=30000,'Start Here'!$B$31,IF(M183&lt;=60000,'Start Here'!$B$32,0)),1)</f>
        <v>5.9</v>
      </c>
      <c r="AM183" s="6" t="s">
        <v>503</v>
      </c>
      <c r="AN183" s="6" t="s">
        <v>1945</v>
      </c>
      <c r="AO183" s="6" t="s">
        <v>1946</v>
      </c>
      <c r="AP183" s="14" t="s">
        <v>1947</v>
      </c>
      <c r="AQ183" s="14" t="s">
        <v>386</v>
      </c>
      <c r="AR183" s="20" t="s">
        <v>246</v>
      </c>
      <c r="AS183" s="20"/>
    </row>
    <row r="184" customFormat="false" ht="60" hidden="false" customHeight="true" outlineLevel="0" collapsed="false">
      <c r="A184" s="14" t="n">
        <v>183</v>
      </c>
      <c r="B184" s="14" t="s">
        <v>220</v>
      </c>
      <c r="C184" s="14" t="s">
        <v>221</v>
      </c>
      <c r="D184" s="14" t="s">
        <v>222</v>
      </c>
      <c r="E184" s="14" t="s">
        <v>36</v>
      </c>
      <c r="F184" s="14" t="s">
        <v>223</v>
      </c>
      <c r="G184" s="14" t="s">
        <v>223</v>
      </c>
      <c r="H184" s="14" t="s">
        <v>224</v>
      </c>
      <c r="I184" s="14" t="s">
        <v>264</v>
      </c>
      <c r="J184" s="14"/>
      <c r="K184" s="14" t="s">
        <v>1948</v>
      </c>
      <c r="L184" s="14" t="s">
        <v>1949</v>
      </c>
      <c r="M184" s="15" t="n">
        <v>12627</v>
      </c>
      <c r="N184" s="14" t="s">
        <v>229</v>
      </c>
      <c r="O184" s="14" t="s">
        <v>299</v>
      </c>
      <c r="P184" s="16" t="s">
        <v>1950</v>
      </c>
      <c r="Q184" s="6" t="s">
        <v>1951</v>
      </c>
      <c r="R184" s="6" t="s">
        <v>1951</v>
      </c>
      <c r="S184" s="14" t="s">
        <v>330</v>
      </c>
      <c r="T184" s="14" t="s">
        <v>235</v>
      </c>
      <c r="U184" s="14" t="s">
        <v>236</v>
      </c>
      <c r="V184" s="14" t="s">
        <v>237</v>
      </c>
      <c r="W184" s="14" t="s">
        <v>238</v>
      </c>
      <c r="X184" s="14" t="s">
        <v>239</v>
      </c>
      <c r="Y184" s="15" t="n">
        <v>418297</v>
      </c>
      <c r="Z184" s="15" t="n">
        <v>1884</v>
      </c>
      <c r="AA184" s="14" t="n">
        <v>32</v>
      </c>
      <c r="AB184" s="14" t="n">
        <v>42</v>
      </c>
      <c r="AC184" s="17" t="n">
        <v>0.00468088463460173</v>
      </c>
      <c r="AD184" s="18" t="n">
        <v>38.84</v>
      </c>
      <c r="AE184" s="18" t="n">
        <f aca="false">IF(AD184="","",MIN(AD184,100))</f>
        <v>38.84</v>
      </c>
      <c r="AF184" s="14" t="n">
        <v>98.2</v>
      </c>
      <c r="AG184" s="14" t="s">
        <v>224</v>
      </c>
      <c r="AH184" s="14" t="n">
        <v>3</v>
      </c>
      <c r="AI184" s="14" t="s">
        <v>224</v>
      </c>
      <c r="AJ184" s="14" t="s">
        <v>224</v>
      </c>
      <c r="AK184" s="14" t="s">
        <v>240</v>
      </c>
      <c r="AL184" s="19" t="n">
        <f aca="false">ROUND('Start Here'!$B$29*AH184+'Start Here'!$B$30*MIN(IF(AD184="",0,AD184),50)/5+IF(M184&lt;=30000,'Start Here'!$B$31,IF(M184&lt;=60000,'Start Here'!$B$32,0)),1)</f>
        <v>5.8</v>
      </c>
      <c r="AM184" s="6" t="s">
        <v>415</v>
      </c>
      <c r="AN184" s="6" t="s">
        <v>1952</v>
      </c>
      <c r="AO184" s="6" t="s">
        <v>1953</v>
      </c>
      <c r="AP184" s="14" t="s">
        <v>1954</v>
      </c>
      <c r="AQ184" s="14" t="s">
        <v>524</v>
      </c>
      <c r="AR184" s="20" t="s">
        <v>246</v>
      </c>
      <c r="AS184" s="20"/>
    </row>
    <row r="185" customFormat="false" ht="60" hidden="false" customHeight="true" outlineLevel="0" collapsed="false">
      <c r="A185" s="14" t="n">
        <v>184</v>
      </c>
      <c r="B185" s="14" t="s">
        <v>247</v>
      </c>
      <c r="C185" s="14" t="s">
        <v>221</v>
      </c>
      <c r="D185" s="14" t="s">
        <v>222</v>
      </c>
      <c r="E185" s="14" t="s">
        <v>36</v>
      </c>
      <c r="F185" s="14" t="s">
        <v>224</v>
      </c>
      <c r="G185" s="14" t="s">
        <v>223</v>
      </c>
      <c r="H185" s="14" t="s">
        <v>224</v>
      </c>
      <c r="I185" s="14" t="s">
        <v>225</v>
      </c>
      <c r="J185" s="14" t="s">
        <v>1955</v>
      </c>
      <c r="K185" s="14" t="s">
        <v>1956</v>
      </c>
      <c r="L185" s="14" t="s">
        <v>1957</v>
      </c>
      <c r="M185" s="15" t="n">
        <v>8542</v>
      </c>
      <c r="N185" s="14" t="s">
        <v>283</v>
      </c>
      <c r="O185" s="14" t="s">
        <v>1958</v>
      </c>
      <c r="P185" s="16" t="s">
        <v>1959</v>
      </c>
      <c r="Q185" s="6" t="s">
        <v>1960</v>
      </c>
      <c r="R185" s="6" t="s">
        <v>1961</v>
      </c>
      <c r="S185" s="14" t="s">
        <v>255</v>
      </c>
      <c r="T185" s="14" t="s">
        <v>316</v>
      </c>
      <c r="U185" s="14" t="s">
        <v>236</v>
      </c>
      <c r="V185" s="14" t="s">
        <v>810</v>
      </c>
      <c r="W185" s="14"/>
      <c r="X185" s="14"/>
      <c r="Y185" s="15" t="n">
        <v>21391</v>
      </c>
      <c r="Z185" s="15" t="n">
        <v>60</v>
      </c>
      <c r="AA185" s="14" t="n">
        <v>3</v>
      </c>
      <c r="AB185" s="14"/>
      <c r="AC185" s="17" t="n">
        <v>0.00294516385395727</v>
      </c>
      <c r="AD185" s="18" t="n">
        <v>5.42</v>
      </c>
      <c r="AE185" s="18" t="n">
        <f aca="false">IF(AD185="","",MIN(AD185,100))</f>
        <v>5.42</v>
      </c>
      <c r="AF185" s="14" t="n">
        <v>90</v>
      </c>
      <c r="AG185" s="14" t="s">
        <v>224</v>
      </c>
      <c r="AH185" s="14" t="n">
        <v>7</v>
      </c>
      <c r="AI185" s="14" t="s">
        <v>224</v>
      </c>
      <c r="AJ185" s="14" t="s">
        <v>224</v>
      </c>
      <c r="AK185" s="14" t="s">
        <v>240</v>
      </c>
      <c r="AL185" s="19" t="n">
        <f aca="false">ROUND('Start Here'!$B$29*AH185+'Start Here'!$B$30*MIN(IF(AD185="",0,AD185),50)/5+IF(M185&lt;=30000,'Start Here'!$B$31,IF(M185&lt;=60000,'Start Here'!$B$32,0)),1)</f>
        <v>5.8</v>
      </c>
      <c r="AM185" s="6" t="s">
        <v>534</v>
      </c>
      <c r="AN185" s="6" t="s">
        <v>260</v>
      </c>
      <c r="AO185" s="6"/>
      <c r="AP185" s="14"/>
      <c r="AQ185" s="14" t="s">
        <v>373</v>
      </c>
      <c r="AR185" s="20" t="s">
        <v>246</v>
      </c>
      <c r="AS185" s="20"/>
    </row>
    <row r="186" customFormat="false" ht="60" hidden="false" customHeight="true" outlineLevel="0" collapsed="false">
      <c r="A186" s="14" t="n">
        <v>185</v>
      </c>
      <c r="B186" s="14" t="s">
        <v>220</v>
      </c>
      <c r="C186" s="14" t="s">
        <v>221</v>
      </c>
      <c r="D186" s="14" t="s">
        <v>222</v>
      </c>
      <c r="E186" s="14" t="s">
        <v>36</v>
      </c>
      <c r="F186" s="14" t="s">
        <v>223</v>
      </c>
      <c r="G186" s="14" t="s">
        <v>223</v>
      </c>
      <c r="H186" s="14" t="s">
        <v>223</v>
      </c>
      <c r="I186" s="14" t="s">
        <v>322</v>
      </c>
      <c r="J186" s="14" t="s">
        <v>1962</v>
      </c>
      <c r="K186" s="14" t="s">
        <v>1963</v>
      </c>
      <c r="L186" s="14" t="s">
        <v>1964</v>
      </c>
      <c r="M186" s="15" t="n">
        <v>17169</v>
      </c>
      <c r="N186" s="14" t="s">
        <v>229</v>
      </c>
      <c r="O186" s="14" t="s">
        <v>1965</v>
      </c>
      <c r="P186" s="16" t="s">
        <v>1966</v>
      </c>
      <c r="Q186" s="6" t="s">
        <v>1967</v>
      </c>
      <c r="R186" s="6" t="s">
        <v>1968</v>
      </c>
      <c r="S186" s="14" t="s">
        <v>255</v>
      </c>
      <c r="T186" s="14" t="s">
        <v>235</v>
      </c>
      <c r="U186" s="14" t="s">
        <v>236</v>
      </c>
      <c r="V186" s="14" t="s">
        <v>237</v>
      </c>
      <c r="W186" s="14" t="s">
        <v>332</v>
      </c>
      <c r="X186" s="14" t="s">
        <v>333</v>
      </c>
      <c r="Y186" s="15" t="n">
        <v>889051</v>
      </c>
      <c r="Z186" s="15" t="n">
        <v>2204</v>
      </c>
      <c r="AA186" s="14" t="n">
        <v>101</v>
      </c>
      <c r="AB186" s="14" t="n">
        <v>194</v>
      </c>
      <c r="AC186" s="17" t="n">
        <v>0.00281086236897546</v>
      </c>
      <c r="AD186" s="18" t="n">
        <v>21.73</v>
      </c>
      <c r="AE186" s="18" t="n">
        <f aca="false">IF(AD186="","",MIN(AD186,100))</f>
        <v>21.73</v>
      </c>
      <c r="AF186" s="14" t="n">
        <v>99.9</v>
      </c>
      <c r="AG186" s="14" t="s">
        <v>224</v>
      </c>
      <c r="AH186" s="14" t="n">
        <v>5</v>
      </c>
      <c r="AI186" s="14" t="s">
        <v>224</v>
      </c>
      <c r="AJ186" s="14" t="s">
        <v>224</v>
      </c>
      <c r="AK186" s="14" t="s">
        <v>240</v>
      </c>
      <c r="AL186" s="19" t="n">
        <f aca="false">ROUND('Start Here'!$B$29*AH186+'Start Here'!$B$30*MIN(IF(AD186="",0,AD186),50)/5+IF(M186&lt;=30000,'Start Here'!$B$31,IF(M186&lt;=60000,'Start Here'!$B$32,0)),1)</f>
        <v>5.8</v>
      </c>
      <c r="AM186" s="6" t="s">
        <v>259</v>
      </c>
      <c r="AN186" s="6" t="s">
        <v>1969</v>
      </c>
      <c r="AO186" s="6" t="s">
        <v>1970</v>
      </c>
      <c r="AP186" s="14" t="s">
        <v>1971</v>
      </c>
      <c r="AQ186" s="14" t="s">
        <v>263</v>
      </c>
      <c r="AR186" s="20" t="s">
        <v>246</v>
      </c>
      <c r="AS186" s="20"/>
    </row>
    <row r="187" customFormat="false" ht="60" hidden="false" customHeight="true" outlineLevel="0" collapsed="false">
      <c r="A187" s="14" t="n">
        <v>186</v>
      </c>
      <c r="B187" s="14" t="s">
        <v>247</v>
      </c>
      <c r="C187" s="14" t="s">
        <v>221</v>
      </c>
      <c r="D187" s="14" t="s">
        <v>222</v>
      </c>
      <c r="E187" s="14" t="s">
        <v>36</v>
      </c>
      <c r="F187" s="14" t="s">
        <v>223</v>
      </c>
      <c r="G187" s="14" t="s">
        <v>223</v>
      </c>
      <c r="H187" s="14" t="s">
        <v>224</v>
      </c>
      <c r="I187" s="14" t="s">
        <v>264</v>
      </c>
      <c r="J187" s="14" t="s">
        <v>924</v>
      </c>
      <c r="K187" s="14" t="s">
        <v>1972</v>
      </c>
      <c r="L187" s="14" t="s">
        <v>1973</v>
      </c>
      <c r="M187" s="15" t="n">
        <v>29248</v>
      </c>
      <c r="N187" s="14" t="s">
        <v>298</v>
      </c>
      <c r="O187" s="14" t="s">
        <v>1002</v>
      </c>
      <c r="P187" s="16" t="s">
        <v>1974</v>
      </c>
      <c r="Q187" s="6" t="s">
        <v>1975</v>
      </c>
      <c r="R187" s="6" t="s">
        <v>1976</v>
      </c>
      <c r="S187" s="14" t="s">
        <v>234</v>
      </c>
      <c r="T187" s="14" t="s">
        <v>235</v>
      </c>
      <c r="U187" s="14" t="s">
        <v>236</v>
      </c>
      <c r="V187" s="14" t="s">
        <v>256</v>
      </c>
      <c r="W187" s="14" t="s">
        <v>332</v>
      </c>
      <c r="X187" s="14" t="s">
        <v>333</v>
      </c>
      <c r="Y187" s="15" t="n">
        <v>12486</v>
      </c>
      <c r="Z187" s="15" t="n">
        <v>41</v>
      </c>
      <c r="AA187" s="14" t="n">
        <v>4</v>
      </c>
      <c r="AB187" s="14"/>
      <c r="AC187" s="17" t="n">
        <v>0.00360403652090341</v>
      </c>
      <c r="AD187" s="18" t="n">
        <v>21.68</v>
      </c>
      <c r="AE187" s="18" t="n">
        <f aca="false">IF(AD187="","",MIN(AD187,100))</f>
        <v>21.68</v>
      </c>
      <c r="AF187" s="14" t="n">
        <v>100</v>
      </c>
      <c r="AG187" s="14" t="s">
        <v>224</v>
      </c>
      <c r="AH187" s="14" t="n">
        <v>5</v>
      </c>
      <c r="AI187" s="14" t="s">
        <v>224</v>
      </c>
      <c r="AJ187" s="14" t="s">
        <v>224</v>
      </c>
      <c r="AK187" s="14" t="s">
        <v>240</v>
      </c>
      <c r="AL187" s="19" t="n">
        <f aca="false">ROUND('Start Here'!$B$29*AH187+'Start Here'!$B$30*MIN(IF(AD187="",0,AD187),50)/5+IF(M187&lt;=30000,'Start Here'!$B$31,IF(M187&lt;=60000,'Start Here'!$B$32,0)),1)</f>
        <v>5.8</v>
      </c>
      <c r="AM187" s="6" t="s">
        <v>503</v>
      </c>
      <c r="AN187" s="6" t="s">
        <v>1977</v>
      </c>
      <c r="AO187" s="6" t="s">
        <v>1978</v>
      </c>
      <c r="AP187" s="14" t="s">
        <v>1979</v>
      </c>
      <c r="AQ187" s="14" t="s">
        <v>1070</v>
      </c>
      <c r="AR187" s="20" t="s">
        <v>246</v>
      </c>
      <c r="AS187" s="20"/>
    </row>
    <row r="188" customFormat="false" ht="60" hidden="false" customHeight="true" outlineLevel="0" collapsed="false">
      <c r="A188" s="14" t="n">
        <v>187</v>
      </c>
      <c r="B188" s="14" t="s">
        <v>220</v>
      </c>
      <c r="C188" s="14" t="s">
        <v>221</v>
      </c>
      <c r="D188" s="14" t="s">
        <v>222</v>
      </c>
      <c r="E188" s="14" t="s">
        <v>34</v>
      </c>
      <c r="F188" s="14" t="s">
        <v>223</v>
      </c>
      <c r="G188" s="14" t="s">
        <v>224</v>
      </c>
      <c r="H188" s="14" t="s">
        <v>224</v>
      </c>
      <c r="I188" s="14" t="s">
        <v>322</v>
      </c>
      <c r="J188" s="14" t="s">
        <v>1980</v>
      </c>
      <c r="K188" s="14" t="s">
        <v>1981</v>
      </c>
      <c r="L188" s="14" t="s">
        <v>1982</v>
      </c>
      <c r="M188" s="15" t="n">
        <v>89170</v>
      </c>
      <c r="N188" s="14" t="s">
        <v>400</v>
      </c>
      <c r="O188" s="14" t="s">
        <v>1983</v>
      </c>
      <c r="P188" s="16" t="s">
        <v>1984</v>
      </c>
      <c r="Q188" s="6" t="s">
        <v>1985</v>
      </c>
      <c r="R188" s="6" t="s">
        <v>1986</v>
      </c>
      <c r="S188" s="14" t="s">
        <v>1495</v>
      </c>
      <c r="T188" s="14" t="s">
        <v>235</v>
      </c>
      <c r="U188" s="14" t="s">
        <v>236</v>
      </c>
      <c r="V188" s="14" t="s">
        <v>237</v>
      </c>
      <c r="W188" s="14" t="s">
        <v>687</v>
      </c>
      <c r="X188" s="14" t="s">
        <v>239</v>
      </c>
      <c r="Y188" s="15" t="n">
        <v>97452</v>
      </c>
      <c r="Z188" s="15" t="n">
        <v>1112</v>
      </c>
      <c r="AA188" s="14" t="n">
        <v>141</v>
      </c>
      <c r="AB188" s="14" t="n">
        <v>109</v>
      </c>
      <c r="AC188" s="17" t="n">
        <v>0.0139761113163404</v>
      </c>
      <c r="AD188" s="18" t="n">
        <v>38.31</v>
      </c>
      <c r="AE188" s="18" t="n">
        <f aca="false">IF(AD188="","",MIN(AD188,100))</f>
        <v>38.31</v>
      </c>
      <c r="AF188" s="14" t="n">
        <v>90.3</v>
      </c>
      <c r="AG188" s="14" t="s">
        <v>224</v>
      </c>
      <c r="AH188" s="14" t="n">
        <v>7</v>
      </c>
      <c r="AI188" s="14" t="s">
        <v>224</v>
      </c>
      <c r="AJ188" s="14" t="s">
        <v>224</v>
      </c>
      <c r="AK188" s="14" t="s">
        <v>240</v>
      </c>
      <c r="AL188" s="19" t="n">
        <f aca="false">ROUND('Start Here'!$B$29*AH188+'Start Here'!$B$30*MIN(IF(AD188="",0,AD188),50)/5+IF(M188&lt;=30000,'Start Here'!$B$31,IF(M188&lt;=60000,'Start Here'!$B$32,0)),1)</f>
        <v>5.8</v>
      </c>
      <c r="AM188" s="6" t="s">
        <v>1987</v>
      </c>
      <c r="AN188" s="6" t="s">
        <v>1788</v>
      </c>
      <c r="AO188" s="6" t="s">
        <v>1988</v>
      </c>
      <c r="AP188" s="14" t="s">
        <v>1989</v>
      </c>
      <c r="AQ188" s="14" t="s">
        <v>373</v>
      </c>
      <c r="AR188" s="20" t="s">
        <v>246</v>
      </c>
      <c r="AS188" s="20"/>
    </row>
    <row r="189" customFormat="false" ht="60" hidden="false" customHeight="true" outlineLevel="0" collapsed="false">
      <c r="A189" s="14" t="n">
        <v>188</v>
      </c>
      <c r="B189" s="14" t="s">
        <v>220</v>
      </c>
      <c r="C189" s="14" t="s">
        <v>221</v>
      </c>
      <c r="D189" s="14" t="s">
        <v>222</v>
      </c>
      <c r="E189" s="14" t="s">
        <v>36</v>
      </c>
      <c r="F189" s="14" t="s">
        <v>223</v>
      </c>
      <c r="G189" s="14" t="s">
        <v>223</v>
      </c>
      <c r="H189" s="14" t="s">
        <v>224</v>
      </c>
      <c r="I189" s="14" t="s">
        <v>322</v>
      </c>
      <c r="J189" s="14" t="s">
        <v>225</v>
      </c>
      <c r="K189" s="14" t="s">
        <v>1990</v>
      </c>
      <c r="L189" s="14" t="s">
        <v>1991</v>
      </c>
      <c r="M189" s="15" t="n">
        <v>9464</v>
      </c>
      <c r="N189" s="14" t="s">
        <v>283</v>
      </c>
      <c r="O189" s="14" t="s">
        <v>475</v>
      </c>
      <c r="P189" s="16" t="s">
        <v>1992</v>
      </c>
      <c r="Q189" s="6" t="s">
        <v>1993</v>
      </c>
      <c r="R189" s="6" t="s">
        <v>1994</v>
      </c>
      <c r="S189" s="14" t="s">
        <v>255</v>
      </c>
      <c r="T189" s="14" t="s">
        <v>235</v>
      </c>
      <c r="U189" s="14" t="s">
        <v>236</v>
      </c>
      <c r="V189" s="14" t="s">
        <v>237</v>
      </c>
      <c r="W189" s="14" t="s">
        <v>238</v>
      </c>
      <c r="X189" s="14" t="s">
        <v>688</v>
      </c>
      <c r="Y189" s="15" t="n">
        <v>223399</v>
      </c>
      <c r="Z189" s="15" t="n">
        <v>1081</v>
      </c>
      <c r="AA189" s="14" t="n">
        <v>51</v>
      </c>
      <c r="AB189" s="14" t="n">
        <v>88</v>
      </c>
      <c r="AC189" s="17" t="n">
        <v>0.00546108084637801</v>
      </c>
      <c r="AD189" s="18" t="n">
        <v>29.92</v>
      </c>
      <c r="AE189" s="18" t="n">
        <f aca="false">IF(AD189="","",MIN(AD189,100))</f>
        <v>29.92</v>
      </c>
      <c r="AF189" s="14" t="n">
        <v>95.9</v>
      </c>
      <c r="AG189" s="14" t="s">
        <v>224</v>
      </c>
      <c r="AH189" s="14" t="n">
        <v>4</v>
      </c>
      <c r="AI189" s="14" t="s">
        <v>224</v>
      </c>
      <c r="AJ189" s="14" t="s">
        <v>224</v>
      </c>
      <c r="AK189" s="14" t="s">
        <v>453</v>
      </c>
      <c r="AL189" s="19" t="n">
        <f aca="false">ROUND('Start Here'!$B$29*AH189+'Start Here'!$B$30*MIN(IF(AD189="",0,AD189),50)/5+IF(M189&lt;=30000,'Start Here'!$B$31,IF(M189&lt;=60000,'Start Here'!$B$32,0)),1)</f>
        <v>5.8</v>
      </c>
      <c r="AM189" s="6" t="s">
        <v>259</v>
      </c>
      <c r="AN189" s="6" t="s">
        <v>1995</v>
      </c>
      <c r="AO189" s="6" t="s">
        <v>1996</v>
      </c>
      <c r="AP189" s="14"/>
      <c r="AQ189" s="14" t="s">
        <v>1203</v>
      </c>
      <c r="AR189" s="20" t="s">
        <v>246</v>
      </c>
      <c r="AS189" s="20"/>
    </row>
    <row r="190" customFormat="false" ht="60" hidden="false" customHeight="true" outlineLevel="0" collapsed="false">
      <c r="A190" s="14" t="n">
        <v>189</v>
      </c>
      <c r="B190" s="14" t="s">
        <v>374</v>
      </c>
      <c r="C190" s="14" t="s">
        <v>221</v>
      </c>
      <c r="D190" s="14" t="s">
        <v>222</v>
      </c>
      <c r="E190" s="14" t="s">
        <v>36</v>
      </c>
      <c r="F190" s="14" t="s">
        <v>224</v>
      </c>
      <c r="G190" s="14" t="s">
        <v>223</v>
      </c>
      <c r="H190" s="14" t="s">
        <v>223</v>
      </c>
      <c r="I190" s="14" t="s">
        <v>308</v>
      </c>
      <c r="J190" s="14" t="s">
        <v>472</v>
      </c>
      <c r="K190" s="14" t="s">
        <v>1997</v>
      </c>
      <c r="L190" s="14" t="s">
        <v>1998</v>
      </c>
      <c r="M190" s="15" t="n">
        <v>25748</v>
      </c>
      <c r="N190" s="14" t="s">
        <v>298</v>
      </c>
      <c r="O190" s="14" t="s">
        <v>1999</v>
      </c>
      <c r="P190" s="16" t="s">
        <v>2000</v>
      </c>
      <c r="Q190" s="6" t="s">
        <v>2001</v>
      </c>
      <c r="R190" s="6" t="s">
        <v>2002</v>
      </c>
      <c r="S190" s="14" t="s">
        <v>234</v>
      </c>
      <c r="T190" s="14" t="s">
        <v>235</v>
      </c>
      <c r="U190" s="14" t="s">
        <v>236</v>
      </c>
      <c r="V190" s="14" t="s">
        <v>237</v>
      </c>
      <c r="W190" s="14" t="s">
        <v>332</v>
      </c>
      <c r="X190" s="14" t="s">
        <v>239</v>
      </c>
      <c r="Y190" s="15"/>
      <c r="Z190" s="15" t="n">
        <v>1109</v>
      </c>
      <c r="AA190" s="14" t="n">
        <v>292</v>
      </c>
      <c r="AB190" s="14" t="n">
        <v>30</v>
      </c>
      <c r="AC190" s="17" t="n">
        <v>0.0798281825281714</v>
      </c>
      <c r="AD190" s="18" t="n">
        <v>8.91</v>
      </c>
      <c r="AE190" s="18" t="n">
        <f aca="false">IF(AD190="","",MIN(AD190,100))</f>
        <v>8.91</v>
      </c>
      <c r="AF190" s="14" t="n">
        <v>95.5</v>
      </c>
      <c r="AG190" s="14" t="s">
        <v>224</v>
      </c>
      <c r="AH190" s="14" t="n">
        <v>6.5</v>
      </c>
      <c r="AI190" s="14" t="s">
        <v>224</v>
      </c>
      <c r="AJ190" s="14" t="s">
        <v>223</v>
      </c>
      <c r="AK190" s="14" t="s">
        <v>490</v>
      </c>
      <c r="AL190" s="19" t="n">
        <f aca="false">ROUND('Start Here'!$B$29*AH190+'Start Here'!$B$30*MIN(IF(AD190="",0,AD190),50)/5+IF(M190&lt;=30000,'Start Here'!$B$31,IF(M190&lt;=60000,'Start Here'!$B$32,0)),1)</f>
        <v>5.8</v>
      </c>
      <c r="AM190" s="6" t="s">
        <v>1307</v>
      </c>
      <c r="AN190" s="6" t="s">
        <v>1778</v>
      </c>
      <c r="AO190" s="6" t="s">
        <v>2003</v>
      </c>
      <c r="AP190" s="14" t="s">
        <v>2004</v>
      </c>
      <c r="AQ190" s="14" t="s">
        <v>2005</v>
      </c>
      <c r="AR190" s="20" t="s">
        <v>246</v>
      </c>
      <c r="AS190" s="20"/>
    </row>
    <row r="191" customFormat="false" ht="60" hidden="false" customHeight="true" outlineLevel="0" collapsed="false">
      <c r="A191" s="14" t="n">
        <v>190</v>
      </c>
      <c r="B191" s="14" t="s">
        <v>374</v>
      </c>
      <c r="C191" s="14" t="s">
        <v>221</v>
      </c>
      <c r="D191" s="14" t="s">
        <v>222</v>
      </c>
      <c r="E191" s="14" t="s">
        <v>34</v>
      </c>
      <c r="F191" s="14" t="s">
        <v>223</v>
      </c>
      <c r="G191" s="14" t="s">
        <v>224</v>
      </c>
      <c r="H191" s="14" t="s">
        <v>223</v>
      </c>
      <c r="I191" s="14" t="s">
        <v>322</v>
      </c>
      <c r="J191" s="14" t="s">
        <v>2006</v>
      </c>
      <c r="K191" s="14" t="s">
        <v>2007</v>
      </c>
      <c r="L191" s="14" t="s">
        <v>2008</v>
      </c>
      <c r="M191" s="15" t="n">
        <v>100285</v>
      </c>
      <c r="N191" s="14" t="s">
        <v>2009</v>
      </c>
      <c r="O191" s="14" t="s">
        <v>2010</v>
      </c>
      <c r="P191" s="16" t="s">
        <v>2011</v>
      </c>
      <c r="Q191" s="6" t="s">
        <v>2012</v>
      </c>
      <c r="R191" s="6" t="s">
        <v>2013</v>
      </c>
      <c r="S191" s="14" t="s">
        <v>330</v>
      </c>
      <c r="T191" s="14" t="s">
        <v>273</v>
      </c>
      <c r="U191" s="14" t="s">
        <v>274</v>
      </c>
      <c r="V191" s="14" t="s">
        <v>383</v>
      </c>
      <c r="W191" s="14"/>
      <c r="X191" s="14"/>
      <c r="Y191" s="15"/>
      <c r="Z191" s="15" t="n">
        <v>1813</v>
      </c>
      <c r="AA191" s="14" t="n">
        <v>3153</v>
      </c>
      <c r="AB191" s="14" t="n">
        <v>66</v>
      </c>
      <c r="AC191" s="17" t="n">
        <v>0.050560668783409</v>
      </c>
      <c r="AD191" s="18" t="n">
        <v>38.04</v>
      </c>
      <c r="AE191" s="18" t="n">
        <f aca="false">IF(AD191="","",MIN(AD191,100))</f>
        <v>38.04</v>
      </c>
      <c r="AF191" s="14" t="n">
        <v>99.6</v>
      </c>
      <c r="AG191" s="14" t="s">
        <v>224</v>
      </c>
      <c r="AH191" s="14" t="n">
        <v>7</v>
      </c>
      <c r="AI191" s="14" t="s">
        <v>224</v>
      </c>
      <c r="AJ191" s="14" t="s">
        <v>224</v>
      </c>
      <c r="AK191" s="14" t="s">
        <v>240</v>
      </c>
      <c r="AL191" s="19" t="n">
        <f aca="false">ROUND('Start Here'!$B$29*AH191+'Start Here'!$B$30*MIN(IF(AD191="",0,AD191),50)/5+IF(M191&lt;=30000,'Start Here'!$B$31,IF(M191&lt;=60000,'Start Here'!$B$32,0)),1)</f>
        <v>5.8</v>
      </c>
      <c r="AM191" s="6" t="s">
        <v>2014</v>
      </c>
      <c r="AN191" s="6" t="s">
        <v>335</v>
      </c>
      <c r="AO191" s="6"/>
      <c r="AP191" s="14"/>
      <c r="AQ191" s="14" t="s">
        <v>2015</v>
      </c>
      <c r="AR191" s="20" t="s">
        <v>246</v>
      </c>
      <c r="AS191" s="20"/>
    </row>
    <row r="192" customFormat="false" ht="60" hidden="false" customHeight="true" outlineLevel="0" collapsed="false">
      <c r="A192" s="14" t="n">
        <v>191</v>
      </c>
      <c r="B192" s="14" t="s">
        <v>374</v>
      </c>
      <c r="C192" s="14" t="s">
        <v>221</v>
      </c>
      <c r="D192" s="14" t="s">
        <v>222</v>
      </c>
      <c r="E192" s="14" t="s">
        <v>34</v>
      </c>
      <c r="F192" s="14" t="s">
        <v>223</v>
      </c>
      <c r="G192" s="14" t="s">
        <v>224</v>
      </c>
      <c r="H192" s="14" t="s">
        <v>223</v>
      </c>
      <c r="I192" s="14" t="s">
        <v>322</v>
      </c>
      <c r="J192" s="14" t="s">
        <v>2006</v>
      </c>
      <c r="K192" s="14" t="s">
        <v>2007</v>
      </c>
      <c r="L192" s="14" t="s">
        <v>2008</v>
      </c>
      <c r="M192" s="15" t="n">
        <v>100285</v>
      </c>
      <c r="N192" s="14" t="s">
        <v>2009</v>
      </c>
      <c r="O192" s="14" t="s">
        <v>2010</v>
      </c>
      <c r="P192" s="16" t="s">
        <v>2016</v>
      </c>
      <c r="Q192" s="6" t="s">
        <v>2012</v>
      </c>
      <c r="R192" s="6" t="s">
        <v>2013</v>
      </c>
      <c r="S192" s="14" t="s">
        <v>330</v>
      </c>
      <c r="T192" s="14" t="s">
        <v>273</v>
      </c>
      <c r="U192" s="14" t="s">
        <v>274</v>
      </c>
      <c r="V192" s="14" t="s">
        <v>383</v>
      </c>
      <c r="W192" s="14"/>
      <c r="X192" s="14"/>
      <c r="Y192" s="15"/>
      <c r="Z192" s="15" t="n">
        <v>1813</v>
      </c>
      <c r="AA192" s="14" t="n">
        <v>3153</v>
      </c>
      <c r="AB192" s="14" t="n">
        <v>66</v>
      </c>
      <c r="AC192" s="17" t="n">
        <v>0.050560668783409</v>
      </c>
      <c r="AD192" s="18" t="n">
        <v>38.04</v>
      </c>
      <c r="AE192" s="18" t="n">
        <f aca="false">IF(AD192="","",MIN(AD192,100))</f>
        <v>38.04</v>
      </c>
      <c r="AF192" s="14" t="n">
        <v>99.6</v>
      </c>
      <c r="AG192" s="14" t="s">
        <v>224</v>
      </c>
      <c r="AH192" s="14" t="n">
        <v>7</v>
      </c>
      <c r="AI192" s="14" t="s">
        <v>224</v>
      </c>
      <c r="AJ192" s="14" t="s">
        <v>224</v>
      </c>
      <c r="AK192" s="14" t="s">
        <v>240</v>
      </c>
      <c r="AL192" s="19" t="n">
        <f aca="false">ROUND('Start Here'!$B$29*AH192+'Start Here'!$B$30*MIN(IF(AD192="",0,AD192),50)/5+IF(M192&lt;=30000,'Start Here'!$B$31,IF(M192&lt;=60000,'Start Here'!$B$32,0)),1)</f>
        <v>5.8</v>
      </c>
      <c r="AM192" s="6" t="s">
        <v>2014</v>
      </c>
      <c r="AN192" s="6" t="s">
        <v>335</v>
      </c>
      <c r="AO192" s="6"/>
      <c r="AP192" s="14"/>
      <c r="AQ192" s="14" t="s">
        <v>2015</v>
      </c>
      <c r="AR192" s="20" t="s">
        <v>246</v>
      </c>
      <c r="AS192" s="20"/>
    </row>
    <row r="193" customFormat="false" ht="60" hidden="false" customHeight="true" outlineLevel="0" collapsed="false">
      <c r="A193" s="14" t="n">
        <v>192</v>
      </c>
      <c r="B193" s="14" t="s">
        <v>247</v>
      </c>
      <c r="C193" s="14" t="s">
        <v>221</v>
      </c>
      <c r="D193" s="14" t="s">
        <v>443</v>
      </c>
      <c r="E193" s="14" t="s">
        <v>36</v>
      </c>
      <c r="F193" s="14" t="s">
        <v>223</v>
      </c>
      <c r="G193" s="14" t="s">
        <v>223</v>
      </c>
      <c r="H193" s="14" t="s">
        <v>224</v>
      </c>
      <c r="I193" s="14" t="s">
        <v>225</v>
      </c>
      <c r="J193" s="14" t="s">
        <v>2017</v>
      </c>
      <c r="K193" s="14" t="s">
        <v>2018</v>
      </c>
      <c r="L193" s="14" t="s">
        <v>2019</v>
      </c>
      <c r="M193" s="15" t="n">
        <v>7300</v>
      </c>
      <c r="N193" s="14" t="s">
        <v>283</v>
      </c>
      <c r="O193" s="14" t="s">
        <v>447</v>
      </c>
      <c r="P193" s="16" t="s">
        <v>2020</v>
      </c>
      <c r="Q193" s="6" t="s">
        <v>2021</v>
      </c>
      <c r="R193" s="6" t="s">
        <v>2022</v>
      </c>
      <c r="S193" s="14" t="s">
        <v>255</v>
      </c>
      <c r="T193" s="14" t="s">
        <v>235</v>
      </c>
      <c r="U193" s="14" t="s">
        <v>236</v>
      </c>
      <c r="V193" s="14" t="s">
        <v>2023</v>
      </c>
      <c r="W193" s="14" t="s">
        <v>1600</v>
      </c>
      <c r="X193" s="14"/>
      <c r="Y193" s="15" t="n">
        <v>88500</v>
      </c>
      <c r="Z193" s="15"/>
      <c r="AA193" s="14"/>
      <c r="AB193" s="14"/>
      <c r="AC193" s="17"/>
      <c r="AD193" s="18" t="n">
        <v>12.9</v>
      </c>
      <c r="AE193" s="18" t="n">
        <f aca="false">IF(AD193="","",MIN(AD193,100))</f>
        <v>12.9</v>
      </c>
      <c r="AF193" s="14"/>
      <c r="AG193" s="14" t="s">
        <v>224</v>
      </c>
      <c r="AH193" s="14" t="n">
        <v>6</v>
      </c>
      <c r="AI193" s="14" t="s">
        <v>224</v>
      </c>
      <c r="AJ193" s="14" t="s">
        <v>224</v>
      </c>
      <c r="AK193" s="14" t="s">
        <v>240</v>
      </c>
      <c r="AL193" s="19" t="n">
        <f aca="false">ROUND('Start Here'!$B$29*AH193+'Start Here'!$B$30*MIN(IF(AD193="",0,AD193),50)/5+IF(M193&lt;=30000,'Start Here'!$B$31,IF(M193&lt;=60000,'Start Here'!$B$32,0)),1)</f>
        <v>5.8</v>
      </c>
      <c r="AM193" s="6" t="s">
        <v>2024</v>
      </c>
      <c r="AN193" s="6" t="s">
        <v>260</v>
      </c>
      <c r="AO193" s="6" t="s">
        <v>2025</v>
      </c>
      <c r="AP193" s="14" t="s">
        <v>1342</v>
      </c>
      <c r="AQ193" s="14" t="s">
        <v>923</v>
      </c>
      <c r="AR193" s="20" t="s">
        <v>246</v>
      </c>
      <c r="AS193" s="20"/>
    </row>
    <row r="194" customFormat="false" ht="60" hidden="false" customHeight="true" outlineLevel="0" collapsed="false">
      <c r="A194" s="14" t="n">
        <v>193</v>
      </c>
      <c r="B194" s="14" t="s">
        <v>220</v>
      </c>
      <c r="C194" s="14" t="s">
        <v>221</v>
      </c>
      <c r="D194" s="14" t="s">
        <v>222</v>
      </c>
      <c r="E194" s="14" t="s">
        <v>40</v>
      </c>
      <c r="F194" s="14" t="s">
        <v>224</v>
      </c>
      <c r="G194" s="14" t="s">
        <v>224</v>
      </c>
      <c r="H194" s="14" t="s">
        <v>224</v>
      </c>
      <c r="I194" s="14" t="s">
        <v>375</v>
      </c>
      <c r="J194" s="14" t="s">
        <v>924</v>
      </c>
      <c r="K194" s="14" t="s">
        <v>2026</v>
      </c>
      <c r="L194" s="14" t="s">
        <v>2027</v>
      </c>
      <c r="M194" s="15" t="n">
        <v>6650</v>
      </c>
      <c r="N194" s="14" t="s">
        <v>283</v>
      </c>
      <c r="O194" s="14" t="s">
        <v>2028</v>
      </c>
      <c r="P194" s="16" t="s">
        <v>2029</v>
      </c>
      <c r="Q194" s="6" t="s">
        <v>2030</v>
      </c>
      <c r="R194" s="6" t="s">
        <v>2031</v>
      </c>
      <c r="S194" s="14" t="s">
        <v>884</v>
      </c>
      <c r="T194" s="14" t="s">
        <v>235</v>
      </c>
      <c r="U194" s="14" t="s">
        <v>236</v>
      </c>
      <c r="V194" s="14" t="s">
        <v>725</v>
      </c>
      <c r="W194" s="14"/>
      <c r="X194" s="14"/>
      <c r="Y194" s="15" t="n">
        <v>7768</v>
      </c>
      <c r="Z194" s="15" t="n">
        <v>83</v>
      </c>
      <c r="AA194" s="14" t="n">
        <v>16</v>
      </c>
      <c r="AB194" s="14" t="n">
        <v>6</v>
      </c>
      <c r="AC194" s="17" t="n">
        <v>0.0135169927909372</v>
      </c>
      <c r="AD194" s="18" t="n">
        <v>4.41</v>
      </c>
      <c r="AE194" s="18" t="n">
        <f aca="false">IF(AD194="","",MIN(AD194,100))</f>
        <v>4.41</v>
      </c>
      <c r="AF194" s="14" t="n">
        <v>97.8</v>
      </c>
      <c r="AG194" s="14" t="s">
        <v>224</v>
      </c>
      <c r="AH194" s="14" t="n">
        <v>7</v>
      </c>
      <c r="AI194" s="14" t="s">
        <v>224</v>
      </c>
      <c r="AJ194" s="14" t="s">
        <v>224</v>
      </c>
      <c r="AK194" s="14" t="s">
        <v>240</v>
      </c>
      <c r="AL194" s="19" t="n">
        <f aca="false">ROUND('Start Here'!$B$29*AH194+'Start Here'!$B$30*MIN(IF(AD194="",0,AD194),50)/5+IF(M194&lt;=30000,'Start Here'!$B$31,IF(M194&lt;=60000,'Start Here'!$B$32,0)),1)</f>
        <v>5.8</v>
      </c>
      <c r="AM194" s="6" t="s">
        <v>1163</v>
      </c>
      <c r="AN194" s="6" t="s">
        <v>2032</v>
      </c>
      <c r="AO194" s="6"/>
      <c r="AP194" s="14"/>
      <c r="AQ194" s="14" t="s">
        <v>735</v>
      </c>
      <c r="AR194" s="20" t="s">
        <v>246</v>
      </c>
      <c r="AS194" s="20"/>
    </row>
    <row r="195" customFormat="false" ht="60" hidden="false" customHeight="true" outlineLevel="0" collapsed="false">
      <c r="A195" s="14" t="n">
        <v>194</v>
      </c>
      <c r="B195" s="14" t="s">
        <v>374</v>
      </c>
      <c r="C195" s="14" t="s">
        <v>221</v>
      </c>
      <c r="D195" s="14" t="s">
        <v>222</v>
      </c>
      <c r="E195" s="14" t="s">
        <v>34</v>
      </c>
      <c r="F195" s="14" t="s">
        <v>223</v>
      </c>
      <c r="G195" s="14" t="s">
        <v>224</v>
      </c>
      <c r="H195" s="14" t="s">
        <v>223</v>
      </c>
      <c r="I195" s="14" t="s">
        <v>322</v>
      </c>
      <c r="J195" s="14" t="s">
        <v>2033</v>
      </c>
      <c r="K195" s="14" t="s">
        <v>2034</v>
      </c>
      <c r="L195" s="14" t="s">
        <v>2035</v>
      </c>
      <c r="M195" s="15" t="n">
        <v>34356</v>
      </c>
      <c r="N195" s="14" t="s">
        <v>462</v>
      </c>
      <c r="O195" s="14" t="s">
        <v>1983</v>
      </c>
      <c r="P195" s="16" t="s">
        <v>2036</v>
      </c>
      <c r="Q195" s="6" t="s">
        <v>2037</v>
      </c>
      <c r="R195" s="6" t="s">
        <v>2038</v>
      </c>
      <c r="S195" s="14" t="s">
        <v>234</v>
      </c>
      <c r="T195" s="14" t="s">
        <v>235</v>
      </c>
      <c r="U195" s="14" t="s">
        <v>236</v>
      </c>
      <c r="V195" s="14" t="s">
        <v>237</v>
      </c>
      <c r="W195" s="14" t="s">
        <v>332</v>
      </c>
      <c r="X195" s="14" t="s">
        <v>258</v>
      </c>
      <c r="Y195" s="15"/>
      <c r="Z195" s="15" t="n">
        <v>2705</v>
      </c>
      <c r="AA195" s="14" t="n">
        <v>118</v>
      </c>
      <c r="AB195" s="14" t="n">
        <v>47</v>
      </c>
      <c r="AC195" s="17" t="n">
        <v>0.101024323277835</v>
      </c>
      <c r="AD195" s="18" t="n">
        <v>57.82</v>
      </c>
      <c r="AE195" s="18" t="n">
        <f aca="false">IF(AD195="","",MIN(AD195,100))</f>
        <v>57.82</v>
      </c>
      <c r="AF195" s="14" t="n">
        <v>99.7</v>
      </c>
      <c r="AG195" s="14" t="s">
        <v>224</v>
      </c>
      <c r="AH195" s="14" t="n">
        <v>3.5</v>
      </c>
      <c r="AI195" s="14" t="s">
        <v>224</v>
      </c>
      <c r="AJ195" s="14" t="s">
        <v>223</v>
      </c>
      <c r="AK195" s="14" t="s">
        <v>490</v>
      </c>
      <c r="AL195" s="19" t="n">
        <f aca="false">ROUND('Start Here'!$B$29*AH195+'Start Here'!$B$30*MIN(IF(AD195="",0,AD195),50)/5+IF(M195&lt;=30000,'Start Here'!$B$31,IF(M195&lt;=60000,'Start Here'!$B$32,0)),1)</f>
        <v>5.8</v>
      </c>
      <c r="AM195" s="6" t="s">
        <v>958</v>
      </c>
      <c r="AN195" s="6" t="s">
        <v>1937</v>
      </c>
      <c r="AO195" s="6" t="s">
        <v>2039</v>
      </c>
      <c r="AP195" s="14" t="s">
        <v>2040</v>
      </c>
      <c r="AQ195" s="14" t="s">
        <v>1672</v>
      </c>
      <c r="AR195" s="20" t="s">
        <v>246</v>
      </c>
      <c r="AS195" s="20"/>
    </row>
    <row r="196" customFormat="false" ht="60" hidden="false" customHeight="true" outlineLevel="0" collapsed="false">
      <c r="A196" s="14" t="n">
        <v>195</v>
      </c>
      <c r="B196" s="14" t="s">
        <v>247</v>
      </c>
      <c r="C196" s="14" t="s">
        <v>221</v>
      </c>
      <c r="D196" s="14" t="s">
        <v>443</v>
      </c>
      <c r="E196" s="14" t="s">
        <v>36</v>
      </c>
      <c r="F196" s="14" t="s">
        <v>223</v>
      </c>
      <c r="G196" s="14" t="s">
        <v>223</v>
      </c>
      <c r="H196" s="14" t="s">
        <v>224</v>
      </c>
      <c r="I196" s="14" t="s">
        <v>635</v>
      </c>
      <c r="J196" s="14" t="s">
        <v>2041</v>
      </c>
      <c r="K196" s="14" t="s">
        <v>1343</v>
      </c>
      <c r="L196" s="14" t="s">
        <v>1344</v>
      </c>
      <c r="M196" s="15" t="n">
        <v>8200</v>
      </c>
      <c r="N196" s="14" t="s">
        <v>283</v>
      </c>
      <c r="O196" s="14" t="s">
        <v>447</v>
      </c>
      <c r="P196" s="16" t="s">
        <v>2042</v>
      </c>
      <c r="Q196" s="6" t="s">
        <v>2043</v>
      </c>
      <c r="R196" s="6" t="s">
        <v>2044</v>
      </c>
      <c r="S196" s="14" t="s">
        <v>330</v>
      </c>
      <c r="T196" s="14" t="s">
        <v>235</v>
      </c>
      <c r="U196" s="14" t="s">
        <v>346</v>
      </c>
      <c r="V196" s="14" t="s">
        <v>1589</v>
      </c>
      <c r="W196" s="14" t="s">
        <v>452</v>
      </c>
      <c r="X196" s="14"/>
      <c r="Y196" s="15" t="n">
        <v>58100</v>
      </c>
      <c r="Z196" s="15"/>
      <c r="AA196" s="14"/>
      <c r="AB196" s="14"/>
      <c r="AC196" s="17"/>
      <c r="AD196" s="18" t="n">
        <v>20.4</v>
      </c>
      <c r="AE196" s="18" t="n">
        <f aca="false">IF(AD196="","",MIN(AD196,100))</f>
        <v>20.4</v>
      </c>
      <c r="AF196" s="14"/>
      <c r="AG196" s="14" t="s">
        <v>224</v>
      </c>
      <c r="AH196" s="14" t="n">
        <v>5</v>
      </c>
      <c r="AI196" s="14" t="s">
        <v>224</v>
      </c>
      <c r="AJ196" s="14" t="s">
        <v>224</v>
      </c>
      <c r="AK196" s="14" t="s">
        <v>240</v>
      </c>
      <c r="AL196" s="19" t="n">
        <f aca="false">ROUND('Start Here'!$B$29*AH196+'Start Here'!$B$30*MIN(IF(AD196="",0,AD196),50)/5+IF(M196&lt;=30000,'Start Here'!$B$31,IF(M196&lt;=60000,'Start Here'!$B$32,0)),1)</f>
        <v>5.7</v>
      </c>
      <c r="AM196" s="6" t="s">
        <v>2045</v>
      </c>
      <c r="AN196" s="6" t="s">
        <v>644</v>
      </c>
      <c r="AO196" s="6" t="s">
        <v>2046</v>
      </c>
      <c r="AP196" s="14" t="s">
        <v>922</v>
      </c>
      <c r="AQ196" s="14" t="s">
        <v>574</v>
      </c>
      <c r="AR196" s="20" t="s">
        <v>246</v>
      </c>
      <c r="AS196" s="20"/>
    </row>
    <row r="197" customFormat="false" ht="60" hidden="false" customHeight="true" outlineLevel="0" collapsed="false">
      <c r="A197" s="14" t="n">
        <v>196</v>
      </c>
      <c r="B197" s="14" t="s">
        <v>220</v>
      </c>
      <c r="C197" s="14" t="s">
        <v>221</v>
      </c>
      <c r="D197" s="14" t="s">
        <v>222</v>
      </c>
      <c r="E197" s="14" t="s">
        <v>40</v>
      </c>
      <c r="F197" s="14" t="s">
        <v>224</v>
      </c>
      <c r="G197" s="14" t="s">
        <v>224</v>
      </c>
      <c r="H197" s="14" t="s">
        <v>224</v>
      </c>
      <c r="I197" s="14" t="s">
        <v>322</v>
      </c>
      <c r="J197" s="14" t="s">
        <v>1250</v>
      </c>
      <c r="K197" s="14" t="s">
        <v>2047</v>
      </c>
      <c r="L197" s="14" t="s">
        <v>2048</v>
      </c>
      <c r="M197" s="15" t="n">
        <v>13678</v>
      </c>
      <c r="N197" s="14" t="s">
        <v>229</v>
      </c>
      <c r="O197" s="14" t="s">
        <v>955</v>
      </c>
      <c r="P197" s="16" t="s">
        <v>2049</v>
      </c>
      <c r="Q197" s="6" t="s">
        <v>2050</v>
      </c>
      <c r="R197" s="6" t="s">
        <v>2051</v>
      </c>
      <c r="S197" s="14" t="s">
        <v>234</v>
      </c>
      <c r="T197" s="14" t="s">
        <v>235</v>
      </c>
      <c r="U197" s="14" t="s">
        <v>236</v>
      </c>
      <c r="V197" s="14" t="s">
        <v>439</v>
      </c>
      <c r="W197" s="14"/>
      <c r="X197" s="14"/>
      <c r="Y197" s="15" t="n">
        <v>2023</v>
      </c>
      <c r="Z197" s="15" t="n">
        <v>19</v>
      </c>
      <c r="AA197" s="14" t="n">
        <v>11</v>
      </c>
      <c r="AB197" s="14" t="n">
        <v>0</v>
      </c>
      <c r="AC197" s="17" t="n">
        <v>0.0148294611962432</v>
      </c>
      <c r="AD197" s="18" t="n">
        <v>3.17</v>
      </c>
      <c r="AE197" s="18" t="n">
        <f aca="false">IF(AD197="","",MIN(AD197,100))</f>
        <v>3.17</v>
      </c>
      <c r="AF197" s="14" t="n">
        <v>95.2</v>
      </c>
      <c r="AG197" s="14" t="s">
        <v>224</v>
      </c>
      <c r="AH197" s="14" t="n">
        <v>7</v>
      </c>
      <c r="AI197" s="14" t="s">
        <v>224</v>
      </c>
      <c r="AJ197" s="14" t="s">
        <v>224</v>
      </c>
      <c r="AK197" s="14" t="s">
        <v>240</v>
      </c>
      <c r="AL197" s="19" t="n">
        <f aca="false">ROUND('Start Here'!$B$29*AH197+'Start Here'!$B$30*MIN(IF(AD197="",0,AD197),50)/5+IF(M197&lt;=30000,'Start Here'!$B$31,IF(M197&lt;=60000,'Start Here'!$B$32,0)),1)</f>
        <v>5.7</v>
      </c>
      <c r="AM197" s="6" t="s">
        <v>1307</v>
      </c>
      <c r="AN197" s="6" t="s">
        <v>360</v>
      </c>
      <c r="AO197" s="6"/>
      <c r="AP197" s="14"/>
      <c r="AQ197" s="14" t="s">
        <v>351</v>
      </c>
      <c r="AR197" s="20" t="s">
        <v>246</v>
      </c>
      <c r="AS197" s="20"/>
    </row>
    <row r="198" customFormat="false" ht="60" hidden="false" customHeight="true" outlineLevel="0" collapsed="false">
      <c r="A198" s="14" t="n">
        <v>197</v>
      </c>
      <c r="B198" s="14" t="s">
        <v>247</v>
      </c>
      <c r="C198" s="14" t="s">
        <v>221</v>
      </c>
      <c r="D198" s="14" t="s">
        <v>222</v>
      </c>
      <c r="E198" s="14" t="s">
        <v>36</v>
      </c>
      <c r="F198" s="14" t="s">
        <v>223</v>
      </c>
      <c r="G198" s="14" t="s">
        <v>223</v>
      </c>
      <c r="H198" s="14" t="s">
        <v>224</v>
      </c>
      <c r="I198" s="14" t="s">
        <v>322</v>
      </c>
      <c r="J198" s="14" t="s">
        <v>518</v>
      </c>
      <c r="K198" s="14" t="s">
        <v>2052</v>
      </c>
      <c r="L198" s="14" t="s">
        <v>1523</v>
      </c>
      <c r="M198" s="15" t="n">
        <v>7214</v>
      </c>
      <c r="N198" s="14" t="s">
        <v>283</v>
      </c>
      <c r="O198" s="14" t="s">
        <v>2053</v>
      </c>
      <c r="P198" s="16" t="s">
        <v>2054</v>
      </c>
      <c r="Q198" s="6" t="s">
        <v>2055</v>
      </c>
      <c r="R198" s="6" t="s">
        <v>2056</v>
      </c>
      <c r="S198" s="14" t="s">
        <v>272</v>
      </c>
      <c r="T198" s="14" t="s">
        <v>273</v>
      </c>
      <c r="U198" s="14" t="s">
        <v>274</v>
      </c>
      <c r="V198" s="14" t="s">
        <v>810</v>
      </c>
      <c r="W198" s="14"/>
      <c r="X198" s="14"/>
      <c r="Y198" s="15" t="n">
        <v>43223</v>
      </c>
      <c r="Z198" s="15" t="n">
        <v>811</v>
      </c>
      <c r="AA198" s="14" t="n">
        <v>407</v>
      </c>
      <c r="AB198" s="14"/>
      <c r="AC198" s="17" t="n">
        <v>0.0281794415010527</v>
      </c>
      <c r="AD198" s="18" t="n">
        <v>19.27</v>
      </c>
      <c r="AE198" s="18" t="n">
        <f aca="false">IF(AD198="","",MIN(AD198,100))</f>
        <v>19.27</v>
      </c>
      <c r="AF198" s="14" t="n">
        <v>98.2</v>
      </c>
      <c r="AG198" s="14" t="s">
        <v>224</v>
      </c>
      <c r="AH198" s="14" t="n">
        <v>5</v>
      </c>
      <c r="AI198" s="14" t="s">
        <v>224</v>
      </c>
      <c r="AJ198" s="14" t="s">
        <v>224</v>
      </c>
      <c r="AK198" s="14" t="s">
        <v>240</v>
      </c>
      <c r="AL198" s="19" t="n">
        <f aca="false">ROUND('Start Here'!$B$29*AH198+'Start Here'!$B$30*MIN(IF(AD198="",0,AD198),50)/5+IF(M198&lt;=30000,'Start Here'!$B$31,IF(M198&lt;=60000,'Start Here'!$B$32,0)),1)</f>
        <v>5.7</v>
      </c>
      <c r="AM198" s="6" t="s">
        <v>276</v>
      </c>
      <c r="AN198" s="6" t="s">
        <v>2057</v>
      </c>
      <c r="AO198" s="6"/>
      <c r="AP198" s="14"/>
      <c r="AQ198" s="14" t="s">
        <v>2058</v>
      </c>
      <c r="AR198" s="20" t="s">
        <v>246</v>
      </c>
      <c r="AS198" s="20"/>
    </row>
    <row r="199" customFormat="false" ht="60" hidden="false" customHeight="true" outlineLevel="0" collapsed="false">
      <c r="A199" s="14" t="n">
        <v>198</v>
      </c>
      <c r="B199" s="14" t="s">
        <v>247</v>
      </c>
      <c r="C199" s="14" t="s">
        <v>221</v>
      </c>
      <c r="D199" s="14" t="s">
        <v>222</v>
      </c>
      <c r="E199" s="14" t="s">
        <v>34</v>
      </c>
      <c r="F199" s="14" t="s">
        <v>223</v>
      </c>
      <c r="G199" s="14" t="s">
        <v>224</v>
      </c>
      <c r="H199" s="14" t="s">
        <v>224</v>
      </c>
      <c r="I199" s="14" t="s">
        <v>635</v>
      </c>
      <c r="J199" s="14" t="s">
        <v>2059</v>
      </c>
      <c r="K199" s="14" t="s">
        <v>2060</v>
      </c>
      <c r="L199" s="14" t="s">
        <v>2061</v>
      </c>
      <c r="M199" s="15" t="n">
        <v>46457</v>
      </c>
      <c r="N199" s="14" t="s">
        <v>462</v>
      </c>
      <c r="O199" s="14" t="s">
        <v>2062</v>
      </c>
      <c r="P199" s="16" t="s">
        <v>2063</v>
      </c>
      <c r="Q199" s="6" t="s">
        <v>2064</v>
      </c>
      <c r="R199" s="6" t="s">
        <v>2065</v>
      </c>
      <c r="S199" s="14" t="s">
        <v>255</v>
      </c>
      <c r="T199" s="14" t="s">
        <v>316</v>
      </c>
      <c r="U199" s="14" t="s">
        <v>236</v>
      </c>
      <c r="V199" s="14" t="s">
        <v>810</v>
      </c>
      <c r="W199" s="14"/>
      <c r="X199" s="14"/>
      <c r="Y199" s="15" t="n">
        <v>192036</v>
      </c>
      <c r="Z199" s="15" t="n">
        <v>4386</v>
      </c>
      <c r="AA199" s="14" t="n">
        <v>2487</v>
      </c>
      <c r="AB199" s="14"/>
      <c r="AC199" s="17" t="n">
        <v>0.0357901643441855</v>
      </c>
      <c r="AD199" s="18" t="n">
        <v>117.36</v>
      </c>
      <c r="AE199" s="18" t="n">
        <f aca="false">IF(AD199="","",MIN(AD199,100))</f>
        <v>100</v>
      </c>
      <c r="AF199" s="14" t="n">
        <v>98.6</v>
      </c>
      <c r="AG199" s="14" t="s">
        <v>224</v>
      </c>
      <c r="AH199" s="14" t="n">
        <v>3.3</v>
      </c>
      <c r="AI199" s="14" t="s">
        <v>224</v>
      </c>
      <c r="AJ199" s="14" t="s">
        <v>224</v>
      </c>
      <c r="AK199" s="14" t="s">
        <v>240</v>
      </c>
      <c r="AL199" s="19" t="n">
        <f aca="false">ROUND('Start Here'!$B$29*AH199+'Start Here'!$B$30*MIN(IF(AD199="",0,AD199),50)/5+IF(M199&lt;=30000,'Start Here'!$B$31,IF(M199&lt;=60000,'Start Here'!$B$32,0)),1)</f>
        <v>5.7</v>
      </c>
      <c r="AM199" s="6" t="s">
        <v>491</v>
      </c>
      <c r="AN199" s="6" t="s">
        <v>2066</v>
      </c>
      <c r="AO199" s="6"/>
      <c r="AP199" s="14"/>
      <c r="AQ199" s="14" t="s">
        <v>495</v>
      </c>
      <c r="AR199" s="20" t="s">
        <v>246</v>
      </c>
      <c r="AS199" s="20"/>
    </row>
    <row r="200" customFormat="false" ht="60" hidden="false" customHeight="true" outlineLevel="0" collapsed="false">
      <c r="A200" s="14" t="n">
        <v>199</v>
      </c>
      <c r="B200" s="14" t="s">
        <v>220</v>
      </c>
      <c r="C200" s="14" t="s">
        <v>221</v>
      </c>
      <c r="D200" s="14" t="s">
        <v>222</v>
      </c>
      <c r="E200" s="14" t="s">
        <v>36</v>
      </c>
      <c r="F200" s="14" t="s">
        <v>224</v>
      </c>
      <c r="G200" s="14" t="s">
        <v>223</v>
      </c>
      <c r="H200" s="14" t="s">
        <v>224</v>
      </c>
      <c r="I200" s="14" t="s">
        <v>225</v>
      </c>
      <c r="J200" s="14" t="s">
        <v>2067</v>
      </c>
      <c r="K200" s="14" t="s">
        <v>2068</v>
      </c>
      <c r="L200" s="14" t="s">
        <v>2069</v>
      </c>
      <c r="M200" s="15" t="n">
        <v>7101</v>
      </c>
      <c r="N200" s="14" t="s">
        <v>283</v>
      </c>
      <c r="O200" s="14" t="s">
        <v>2070</v>
      </c>
      <c r="P200" s="16" t="s">
        <v>2071</v>
      </c>
      <c r="Q200" s="6" t="s">
        <v>2072</v>
      </c>
      <c r="R200" s="6" t="s">
        <v>2073</v>
      </c>
      <c r="S200" s="14" t="s">
        <v>685</v>
      </c>
      <c r="T200" s="14" t="s">
        <v>235</v>
      </c>
      <c r="U200" s="14" t="s">
        <v>686</v>
      </c>
      <c r="V200" s="14" t="s">
        <v>725</v>
      </c>
      <c r="W200" s="14"/>
      <c r="X200" s="14"/>
      <c r="Y200" s="15" t="n">
        <v>70362</v>
      </c>
      <c r="Z200" s="15" t="n">
        <v>96</v>
      </c>
      <c r="AA200" s="14" t="n">
        <v>1</v>
      </c>
      <c r="AB200" s="14" t="n">
        <v>3</v>
      </c>
      <c r="AC200" s="17" t="n">
        <v>0.00142122168215798</v>
      </c>
      <c r="AD200" s="18" t="n">
        <v>7.98</v>
      </c>
      <c r="AE200" s="18" t="n">
        <f aca="false">IF(AD200="","",MIN(AD200,100))</f>
        <v>7.98</v>
      </c>
      <c r="AF200" s="14" t="n">
        <v>88.6</v>
      </c>
      <c r="AG200" s="14" t="s">
        <v>224</v>
      </c>
      <c r="AH200" s="14" t="n">
        <v>6.3</v>
      </c>
      <c r="AI200" s="14" t="s">
        <v>224</v>
      </c>
      <c r="AJ200" s="14" t="s">
        <v>224</v>
      </c>
      <c r="AK200" s="14" t="s">
        <v>240</v>
      </c>
      <c r="AL200" s="19" t="n">
        <f aca="false">ROUND('Start Here'!$B$29*AH200+'Start Here'!$B$30*MIN(IF(AD200="",0,AD200),50)/5+IF(M200&lt;=30000,'Start Here'!$B$31,IF(M200&lt;=60000,'Start Here'!$B$32,0)),1)</f>
        <v>5.6</v>
      </c>
      <c r="AM200" s="6" t="s">
        <v>689</v>
      </c>
      <c r="AN200" s="6" t="s">
        <v>690</v>
      </c>
      <c r="AO200" s="6"/>
      <c r="AP200" s="14"/>
      <c r="AQ200" s="14" t="s">
        <v>524</v>
      </c>
      <c r="AR200" s="20" t="s">
        <v>246</v>
      </c>
      <c r="AS200" s="20"/>
    </row>
    <row r="201" customFormat="false" ht="60" hidden="false" customHeight="true" outlineLevel="0" collapsed="false">
      <c r="A201" s="14" t="n">
        <v>200</v>
      </c>
      <c r="B201" s="14" t="s">
        <v>374</v>
      </c>
      <c r="C201" s="14" t="s">
        <v>221</v>
      </c>
      <c r="D201" s="14" t="s">
        <v>222</v>
      </c>
      <c r="E201" s="14" t="s">
        <v>36</v>
      </c>
      <c r="F201" s="14" t="s">
        <v>223</v>
      </c>
      <c r="G201" s="14" t="s">
        <v>223</v>
      </c>
      <c r="H201" s="14" t="s">
        <v>223</v>
      </c>
      <c r="I201" s="14" t="s">
        <v>322</v>
      </c>
      <c r="J201" s="14" t="s">
        <v>934</v>
      </c>
      <c r="K201" s="14" t="s">
        <v>2074</v>
      </c>
      <c r="L201" s="14" t="s">
        <v>2075</v>
      </c>
      <c r="M201" s="15" t="n">
        <v>10694</v>
      </c>
      <c r="N201" s="14" t="s">
        <v>229</v>
      </c>
      <c r="O201" s="14" t="s">
        <v>342</v>
      </c>
      <c r="P201" s="16" t="s">
        <v>2076</v>
      </c>
      <c r="Q201" s="6" t="s">
        <v>2077</v>
      </c>
      <c r="R201" s="6" t="s">
        <v>2078</v>
      </c>
      <c r="S201" s="14" t="s">
        <v>234</v>
      </c>
      <c r="T201" s="14" t="s">
        <v>235</v>
      </c>
      <c r="U201" s="14" t="s">
        <v>346</v>
      </c>
      <c r="V201" s="14" t="s">
        <v>237</v>
      </c>
      <c r="W201" s="14" t="s">
        <v>332</v>
      </c>
      <c r="X201" s="14" t="s">
        <v>239</v>
      </c>
      <c r="Y201" s="15"/>
      <c r="Z201" s="15" t="n">
        <v>1483</v>
      </c>
      <c r="AA201" s="14" t="n">
        <v>71</v>
      </c>
      <c r="AB201" s="14" t="n">
        <v>28</v>
      </c>
      <c r="AC201" s="17" t="n">
        <v>0.150795920312649</v>
      </c>
      <c r="AD201" s="18" t="n">
        <v>22.47</v>
      </c>
      <c r="AE201" s="18" t="n">
        <f aca="false">IF(AD201="","",MIN(AD201,100))</f>
        <v>22.47</v>
      </c>
      <c r="AF201" s="14" t="n">
        <v>100</v>
      </c>
      <c r="AG201" s="14" t="s">
        <v>224</v>
      </c>
      <c r="AH201" s="14" t="n">
        <v>4.5</v>
      </c>
      <c r="AI201" s="14" t="s">
        <v>224</v>
      </c>
      <c r="AJ201" s="14" t="s">
        <v>223</v>
      </c>
      <c r="AK201" s="14" t="s">
        <v>490</v>
      </c>
      <c r="AL201" s="19" t="n">
        <f aca="false">ROUND('Start Here'!$B$29*AH201+'Start Here'!$B$30*MIN(IF(AD201="",0,AD201),50)/5+IF(M201&lt;=30000,'Start Here'!$B$31,IF(M201&lt;=60000,'Start Here'!$B$32,0)),1)</f>
        <v>5.6</v>
      </c>
      <c r="AM201" s="6" t="s">
        <v>241</v>
      </c>
      <c r="AN201" s="6" t="s">
        <v>1937</v>
      </c>
      <c r="AO201" s="6" t="s">
        <v>2079</v>
      </c>
      <c r="AP201" s="14" t="s">
        <v>2080</v>
      </c>
      <c r="AQ201" s="14" t="s">
        <v>1184</v>
      </c>
      <c r="AR201" s="20" t="s">
        <v>246</v>
      </c>
      <c r="AS201" s="20"/>
    </row>
    <row r="202" customFormat="false" ht="60" hidden="false" customHeight="true" outlineLevel="0" collapsed="false">
      <c r="A202" s="14" t="n">
        <v>201</v>
      </c>
      <c r="B202" s="14" t="s">
        <v>374</v>
      </c>
      <c r="C202" s="14" t="s">
        <v>221</v>
      </c>
      <c r="D202" s="14" t="s">
        <v>222</v>
      </c>
      <c r="E202" s="14" t="s">
        <v>34</v>
      </c>
      <c r="F202" s="14" t="s">
        <v>223</v>
      </c>
      <c r="G202" s="14" t="s">
        <v>224</v>
      </c>
      <c r="H202" s="14" t="s">
        <v>223</v>
      </c>
      <c r="I202" s="14" t="s">
        <v>586</v>
      </c>
      <c r="J202" s="14" t="s">
        <v>1017</v>
      </c>
      <c r="K202" s="14" t="s">
        <v>2081</v>
      </c>
      <c r="L202" s="14" t="s">
        <v>2082</v>
      </c>
      <c r="M202" s="15" t="n">
        <v>75589</v>
      </c>
      <c r="N202" s="14" t="s">
        <v>400</v>
      </c>
      <c r="O202" s="14" t="s">
        <v>2083</v>
      </c>
      <c r="P202" s="16" t="s">
        <v>2084</v>
      </c>
      <c r="Q202" s="6" t="s">
        <v>2085</v>
      </c>
      <c r="R202" s="6" t="s">
        <v>2086</v>
      </c>
      <c r="S202" s="14" t="s">
        <v>330</v>
      </c>
      <c r="T202" s="14" t="s">
        <v>235</v>
      </c>
      <c r="U202" s="14" t="s">
        <v>236</v>
      </c>
      <c r="V202" s="14" t="s">
        <v>331</v>
      </c>
      <c r="W202" s="14" t="s">
        <v>275</v>
      </c>
      <c r="X202" s="14" t="s">
        <v>333</v>
      </c>
      <c r="Y202" s="15"/>
      <c r="Z202" s="15" t="n">
        <v>1302</v>
      </c>
      <c r="AA202" s="14" t="n">
        <v>2380</v>
      </c>
      <c r="AB202" s="14" t="n">
        <v>95</v>
      </c>
      <c r="AC202" s="17" t="n">
        <v>0.0515314823657821</v>
      </c>
      <c r="AD202" s="18" t="n">
        <v>15.56</v>
      </c>
      <c r="AE202" s="18" t="n">
        <f aca="false">IF(AD202="","",MIN(AD202,100))</f>
        <v>15.56</v>
      </c>
      <c r="AF202" s="14" t="n">
        <v>89.9</v>
      </c>
      <c r="AG202" s="14" t="s">
        <v>224</v>
      </c>
      <c r="AH202" s="14" t="n">
        <v>9.3</v>
      </c>
      <c r="AI202" s="14" t="s">
        <v>224</v>
      </c>
      <c r="AJ202" s="14" t="s">
        <v>224</v>
      </c>
      <c r="AK202" s="14" t="s">
        <v>240</v>
      </c>
      <c r="AL202" s="19" t="n">
        <f aca="false">ROUND('Start Here'!$B$29*AH202+'Start Here'!$B$30*MIN(IF(AD202="",0,AD202),50)/5+IF(M202&lt;=30000,'Start Here'!$B$31,IF(M202&lt;=60000,'Start Here'!$B$32,0)),1)</f>
        <v>5.6</v>
      </c>
      <c r="AM202" s="6" t="s">
        <v>1824</v>
      </c>
      <c r="AN202" s="6" t="s">
        <v>2087</v>
      </c>
      <c r="AO202" s="6" t="s">
        <v>2088</v>
      </c>
      <c r="AP202" s="14" t="s">
        <v>2089</v>
      </c>
      <c r="AQ202" s="14" t="s">
        <v>2090</v>
      </c>
      <c r="AR202" s="20" t="s">
        <v>246</v>
      </c>
      <c r="AS202" s="20"/>
    </row>
    <row r="203" customFormat="false" ht="60" hidden="false" customHeight="true" outlineLevel="0" collapsed="false">
      <c r="A203" s="14" t="n">
        <v>202</v>
      </c>
      <c r="B203" s="14" t="s">
        <v>247</v>
      </c>
      <c r="C203" s="14" t="s">
        <v>221</v>
      </c>
      <c r="D203" s="14" t="s">
        <v>222</v>
      </c>
      <c r="E203" s="14" t="s">
        <v>36</v>
      </c>
      <c r="F203" s="14" t="s">
        <v>223</v>
      </c>
      <c r="G203" s="14" t="s">
        <v>223</v>
      </c>
      <c r="H203" s="14" t="s">
        <v>224</v>
      </c>
      <c r="I203" s="14" t="s">
        <v>264</v>
      </c>
      <c r="J203" s="14" t="s">
        <v>322</v>
      </c>
      <c r="K203" s="14" t="s">
        <v>2091</v>
      </c>
      <c r="L203" s="14" t="s">
        <v>2092</v>
      </c>
      <c r="M203" s="15" t="n">
        <v>6167</v>
      </c>
      <c r="N203" s="14" t="s">
        <v>283</v>
      </c>
      <c r="O203" s="14" t="s">
        <v>2093</v>
      </c>
      <c r="P203" s="16" t="s">
        <v>2094</v>
      </c>
      <c r="Q203" s="6" t="s">
        <v>2095</v>
      </c>
      <c r="R203" s="6" t="s">
        <v>2095</v>
      </c>
      <c r="S203" s="14" t="s">
        <v>272</v>
      </c>
      <c r="T203" s="14" t="s">
        <v>273</v>
      </c>
      <c r="U203" s="14" t="s">
        <v>274</v>
      </c>
      <c r="V203" s="14" t="s">
        <v>288</v>
      </c>
      <c r="W203" s="14" t="s">
        <v>257</v>
      </c>
      <c r="X203" s="14" t="s">
        <v>258</v>
      </c>
      <c r="Y203" s="15" t="n">
        <v>28359</v>
      </c>
      <c r="Z203" s="15" t="n">
        <v>900</v>
      </c>
      <c r="AA203" s="14" t="n">
        <v>67</v>
      </c>
      <c r="AB203" s="14"/>
      <c r="AC203" s="17" t="n">
        <v>0.0340985225148983</v>
      </c>
      <c r="AD203" s="18" t="n">
        <v>17.96</v>
      </c>
      <c r="AE203" s="18" t="n">
        <f aca="false">IF(AD203="","",MIN(AD203,100))</f>
        <v>17.96</v>
      </c>
      <c r="AF203" s="14" t="n">
        <v>98.4</v>
      </c>
      <c r="AG203" s="14" t="s">
        <v>224</v>
      </c>
      <c r="AH203" s="14" t="n">
        <v>5</v>
      </c>
      <c r="AI203" s="14" t="s">
        <v>224</v>
      </c>
      <c r="AJ203" s="14" t="s">
        <v>224</v>
      </c>
      <c r="AK203" s="14" t="s">
        <v>240</v>
      </c>
      <c r="AL203" s="19" t="n">
        <f aca="false">ROUND('Start Here'!$B$29*AH203+'Start Here'!$B$30*MIN(IF(AD203="",0,AD203),50)/5+IF(M203&lt;=30000,'Start Here'!$B$31,IF(M203&lt;=60000,'Start Here'!$B$32,0)),1)</f>
        <v>5.6</v>
      </c>
      <c r="AM203" s="6" t="s">
        <v>276</v>
      </c>
      <c r="AN203" s="6" t="s">
        <v>277</v>
      </c>
      <c r="AO203" s="6" t="s">
        <v>2096</v>
      </c>
      <c r="AP203" s="14" t="s">
        <v>2097</v>
      </c>
      <c r="AQ203" s="14" t="s">
        <v>538</v>
      </c>
      <c r="AR203" s="20" t="s">
        <v>246</v>
      </c>
      <c r="AS203" s="20"/>
    </row>
    <row r="204" customFormat="false" ht="60" hidden="false" customHeight="true" outlineLevel="0" collapsed="false">
      <c r="A204" s="14" t="n">
        <v>203</v>
      </c>
      <c r="B204" s="14" t="s">
        <v>220</v>
      </c>
      <c r="C204" s="14" t="s">
        <v>221</v>
      </c>
      <c r="D204" s="14" t="s">
        <v>222</v>
      </c>
      <c r="E204" s="14" t="s">
        <v>40</v>
      </c>
      <c r="F204" s="14" t="s">
        <v>224</v>
      </c>
      <c r="G204" s="14" t="s">
        <v>224</v>
      </c>
      <c r="H204" s="14" t="s">
        <v>224</v>
      </c>
      <c r="I204" s="14" t="s">
        <v>586</v>
      </c>
      <c r="J204" s="14" t="s">
        <v>2098</v>
      </c>
      <c r="K204" s="14" t="s">
        <v>1092</v>
      </c>
      <c r="L204" s="14" t="s">
        <v>1093</v>
      </c>
      <c r="M204" s="15" t="n">
        <v>17119</v>
      </c>
      <c r="N204" s="14" t="s">
        <v>229</v>
      </c>
      <c r="O204" s="14" t="s">
        <v>268</v>
      </c>
      <c r="P204" s="16" t="s">
        <v>2099</v>
      </c>
      <c r="Q204" s="6" t="s">
        <v>2100</v>
      </c>
      <c r="R204" s="6" t="s">
        <v>2101</v>
      </c>
      <c r="S204" s="14" t="s">
        <v>330</v>
      </c>
      <c r="T204" s="14" t="s">
        <v>235</v>
      </c>
      <c r="U204" s="14" t="s">
        <v>236</v>
      </c>
      <c r="V204" s="14" t="s">
        <v>237</v>
      </c>
      <c r="W204" s="14" t="s">
        <v>687</v>
      </c>
      <c r="X204" s="14" t="s">
        <v>688</v>
      </c>
      <c r="Y204" s="15" t="n">
        <v>6612</v>
      </c>
      <c r="Z204" s="15" t="n">
        <v>50</v>
      </c>
      <c r="AA204" s="14" t="n">
        <v>2</v>
      </c>
      <c r="AB204" s="14" t="n">
        <v>4</v>
      </c>
      <c r="AC204" s="17" t="n">
        <v>0.00846944948578342</v>
      </c>
      <c r="AD204" s="18" t="n">
        <v>1.28</v>
      </c>
      <c r="AE204" s="18" t="n">
        <f aca="false">IF(AD204="","",MIN(AD204,100))</f>
        <v>1.28</v>
      </c>
      <c r="AF204" s="14" t="n">
        <v>67.9</v>
      </c>
      <c r="AG204" s="14" t="s">
        <v>224</v>
      </c>
      <c r="AH204" s="14" t="n">
        <v>7</v>
      </c>
      <c r="AI204" s="14" t="s">
        <v>224</v>
      </c>
      <c r="AJ204" s="14" t="s">
        <v>224</v>
      </c>
      <c r="AK204" s="14" t="s">
        <v>240</v>
      </c>
      <c r="AL204" s="19" t="n">
        <f aca="false">ROUND('Start Here'!$B$29*AH204+'Start Here'!$B$30*MIN(IF(AD204="",0,AD204),50)/5+IF(M204&lt;=30000,'Start Here'!$B$31,IF(M204&lt;=60000,'Start Here'!$B$32,0)),1)</f>
        <v>5.6</v>
      </c>
      <c r="AM204" s="6" t="s">
        <v>1117</v>
      </c>
      <c r="AN204" s="6" t="s">
        <v>2087</v>
      </c>
      <c r="AO204" s="6" t="s">
        <v>2102</v>
      </c>
      <c r="AP204" s="14" t="s">
        <v>2103</v>
      </c>
      <c r="AQ204" s="14" t="s">
        <v>1120</v>
      </c>
      <c r="AR204" s="20" t="s">
        <v>246</v>
      </c>
      <c r="AS204" s="20"/>
    </row>
    <row r="205" customFormat="false" ht="60" hidden="false" customHeight="true" outlineLevel="0" collapsed="false">
      <c r="A205" s="14" t="n">
        <v>204</v>
      </c>
      <c r="B205" s="14" t="s">
        <v>220</v>
      </c>
      <c r="C205" s="14" t="s">
        <v>221</v>
      </c>
      <c r="D205" s="14" t="s">
        <v>222</v>
      </c>
      <c r="E205" s="14" t="s">
        <v>34</v>
      </c>
      <c r="F205" s="14" t="s">
        <v>223</v>
      </c>
      <c r="G205" s="14" t="s">
        <v>224</v>
      </c>
      <c r="H205" s="14" t="s">
        <v>224</v>
      </c>
      <c r="I205" s="14" t="s">
        <v>225</v>
      </c>
      <c r="J205" s="14" t="s">
        <v>1061</v>
      </c>
      <c r="K205" s="14" t="s">
        <v>2104</v>
      </c>
      <c r="L205" s="14" t="s">
        <v>2105</v>
      </c>
      <c r="M205" s="15" t="n">
        <v>37987</v>
      </c>
      <c r="N205" s="14" t="s">
        <v>462</v>
      </c>
      <c r="O205" s="14" t="s">
        <v>1983</v>
      </c>
      <c r="P205" s="16" t="s">
        <v>2106</v>
      </c>
      <c r="Q205" s="6" t="s">
        <v>2107</v>
      </c>
      <c r="R205" s="6" t="s">
        <v>2108</v>
      </c>
      <c r="S205" s="14" t="s">
        <v>685</v>
      </c>
      <c r="T205" s="14" t="s">
        <v>917</v>
      </c>
      <c r="U205" s="14" t="s">
        <v>686</v>
      </c>
      <c r="V205" s="14" t="s">
        <v>237</v>
      </c>
      <c r="W205" s="14" t="s">
        <v>257</v>
      </c>
      <c r="X205" s="14" t="s">
        <v>239</v>
      </c>
      <c r="Y205" s="15" t="n">
        <v>399537</v>
      </c>
      <c r="Z205" s="15" t="n">
        <v>1131</v>
      </c>
      <c r="AA205" s="14" t="n">
        <v>27</v>
      </c>
      <c r="AB205" s="14" t="n">
        <v>78</v>
      </c>
      <c r="AC205" s="17" t="n">
        <v>0.00309358081979892</v>
      </c>
      <c r="AD205" s="18" t="n">
        <v>17.86</v>
      </c>
      <c r="AE205" s="18" t="n">
        <f aca="false">IF(AD205="","",MIN(AD205,100))</f>
        <v>17.86</v>
      </c>
      <c r="AF205" s="14" t="n">
        <v>94.5</v>
      </c>
      <c r="AG205" s="14" t="s">
        <v>224</v>
      </c>
      <c r="AH205" s="14" t="n">
        <v>7</v>
      </c>
      <c r="AI205" s="14" t="s">
        <v>224</v>
      </c>
      <c r="AJ205" s="14" t="s">
        <v>224</v>
      </c>
      <c r="AK205" s="14" t="s">
        <v>240</v>
      </c>
      <c r="AL205" s="19" t="n">
        <f aca="false">ROUND('Start Here'!$B$29*AH205+'Start Here'!$B$30*MIN(IF(AD205="",0,AD205),50)/5+IF(M205&lt;=30000,'Start Here'!$B$31,IF(M205&lt;=60000,'Start Here'!$B$32,0)),1)</f>
        <v>5.6</v>
      </c>
      <c r="AM205" s="6" t="s">
        <v>689</v>
      </c>
      <c r="AN205" s="6" t="s">
        <v>690</v>
      </c>
      <c r="AO205" s="6" t="s">
        <v>2109</v>
      </c>
      <c r="AP205" s="14" t="s">
        <v>2110</v>
      </c>
      <c r="AQ205" s="14" t="s">
        <v>2111</v>
      </c>
      <c r="AR205" s="20" t="s">
        <v>246</v>
      </c>
      <c r="AS205" s="20"/>
    </row>
    <row r="206" customFormat="false" ht="60" hidden="false" customHeight="true" outlineLevel="0" collapsed="false">
      <c r="A206" s="14" t="n">
        <v>205</v>
      </c>
      <c r="B206" s="14" t="s">
        <v>247</v>
      </c>
      <c r="C206" s="14" t="s">
        <v>221</v>
      </c>
      <c r="D206" s="14" t="s">
        <v>222</v>
      </c>
      <c r="E206" s="14" t="s">
        <v>36</v>
      </c>
      <c r="F206" s="14" t="s">
        <v>223</v>
      </c>
      <c r="G206" s="14" t="s">
        <v>223</v>
      </c>
      <c r="H206" s="14" t="s">
        <v>224</v>
      </c>
      <c r="I206" s="14" t="s">
        <v>338</v>
      </c>
      <c r="J206" s="14" t="s">
        <v>851</v>
      </c>
      <c r="K206" s="14" t="s">
        <v>2112</v>
      </c>
      <c r="L206" s="14" t="s">
        <v>2113</v>
      </c>
      <c r="M206" s="15" t="n">
        <v>9176</v>
      </c>
      <c r="N206" s="14" t="s">
        <v>283</v>
      </c>
      <c r="O206" s="14" t="s">
        <v>1654</v>
      </c>
      <c r="P206" s="16" t="s">
        <v>2114</v>
      </c>
      <c r="Q206" s="6" t="s">
        <v>2115</v>
      </c>
      <c r="R206" s="6" t="s">
        <v>2116</v>
      </c>
      <c r="S206" s="14" t="s">
        <v>272</v>
      </c>
      <c r="T206" s="14" t="s">
        <v>273</v>
      </c>
      <c r="U206" s="14" t="s">
        <v>274</v>
      </c>
      <c r="V206" s="14" t="s">
        <v>256</v>
      </c>
      <c r="W206" s="14" t="s">
        <v>257</v>
      </c>
      <c r="X206" s="14" t="s">
        <v>258</v>
      </c>
      <c r="Y206" s="15" t="n">
        <v>42090</v>
      </c>
      <c r="Z206" s="15" t="n">
        <v>1071</v>
      </c>
      <c r="AA206" s="14" t="n">
        <v>647</v>
      </c>
      <c r="AB206" s="14"/>
      <c r="AC206" s="17" t="n">
        <v>0.0408172962698978</v>
      </c>
      <c r="AD206" s="18" t="n">
        <v>10.1</v>
      </c>
      <c r="AE206" s="18" t="n">
        <f aca="false">IF(AD206="","",MIN(AD206,100))</f>
        <v>10.1</v>
      </c>
      <c r="AF206" s="14" t="n">
        <v>91.3</v>
      </c>
      <c r="AG206" s="14" t="s">
        <v>224</v>
      </c>
      <c r="AH206" s="14" t="n">
        <v>5.9</v>
      </c>
      <c r="AI206" s="14" t="s">
        <v>223</v>
      </c>
      <c r="AJ206" s="14" t="s">
        <v>224</v>
      </c>
      <c r="AK206" s="14" t="s">
        <v>240</v>
      </c>
      <c r="AL206" s="19" t="n">
        <f aca="false">ROUND('Start Here'!$B$29*AH206+'Start Here'!$B$30*MIN(IF(AD206="",0,AD206),50)/5+IF(M206&lt;=30000,'Start Here'!$B$31,IF(M206&lt;=60000,'Start Here'!$B$32,0)),1)</f>
        <v>5.6</v>
      </c>
      <c r="AM206" s="6" t="s">
        <v>276</v>
      </c>
      <c r="AN206" s="6" t="s">
        <v>621</v>
      </c>
      <c r="AO206" s="6" t="s">
        <v>2117</v>
      </c>
      <c r="AP206" s="14" t="s">
        <v>2118</v>
      </c>
      <c r="AQ206" s="14" t="s">
        <v>538</v>
      </c>
      <c r="AR206" s="20" t="s">
        <v>246</v>
      </c>
      <c r="AS206" s="20"/>
    </row>
    <row r="207" customFormat="false" ht="60" hidden="false" customHeight="true" outlineLevel="0" collapsed="false">
      <c r="A207" s="14" t="n">
        <v>206</v>
      </c>
      <c r="B207" s="14" t="s">
        <v>374</v>
      </c>
      <c r="C207" s="14" t="s">
        <v>221</v>
      </c>
      <c r="D207" s="14" t="s">
        <v>222</v>
      </c>
      <c r="E207" s="14" t="s">
        <v>34</v>
      </c>
      <c r="F207" s="14" t="s">
        <v>223</v>
      </c>
      <c r="G207" s="14" t="s">
        <v>224</v>
      </c>
      <c r="H207" s="14" t="s">
        <v>224</v>
      </c>
      <c r="I207" s="14" t="s">
        <v>322</v>
      </c>
      <c r="J207" s="14" t="s">
        <v>420</v>
      </c>
      <c r="K207" s="14" t="s">
        <v>2007</v>
      </c>
      <c r="L207" s="14" t="s">
        <v>2008</v>
      </c>
      <c r="M207" s="15" t="n">
        <v>100285</v>
      </c>
      <c r="N207" s="14" t="s">
        <v>2009</v>
      </c>
      <c r="O207" s="14" t="s">
        <v>1476</v>
      </c>
      <c r="P207" s="16" t="s">
        <v>2119</v>
      </c>
      <c r="Q207" s="6" t="s">
        <v>2012</v>
      </c>
      <c r="R207" s="6" t="s">
        <v>2120</v>
      </c>
      <c r="S207" s="14" t="s">
        <v>330</v>
      </c>
      <c r="T207" s="14" t="s">
        <v>273</v>
      </c>
      <c r="U207" s="14" t="s">
        <v>274</v>
      </c>
      <c r="V207" s="14" t="s">
        <v>331</v>
      </c>
      <c r="W207" s="14" t="s">
        <v>257</v>
      </c>
      <c r="X207" s="14" t="s">
        <v>258</v>
      </c>
      <c r="Y207" s="15"/>
      <c r="Z207" s="15" t="n">
        <v>805</v>
      </c>
      <c r="AA207" s="14" t="n">
        <v>1388</v>
      </c>
      <c r="AB207" s="14" t="n">
        <v>28</v>
      </c>
      <c r="AC207" s="17" t="n">
        <v>0.0223162252321048</v>
      </c>
      <c r="AD207" s="18" t="n">
        <v>16.89</v>
      </c>
      <c r="AE207" s="18" t="n">
        <f aca="false">IF(AD207="","",MIN(AD207,100))</f>
        <v>16.89</v>
      </c>
      <c r="AF207" s="14" t="n">
        <v>97.6</v>
      </c>
      <c r="AG207" s="14" t="s">
        <v>224</v>
      </c>
      <c r="AH207" s="14" t="n">
        <v>9</v>
      </c>
      <c r="AI207" s="14" t="s">
        <v>224</v>
      </c>
      <c r="AJ207" s="14" t="s">
        <v>224</v>
      </c>
      <c r="AK207" s="14" t="s">
        <v>240</v>
      </c>
      <c r="AL207" s="19" t="n">
        <f aca="false">ROUND('Start Here'!$B$29*AH207+'Start Here'!$B$30*MIN(IF(AD207="",0,AD207),50)/5+IF(M207&lt;=30000,'Start Here'!$B$31,IF(M207&lt;=60000,'Start Here'!$B$32,0)),1)</f>
        <v>5.5</v>
      </c>
      <c r="AM207" s="6" t="s">
        <v>2014</v>
      </c>
      <c r="AN207" s="6" t="s">
        <v>335</v>
      </c>
      <c r="AO207" s="6" t="s">
        <v>2121</v>
      </c>
      <c r="AP207" s="14" t="s">
        <v>2122</v>
      </c>
      <c r="AQ207" s="14" t="s">
        <v>2015</v>
      </c>
      <c r="AR207" s="20" t="s">
        <v>246</v>
      </c>
      <c r="AS207" s="20"/>
    </row>
    <row r="208" customFormat="false" ht="60" hidden="false" customHeight="true" outlineLevel="0" collapsed="false">
      <c r="A208" s="14" t="n">
        <v>207</v>
      </c>
      <c r="B208" s="14" t="s">
        <v>220</v>
      </c>
      <c r="C208" s="14" t="s">
        <v>221</v>
      </c>
      <c r="D208" s="14" t="s">
        <v>222</v>
      </c>
      <c r="E208" s="14" t="s">
        <v>34</v>
      </c>
      <c r="F208" s="14" t="s">
        <v>223</v>
      </c>
      <c r="G208" s="14" t="s">
        <v>224</v>
      </c>
      <c r="H208" s="14" t="s">
        <v>223</v>
      </c>
      <c r="I208" s="14" t="s">
        <v>225</v>
      </c>
      <c r="J208" s="14"/>
      <c r="K208" s="14" t="s">
        <v>2123</v>
      </c>
      <c r="L208" s="14" t="s">
        <v>2124</v>
      </c>
      <c r="M208" s="15" t="n">
        <v>51402</v>
      </c>
      <c r="N208" s="14" t="s">
        <v>400</v>
      </c>
      <c r="O208" s="14" t="s">
        <v>1156</v>
      </c>
      <c r="P208" s="16" t="s">
        <v>2125</v>
      </c>
      <c r="Q208" s="6" t="s">
        <v>2126</v>
      </c>
      <c r="R208" s="6" t="s">
        <v>2127</v>
      </c>
      <c r="S208" s="14" t="s">
        <v>685</v>
      </c>
      <c r="T208" s="14" t="s">
        <v>235</v>
      </c>
      <c r="U208" s="14" t="s">
        <v>686</v>
      </c>
      <c r="V208" s="14" t="s">
        <v>237</v>
      </c>
      <c r="W208" s="14" t="s">
        <v>238</v>
      </c>
      <c r="X208" s="14" t="s">
        <v>688</v>
      </c>
      <c r="Y208" s="15" t="n">
        <v>1046071</v>
      </c>
      <c r="Z208" s="15" t="n">
        <v>2032</v>
      </c>
      <c r="AA208" s="14" t="n">
        <v>25</v>
      </c>
      <c r="AB208" s="14" t="n">
        <v>342</v>
      </c>
      <c r="AC208" s="17" t="n">
        <v>0.00229334337726598</v>
      </c>
      <c r="AD208" s="18" t="n">
        <v>70.99</v>
      </c>
      <c r="AE208" s="18" t="n">
        <f aca="false">IF(AD208="","",MIN(AD208,100))</f>
        <v>70.99</v>
      </c>
      <c r="AF208" s="14" t="n">
        <v>91.9</v>
      </c>
      <c r="AG208" s="14" t="s">
        <v>224</v>
      </c>
      <c r="AH208" s="14" t="n">
        <v>3</v>
      </c>
      <c r="AI208" s="14" t="s">
        <v>224</v>
      </c>
      <c r="AJ208" s="14" t="s">
        <v>224</v>
      </c>
      <c r="AK208" s="14" t="s">
        <v>240</v>
      </c>
      <c r="AL208" s="19" t="n">
        <f aca="false">ROUND('Start Here'!$B$29*AH208+'Start Here'!$B$30*MIN(IF(AD208="",0,AD208),50)/5+IF(M208&lt;=30000,'Start Here'!$B$31,IF(M208&lt;=60000,'Start Here'!$B$32,0)),1)</f>
        <v>5.5</v>
      </c>
      <c r="AM208" s="6" t="s">
        <v>689</v>
      </c>
      <c r="AN208" s="6" t="s">
        <v>690</v>
      </c>
      <c r="AO208" s="6" t="s">
        <v>2128</v>
      </c>
      <c r="AP208" s="14" t="s">
        <v>2129</v>
      </c>
      <c r="AQ208" s="14" t="s">
        <v>495</v>
      </c>
      <c r="AR208" s="20" t="s">
        <v>246</v>
      </c>
      <c r="AS208" s="20"/>
    </row>
    <row r="209" customFormat="false" ht="60" hidden="false" customHeight="true" outlineLevel="0" collapsed="false">
      <c r="A209" s="14" t="n">
        <v>208</v>
      </c>
      <c r="B209" s="14" t="s">
        <v>220</v>
      </c>
      <c r="C209" s="14" t="s">
        <v>221</v>
      </c>
      <c r="D209" s="14" t="s">
        <v>222</v>
      </c>
      <c r="E209" s="14" t="s">
        <v>34</v>
      </c>
      <c r="F209" s="14" t="s">
        <v>223</v>
      </c>
      <c r="G209" s="14" t="s">
        <v>224</v>
      </c>
      <c r="H209" s="14" t="s">
        <v>223</v>
      </c>
      <c r="I209" s="14" t="s">
        <v>364</v>
      </c>
      <c r="J209" s="14"/>
      <c r="K209" s="14" t="s">
        <v>2130</v>
      </c>
      <c r="L209" s="14" t="s">
        <v>2131</v>
      </c>
      <c r="M209" s="15" t="n">
        <v>36357</v>
      </c>
      <c r="N209" s="14" t="s">
        <v>462</v>
      </c>
      <c r="O209" s="14" t="s">
        <v>2132</v>
      </c>
      <c r="P209" s="16" t="s">
        <v>2133</v>
      </c>
      <c r="Q209" s="6" t="s">
        <v>2134</v>
      </c>
      <c r="R209" s="6" t="s">
        <v>2135</v>
      </c>
      <c r="S209" s="14" t="s">
        <v>685</v>
      </c>
      <c r="T209" s="14" t="s">
        <v>235</v>
      </c>
      <c r="U209" s="14" t="s">
        <v>686</v>
      </c>
      <c r="V209" s="14" t="s">
        <v>237</v>
      </c>
      <c r="W209" s="14" t="s">
        <v>238</v>
      </c>
      <c r="X209" s="14" t="s">
        <v>688</v>
      </c>
      <c r="Y209" s="15" t="n">
        <v>841039</v>
      </c>
      <c r="Z209" s="15" t="n">
        <v>1935</v>
      </c>
      <c r="AA209" s="14" t="n">
        <v>27</v>
      </c>
      <c r="AB209" s="14" t="n">
        <v>210</v>
      </c>
      <c r="AC209" s="17" t="n">
        <v>0.00258251995448487</v>
      </c>
      <c r="AD209" s="18" t="n">
        <v>51.75</v>
      </c>
      <c r="AE209" s="18" t="n">
        <f aca="false">IF(AD209="","",MIN(AD209,100))</f>
        <v>51.75</v>
      </c>
      <c r="AF209" s="14" t="n">
        <v>96.2</v>
      </c>
      <c r="AG209" s="14" t="s">
        <v>224</v>
      </c>
      <c r="AH209" s="14" t="n">
        <v>3</v>
      </c>
      <c r="AI209" s="14" t="s">
        <v>224</v>
      </c>
      <c r="AJ209" s="14" t="s">
        <v>224</v>
      </c>
      <c r="AK209" s="14" t="s">
        <v>240</v>
      </c>
      <c r="AL209" s="19" t="n">
        <f aca="false">ROUND('Start Here'!$B$29*AH209+'Start Here'!$B$30*MIN(IF(AD209="",0,AD209),50)/5+IF(M209&lt;=30000,'Start Here'!$B$31,IF(M209&lt;=60000,'Start Here'!$B$32,0)),1)</f>
        <v>5.5</v>
      </c>
      <c r="AM209" s="6" t="s">
        <v>689</v>
      </c>
      <c r="AN209" s="6" t="s">
        <v>2136</v>
      </c>
      <c r="AO209" s="6" t="s">
        <v>2137</v>
      </c>
      <c r="AP209" s="14"/>
      <c r="AQ209" s="14" t="s">
        <v>2138</v>
      </c>
      <c r="AR209" s="20" t="s">
        <v>246</v>
      </c>
      <c r="AS209" s="20"/>
    </row>
    <row r="210" customFormat="false" ht="60" hidden="false" customHeight="true" outlineLevel="0" collapsed="false">
      <c r="A210" s="14" t="n">
        <v>209</v>
      </c>
      <c r="B210" s="14" t="s">
        <v>374</v>
      </c>
      <c r="C210" s="14" t="s">
        <v>221</v>
      </c>
      <c r="D210" s="14" t="s">
        <v>222</v>
      </c>
      <c r="E210" s="14" t="s">
        <v>34</v>
      </c>
      <c r="F210" s="14" t="s">
        <v>223</v>
      </c>
      <c r="G210" s="14" t="s">
        <v>224</v>
      </c>
      <c r="H210" s="14" t="s">
        <v>223</v>
      </c>
      <c r="I210" s="14" t="s">
        <v>322</v>
      </c>
      <c r="J210" s="14"/>
      <c r="K210" s="14" t="s">
        <v>2139</v>
      </c>
      <c r="L210" s="14" t="s">
        <v>2140</v>
      </c>
      <c r="M210" s="15" t="n">
        <v>40450</v>
      </c>
      <c r="N210" s="14" t="s">
        <v>462</v>
      </c>
      <c r="O210" s="14" t="s">
        <v>388</v>
      </c>
      <c r="P210" s="16" t="s">
        <v>2141</v>
      </c>
      <c r="Q210" s="6" t="s">
        <v>2142</v>
      </c>
      <c r="R210" s="6" t="s">
        <v>2143</v>
      </c>
      <c r="S210" s="14" t="s">
        <v>234</v>
      </c>
      <c r="T210" s="14" t="s">
        <v>235</v>
      </c>
      <c r="U210" s="14" t="s">
        <v>236</v>
      </c>
      <c r="V210" s="14" t="s">
        <v>383</v>
      </c>
      <c r="W210" s="14"/>
      <c r="X210" s="14"/>
      <c r="Y210" s="15"/>
      <c r="Z210" s="15" t="n">
        <v>8999</v>
      </c>
      <c r="AA210" s="14" t="n">
        <v>455</v>
      </c>
      <c r="AB210" s="14" t="n">
        <v>62</v>
      </c>
      <c r="AC210" s="17" t="n">
        <v>0.256274911127868</v>
      </c>
      <c r="AD210" s="18" t="n">
        <v>61.77</v>
      </c>
      <c r="AE210" s="18" t="n">
        <f aca="false">IF(AD210="","",MIN(AD210,100))</f>
        <v>61.77</v>
      </c>
      <c r="AF210" s="14" t="n">
        <v>100</v>
      </c>
      <c r="AG210" s="14" t="s">
        <v>224</v>
      </c>
      <c r="AH210" s="14" t="n">
        <v>3</v>
      </c>
      <c r="AI210" s="14" t="s">
        <v>224</v>
      </c>
      <c r="AJ210" s="14" t="s">
        <v>224</v>
      </c>
      <c r="AK210" s="14" t="s">
        <v>240</v>
      </c>
      <c r="AL210" s="19" t="n">
        <f aca="false">ROUND('Start Here'!$B$29*AH210+'Start Here'!$B$30*MIN(IF(AD210="",0,AD210),50)/5+IF(M210&lt;=30000,'Start Here'!$B$31,IF(M210&lt;=60000,'Start Here'!$B$32,0)),1)</f>
        <v>5.5</v>
      </c>
      <c r="AM210" s="6" t="s">
        <v>503</v>
      </c>
      <c r="AN210" s="6" t="s">
        <v>360</v>
      </c>
      <c r="AO210" s="6"/>
      <c r="AP210" s="14"/>
      <c r="AQ210" s="14" t="s">
        <v>307</v>
      </c>
      <c r="AR210" s="20" t="s">
        <v>246</v>
      </c>
      <c r="AS210" s="20"/>
    </row>
    <row r="211" customFormat="false" ht="60" hidden="false" customHeight="true" outlineLevel="0" collapsed="false">
      <c r="A211" s="14" t="n">
        <v>210</v>
      </c>
      <c r="B211" s="14" t="s">
        <v>374</v>
      </c>
      <c r="C211" s="14" t="s">
        <v>221</v>
      </c>
      <c r="D211" s="14" t="s">
        <v>222</v>
      </c>
      <c r="E211" s="14" t="s">
        <v>34</v>
      </c>
      <c r="F211" s="14" t="s">
        <v>223</v>
      </c>
      <c r="G211" s="14" t="s">
        <v>224</v>
      </c>
      <c r="H211" s="14" t="s">
        <v>223</v>
      </c>
      <c r="I211" s="14" t="s">
        <v>225</v>
      </c>
      <c r="J211" s="14" t="s">
        <v>322</v>
      </c>
      <c r="K211" s="14" t="s">
        <v>1680</v>
      </c>
      <c r="L211" s="14" t="s">
        <v>1681</v>
      </c>
      <c r="M211" s="15" t="n">
        <v>75817</v>
      </c>
      <c r="N211" s="14" t="s">
        <v>400</v>
      </c>
      <c r="O211" s="14" t="s">
        <v>2144</v>
      </c>
      <c r="P211" s="16" t="s">
        <v>2145</v>
      </c>
      <c r="Q211" s="6" t="s">
        <v>2146</v>
      </c>
      <c r="R211" s="6" t="s">
        <v>2147</v>
      </c>
      <c r="S211" s="14" t="s">
        <v>513</v>
      </c>
      <c r="T211" s="14" t="s">
        <v>235</v>
      </c>
      <c r="U211" s="14" t="s">
        <v>236</v>
      </c>
      <c r="V211" s="14" t="s">
        <v>237</v>
      </c>
      <c r="W211" s="14" t="s">
        <v>332</v>
      </c>
      <c r="X211" s="14" t="s">
        <v>333</v>
      </c>
      <c r="Y211" s="15"/>
      <c r="Z211" s="15" t="n">
        <v>3568</v>
      </c>
      <c r="AA211" s="14" t="n">
        <v>403</v>
      </c>
      <c r="AB211" s="14" t="n">
        <v>193</v>
      </c>
      <c r="AC211" s="17" t="n">
        <v>0.0578429738289715</v>
      </c>
      <c r="AD211" s="18" t="n">
        <v>73.6</v>
      </c>
      <c r="AE211" s="18" t="n">
        <f aca="false">IF(AD211="","",MIN(AD211,100))</f>
        <v>73.6</v>
      </c>
      <c r="AF211" s="14" t="n">
        <v>99.9</v>
      </c>
      <c r="AG211" s="14" t="s">
        <v>224</v>
      </c>
      <c r="AH211" s="14" t="n">
        <v>5</v>
      </c>
      <c r="AI211" s="14" t="s">
        <v>224</v>
      </c>
      <c r="AJ211" s="14" t="s">
        <v>224</v>
      </c>
      <c r="AK211" s="14" t="s">
        <v>240</v>
      </c>
      <c r="AL211" s="19" t="n">
        <f aca="false">ROUND('Start Here'!$B$29*AH211+'Start Here'!$B$30*MIN(IF(AD211="",0,AD211),50)/5+IF(M211&lt;=30000,'Start Here'!$B$31,IF(M211&lt;=60000,'Start Here'!$B$32,0)),1)</f>
        <v>5.5</v>
      </c>
      <c r="AM211" s="6" t="s">
        <v>789</v>
      </c>
      <c r="AN211" s="6" t="s">
        <v>1098</v>
      </c>
      <c r="AO211" s="6" t="s">
        <v>2148</v>
      </c>
      <c r="AP211" s="14" t="s">
        <v>2149</v>
      </c>
      <c r="AQ211" s="14" t="s">
        <v>2150</v>
      </c>
      <c r="AR211" s="20" t="s">
        <v>246</v>
      </c>
      <c r="AS211" s="20"/>
    </row>
    <row r="212" customFormat="false" ht="60" hidden="false" customHeight="true" outlineLevel="0" collapsed="false">
      <c r="A212" s="14" t="n">
        <v>211</v>
      </c>
      <c r="B212" s="14" t="s">
        <v>220</v>
      </c>
      <c r="C212" s="14" t="s">
        <v>221</v>
      </c>
      <c r="D212" s="14" t="s">
        <v>222</v>
      </c>
      <c r="E212" s="14" t="s">
        <v>34</v>
      </c>
      <c r="F212" s="14" t="s">
        <v>223</v>
      </c>
      <c r="G212" s="14" t="s">
        <v>224</v>
      </c>
      <c r="H212" s="14" t="s">
        <v>224</v>
      </c>
      <c r="I212" s="14" t="s">
        <v>225</v>
      </c>
      <c r="J212" s="14" t="s">
        <v>322</v>
      </c>
      <c r="K212" s="14" t="s">
        <v>2151</v>
      </c>
      <c r="L212" s="14" t="s">
        <v>2152</v>
      </c>
      <c r="M212" s="15" t="n">
        <v>35433</v>
      </c>
      <c r="N212" s="14" t="s">
        <v>462</v>
      </c>
      <c r="O212" s="14" t="s">
        <v>2153</v>
      </c>
      <c r="P212" s="16" t="s">
        <v>2154</v>
      </c>
      <c r="Q212" s="6" t="s">
        <v>2155</v>
      </c>
      <c r="R212" s="6" t="s">
        <v>2156</v>
      </c>
      <c r="S212" s="14" t="s">
        <v>255</v>
      </c>
      <c r="T212" s="14" t="s">
        <v>235</v>
      </c>
      <c r="U212" s="14" t="s">
        <v>236</v>
      </c>
      <c r="V212" s="14" t="s">
        <v>237</v>
      </c>
      <c r="W212" s="14" t="s">
        <v>238</v>
      </c>
      <c r="X212" s="14" t="s">
        <v>333</v>
      </c>
      <c r="Y212" s="15" t="n">
        <v>14198</v>
      </c>
      <c r="Z212" s="15" t="n">
        <v>296</v>
      </c>
      <c r="AA212" s="14" t="n">
        <v>17</v>
      </c>
      <c r="AB212" s="14" t="n">
        <v>17</v>
      </c>
      <c r="AC212" s="17" t="n">
        <v>0.023242710240879</v>
      </c>
      <c r="AD212" s="18" t="n">
        <v>123.98</v>
      </c>
      <c r="AE212" s="18" t="n">
        <f aca="false">IF(AD212="","",MIN(AD212,100))</f>
        <v>100</v>
      </c>
      <c r="AF212" s="14" t="n">
        <v>99.4</v>
      </c>
      <c r="AG212" s="14" t="s">
        <v>224</v>
      </c>
      <c r="AH212" s="14" t="n">
        <v>3</v>
      </c>
      <c r="AI212" s="14" t="s">
        <v>224</v>
      </c>
      <c r="AJ212" s="14" t="s">
        <v>224</v>
      </c>
      <c r="AK212" s="14" t="s">
        <v>240</v>
      </c>
      <c r="AL212" s="19" t="n">
        <f aca="false">ROUND('Start Here'!$B$29*AH212+'Start Here'!$B$30*MIN(IF(AD212="",0,AD212),50)/5+IF(M212&lt;=30000,'Start Here'!$B$31,IF(M212&lt;=60000,'Start Here'!$B$32,0)),1)</f>
        <v>5.5</v>
      </c>
      <c r="AM212" s="6" t="s">
        <v>534</v>
      </c>
      <c r="AN212" s="6" t="s">
        <v>674</v>
      </c>
      <c r="AO212" s="6" t="s">
        <v>2157</v>
      </c>
      <c r="AP212" s="14" t="s">
        <v>2158</v>
      </c>
      <c r="AQ212" s="14" t="s">
        <v>1120</v>
      </c>
      <c r="AR212" s="20" t="s">
        <v>246</v>
      </c>
      <c r="AS212" s="20"/>
    </row>
    <row r="213" customFormat="false" ht="60" hidden="false" customHeight="true" outlineLevel="0" collapsed="false">
      <c r="A213" s="14" t="n">
        <v>212</v>
      </c>
      <c r="B213" s="14" t="s">
        <v>247</v>
      </c>
      <c r="C213" s="14" t="s">
        <v>221</v>
      </c>
      <c r="D213" s="14" t="s">
        <v>443</v>
      </c>
      <c r="E213" s="14" t="s">
        <v>34</v>
      </c>
      <c r="F213" s="14" t="s">
        <v>223</v>
      </c>
      <c r="G213" s="14" t="s">
        <v>224</v>
      </c>
      <c r="H213" s="14" t="s">
        <v>223</v>
      </c>
      <c r="I213" s="14" t="s">
        <v>364</v>
      </c>
      <c r="J213" s="14" t="s">
        <v>375</v>
      </c>
      <c r="K213" s="14" t="s">
        <v>2159</v>
      </c>
      <c r="L213" s="14" t="s">
        <v>2160</v>
      </c>
      <c r="M213" s="15" t="n">
        <v>32600</v>
      </c>
      <c r="N213" s="14" t="s">
        <v>462</v>
      </c>
      <c r="O213" s="14" t="s">
        <v>447</v>
      </c>
      <c r="P213" s="16" t="s">
        <v>2161</v>
      </c>
      <c r="Q213" s="6" t="s">
        <v>2162</v>
      </c>
      <c r="R213" s="6" t="s">
        <v>2163</v>
      </c>
      <c r="S213" s="14" t="s">
        <v>1635</v>
      </c>
      <c r="T213" s="14" t="s">
        <v>273</v>
      </c>
      <c r="U213" s="14" t="s">
        <v>274</v>
      </c>
      <c r="V213" s="14" t="s">
        <v>2164</v>
      </c>
      <c r="W213" s="14" t="s">
        <v>452</v>
      </c>
      <c r="X213" s="14"/>
      <c r="Y213" s="15" t="n">
        <v>640100</v>
      </c>
      <c r="Z213" s="15"/>
      <c r="AA213" s="14"/>
      <c r="AB213" s="14"/>
      <c r="AC213" s="17"/>
      <c r="AD213" s="18" t="n">
        <v>409.5</v>
      </c>
      <c r="AE213" s="18" t="n">
        <f aca="false">IF(AD213="","",MIN(AD213,100))</f>
        <v>100</v>
      </c>
      <c r="AF213" s="14"/>
      <c r="AG213" s="14" t="s">
        <v>224</v>
      </c>
      <c r="AH213" s="14" t="n">
        <v>3</v>
      </c>
      <c r="AI213" s="14" t="s">
        <v>224</v>
      </c>
      <c r="AJ213" s="14" t="s">
        <v>224</v>
      </c>
      <c r="AK213" s="14" t="s">
        <v>240</v>
      </c>
      <c r="AL213" s="19" t="n">
        <f aca="false">ROUND('Start Here'!$B$29*AH213+'Start Here'!$B$30*MIN(IF(AD213="",0,AD213),50)/5+IF(M213&lt;=30000,'Start Here'!$B$31,IF(M213&lt;=60000,'Start Here'!$B$32,0)),1)</f>
        <v>5.5</v>
      </c>
      <c r="AM213" s="6" t="s">
        <v>2165</v>
      </c>
      <c r="AN213" s="6" t="s">
        <v>2166</v>
      </c>
      <c r="AO213" s="6" t="s">
        <v>2167</v>
      </c>
      <c r="AP213" s="14" t="s">
        <v>2168</v>
      </c>
      <c r="AQ213" s="14" t="s">
        <v>923</v>
      </c>
      <c r="AR213" s="20" t="s">
        <v>246</v>
      </c>
      <c r="AS213" s="20"/>
    </row>
    <row r="214" customFormat="false" ht="60" hidden="false" customHeight="true" outlineLevel="0" collapsed="false">
      <c r="A214" s="14" t="n">
        <v>213</v>
      </c>
      <c r="B214" s="14" t="s">
        <v>247</v>
      </c>
      <c r="C214" s="14" t="s">
        <v>221</v>
      </c>
      <c r="D214" s="14" t="s">
        <v>443</v>
      </c>
      <c r="E214" s="14" t="s">
        <v>34</v>
      </c>
      <c r="F214" s="14" t="s">
        <v>223</v>
      </c>
      <c r="G214" s="14" t="s">
        <v>224</v>
      </c>
      <c r="H214" s="14" t="s">
        <v>224</v>
      </c>
      <c r="I214" s="14" t="s">
        <v>264</v>
      </c>
      <c r="J214" s="14" t="s">
        <v>225</v>
      </c>
      <c r="K214" s="14" t="s">
        <v>2169</v>
      </c>
      <c r="L214" s="14" t="s">
        <v>2170</v>
      </c>
      <c r="M214" s="15" t="n">
        <v>38900</v>
      </c>
      <c r="N214" s="14" t="s">
        <v>462</v>
      </c>
      <c r="O214" s="14" t="s">
        <v>447</v>
      </c>
      <c r="P214" s="16" t="s">
        <v>2171</v>
      </c>
      <c r="Q214" s="6" t="s">
        <v>2172</v>
      </c>
      <c r="R214" s="6" t="s">
        <v>2173</v>
      </c>
      <c r="S214" s="14" t="s">
        <v>255</v>
      </c>
      <c r="T214" s="14" t="s">
        <v>235</v>
      </c>
      <c r="U214" s="14" t="s">
        <v>236</v>
      </c>
      <c r="V214" s="14" t="s">
        <v>2174</v>
      </c>
      <c r="W214" s="14" t="s">
        <v>452</v>
      </c>
      <c r="X214" s="14"/>
      <c r="Y214" s="15" t="n">
        <v>157400</v>
      </c>
      <c r="Z214" s="15"/>
      <c r="AA214" s="14"/>
      <c r="AB214" s="14"/>
      <c r="AC214" s="17"/>
      <c r="AD214" s="18" t="n">
        <v>61.9</v>
      </c>
      <c r="AE214" s="18" t="n">
        <f aca="false">IF(AD214="","",MIN(AD214,100))</f>
        <v>61.9</v>
      </c>
      <c r="AF214" s="14"/>
      <c r="AG214" s="14" t="s">
        <v>224</v>
      </c>
      <c r="AH214" s="14" t="n">
        <v>3</v>
      </c>
      <c r="AI214" s="14" t="s">
        <v>224</v>
      </c>
      <c r="AJ214" s="14" t="s">
        <v>224</v>
      </c>
      <c r="AK214" s="14" t="s">
        <v>240</v>
      </c>
      <c r="AL214" s="19" t="n">
        <f aca="false">ROUND('Start Here'!$B$29*AH214+'Start Here'!$B$30*MIN(IF(AD214="",0,AD214),50)/5+IF(M214&lt;=30000,'Start Here'!$B$31,IF(M214&lt;=60000,'Start Here'!$B$32,0)),1)</f>
        <v>5.5</v>
      </c>
      <c r="AM214" s="6" t="s">
        <v>2175</v>
      </c>
      <c r="AN214" s="6" t="s">
        <v>800</v>
      </c>
      <c r="AO214" s="6" t="s">
        <v>2176</v>
      </c>
      <c r="AP214" s="14" t="s">
        <v>457</v>
      </c>
      <c r="AQ214" s="14" t="s">
        <v>1721</v>
      </c>
      <c r="AR214" s="20" t="s">
        <v>246</v>
      </c>
      <c r="AS214" s="20"/>
    </row>
    <row r="215" customFormat="false" ht="60" hidden="false" customHeight="true" outlineLevel="0" collapsed="false">
      <c r="A215" s="14" t="n">
        <v>214</v>
      </c>
      <c r="B215" s="14" t="s">
        <v>247</v>
      </c>
      <c r="C215" s="14" t="s">
        <v>221</v>
      </c>
      <c r="D215" s="14" t="s">
        <v>443</v>
      </c>
      <c r="E215" s="14" t="s">
        <v>34</v>
      </c>
      <c r="F215" s="14" t="s">
        <v>223</v>
      </c>
      <c r="G215" s="14" t="s">
        <v>224</v>
      </c>
      <c r="H215" s="14" t="s">
        <v>223</v>
      </c>
      <c r="I215" s="14" t="s">
        <v>322</v>
      </c>
      <c r="J215" s="14" t="s">
        <v>225</v>
      </c>
      <c r="K215" s="14" t="s">
        <v>2177</v>
      </c>
      <c r="L215" s="14" t="s">
        <v>2178</v>
      </c>
      <c r="M215" s="15" t="n">
        <v>47300</v>
      </c>
      <c r="N215" s="14" t="s">
        <v>462</v>
      </c>
      <c r="O215" s="14" t="s">
        <v>447</v>
      </c>
      <c r="P215" s="16" t="s">
        <v>2179</v>
      </c>
      <c r="Q215" s="6" t="s">
        <v>2180</v>
      </c>
      <c r="R215" s="6" t="s">
        <v>2181</v>
      </c>
      <c r="S215" s="14" t="s">
        <v>916</v>
      </c>
      <c r="T215" s="14" t="s">
        <v>235</v>
      </c>
      <c r="U215" s="14" t="s">
        <v>236</v>
      </c>
      <c r="V215" s="14" t="s">
        <v>2182</v>
      </c>
      <c r="W215" s="14" t="s">
        <v>452</v>
      </c>
      <c r="X215" s="14"/>
      <c r="Y215" s="15" t="n">
        <v>998000</v>
      </c>
      <c r="Z215" s="15"/>
      <c r="AA215" s="14"/>
      <c r="AB215" s="14"/>
      <c r="AC215" s="17"/>
      <c r="AD215" s="18" t="n">
        <v>121.3</v>
      </c>
      <c r="AE215" s="18" t="n">
        <f aca="false">IF(AD215="","",MIN(AD215,100))</f>
        <v>100</v>
      </c>
      <c r="AF215" s="14"/>
      <c r="AG215" s="14" t="s">
        <v>224</v>
      </c>
      <c r="AH215" s="14" t="n">
        <v>3</v>
      </c>
      <c r="AI215" s="14" t="s">
        <v>224</v>
      </c>
      <c r="AJ215" s="14" t="s">
        <v>224</v>
      </c>
      <c r="AK215" s="14" t="s">
        <v>240</v>
      </c>
      <c r="AL215" s="19" t="n">
        <f aca="false">ROUND('Start Here'!$B$29*AH215+'Start Here'!$B$30*MIN(IF(AD215="",0,AD215),50)/5+IF(M215&lt;=30000,'Start Here'!$B$31,IF(M215&lt;=60000,'Start Here'!$B$32,0)),1)</f>
        <v>5.5</v>
      </c>
      <c r="AM215" s="6" t="s">
        <v>2183</v>
      </c>
      <c r="AN215" s="6" t="s">
        <v>2184</v>
      </c>
      <c r="AO215" s="6" t="s">
        <v>2185</v>
      </c>
      <c r="AP215" s="14" t="s">
        <v>457</v>
      </c>
      <c r="AQ215" s="14" t="s">
        <v>1280</v>
      </c>
      <c r="AR215" s="20" t="s">
        <v>246</v>
      </c>
      <c r="AS215" s="20"/>
    </row>
    <row r="216" customFormat="false" ht="60" hidden="false" customHeight="true" outlineLevel="0" collapsed="false">
      <c r="A216" s="14" t="n">
        <v>215</v>
      </c>
      <c r="B216" s="14" t="s">
        <v>247</v>
      </c>
      <c r="C216" s="14" t="s">
        <v>221</v>
      </c>
      <c r="D216" s="14" t="s">
        <v>443</v>
      </c>
      <c r="E216" s="14" t="s">
        <v>34</v>
      </c>
      <c r="F216" s="14" t="s">
        <v>223</v>
      </c>
      <c r="G216" s="14" t="s">
        <v>224</v>
      </c>
      <c r="H216" s="14" t="s">
        <v>223</v>
      </c>
      <c r="I216" s="14" t="s">
        <v>225</v>
      </c>
      <c r="J216" s="14"/>
      <c r="K216" s="14" t="s">
        <v>2186</v>
      </c>
      <c r="L216" s="14" t="s">
        <v>2187</v>
      </c>
      <c r="M216" s="15" t="n">
        <v>43000</v>
      </c>
      <c r="N216" s="14" t="s">
        <v>462</v>
      </c>
      <c r="O216" s="14" t="s">
        <v>447</v>
      </c>
      <c r="P216" s="16" t="s">
        <v>2188</v>
      </c>
      <c r="Q216" s="6" t="s">
        <v>2189</v>
      </c>
      <c r="R216" s="6" t="s">
        <v>2190</v>
      </c>
      <c r="S216" s="14" t="s">
        <v>255</v>
      </c>
      <c r="T216" s="14" t="s">
        <v>235</v>
      </c>
      <c r="U216" s="14" t="s">
        <v>236</v>
      </c>
      <c r="V216" s="14" t="s">
        <v>1563</v>
      </c>
      <c r="W216" s="14" t="s">
        <v>452</v>
      </c>
      <c r="X216" s="14"/>
      <c r="Y216" s="15" t="n">
        <v>598500</v>
      </c>
      <c r="Z216" s="15"/>
      <c r="AA216" s="14"/>
      <c r="AB216" s="14"/>
      <c r="AC216" s="17"/>
      <c r="AD216" s="18" t="n">
        <v>128.7</v>
      </c>
      <c r="AE216" s="18" t="n">
        <f aca="false">IF(AD216="","",MIN(AD216,100))</f>
        <v>100</v>
      </c>
      <c r="AF216" s="14"/>
      <c r="AG216" s="14" t="s">
        <v>224</v>
      </c>
      <c r="AH216" s="14" t="n">
        <v>3</v>
      </c>
      <c r="AI216" s="14" t="s">
        <v>224</v>
      </c>
      <c r="AJ216" s="14" t="s">
        <v>224</v>
      </c>
      <c r="AK216" s="14" t="s">
        <v>240</v>
      </c>
      <c r="AL216" s="19" t="n">
        <f aca="false">ROUND('Start Here'!$B$29*AH216+'Start Here'!$B$30*MIN(IF(AD216="",0,AD216),50)/5+IF(M216&lt;=30000,'Start Here'!$B$31,IF(M216&lt;=60000,'Start Here'!$B$32,0)),1)</f>
        <v>5.5</v>
      </c>
      <c r="AM216" s="6" t="s">
        <v>2191</v>
      </c>
      <c r="AN216" s="6" t="s">
        <v>260</v>
      </c>
      <c r="AO216" s="6" t="s">
        <v>2192</v>
      </c>
      <c r="AP216" s="14" t="s">
        <v>1385</v>
      </c>
      <c r="AQ216" s="14" t="s">
        <v>1640</v>
      </c>
      <c r="AR216" s="20" t="s">
        <v>246</v>
      </c>
      <c r="AS216" s="20"/>
    </row>
    <row r="217" customFormat="false" ht="60" hidden="false" customHeight="true" outlineLevel="0" collapsed="false">
      <c r="A217" s="14" t="n">
        <v>216</v>
      </c>
      <c r="B217" s="14" t="s">
        <v>247</v>
      </c>
      <c r="C217" s="14" t="s">
        <v>221</v>
      </c>
      <c r="D217" s="14" t="s">
        <v>443</v>
      </c>
      <c r="E217" s="14" t="s">
        <v>34</v>
      </c>
      <c r="F217" s="14" t="s">
        <v>223</v>
      </c>
      <c r="G217" s="14" t="s">
        <v>224</v>
      </c>
      <c r="H217" s="14" t="s">
        <v>223</v>
      </c>
      <c r="I217" s="14" t="s">
        <v>225</v>
      </c>
      <c r="J217" s="14"/>
      <c r="K217" s="14" t="s">
        <v>2193</v>
      </c>
      <c r="L217" s="14" t="s">
        <v>2194</v>
      </c>
      <c r="M217" s="15" t="n">
        <v>34700</v>
      </c>
      <c r="N217" s="14" t="s">
        <v>462</v>
      </c>
      <c r="O217" s="14" t="s">
        <v>447</v>
      </c>
      <c r="P217" s="16" t="s">
        <v>2195</v>
      </c>
      <c r="Q217" s="6" t="s">
        <v>2196</v>
      </c>
      <c r="R217" s="6" t="s">
        <v>2197</v>
      </c>
      <c r="S217" s="14" t="s">
        <v>906</v>
      </c>
      <c r="T217" s="14" t="s">
        <v>235</v>
      </c>
      <c r="U217" s="14" t="s">
        <v>236</v>
      </c>
      <c r="V217" s="14" t="s">
        <v>930</v>
      </c>
      <c r="W217" s="14" t="s">
        <v>452</v>
      </c>
      <c r="X217" s="14"/>
      <c r="Y217" s="15" t="n">
        <v>921600</v>
      </c>
      <c r="Z217" s="15"/>
      <c r="AA217" s="14"/>
      <c r="AB217" s="14"/>
      <c r="AC217" s="17"/>
      <c r="AD217" s="18" t="n">
        <v>202.7</v>
      </c>
      <c r="AE217" s="18" t="n">
        <f aca="false">IF(AD217="","",MIN(AD217,100))</f>
        <v>100</v>
      </c>
      <c r="AF217" s="14"/>
      <c r="AG217" s="14" t="s">
        <v>224</v>
      </c>
      <c r="AH217" s="14" t="n">
        <v>3</v>
      </c>
      <c r="AI217" s="14" t="s">
        <v>224</v>
      </c>
      <c r="AJ217" s="14" t="s">
        <v>224</v>
      </c>
      <c r="AK217" s="14" t="s">
        <v>240</v>
      </c>
      <c r="AL217" s="19" t="n">
        <f aca="false">ROUND('Start Here'!$B$29*AH217+'Start Here'!$B$30*MIN(IF(AD217="",0,AD217),50)/5+IF(M217&lt;=30000,'Start Here'!$B$31,IF(M217&lt;=60000,'Start Here'!$B$32,0)),1)</f>
        <v>5.5</v>
      </c>
      <c r="AM217" s="6" t="s">
        <v>2198</v>
      </c>
      <c r="AN217" s="6" t="s">
        <v>2199</v>
      </c>
      <c r="AO217" s="6" t="s">
        <v>2200</v>
      </c>
      <c r="AP217" s="14" t="s">
        <v>922</v>
      </c>
      <c r="AQ217" s="14" t="s">
        <v>1640</v>
      </c>
      <c r="AR217" s="20" t="s">
        <v>246</v>
      </c>
      <c r="AS217" s="20"/>
    </row>
    <row r="218" customFormat="false" ht="60" hidden="false" customHeight="true" outlineLevel="0" collapsed="false">
      <c r="A218" s="14" t="n">
        <v>217</v>
      </c>
      <c r="B218" s="14" t="s">
        <v>247</v>
      </c>
      <c r="C218" s="14" t="s">
        <v>221</v>
      </c>
      <c r="D218" s="14" t="s">
        <v>443</v>
      </c>
      <c r="E218" s="14" t="s">
        <v>36</v>
      </c>
      <c r="F218" s="14" t="s">
        <v>223</v>
      </c>
      <c r="G218" s="14" t="s">
        <v>223</v>
      </c>
      <c r="H218" s="14" t="s">
        <v>224</v>
      </c>
      <c r="I218" s="14" t="s">
        <v>375</v>
      </c>
      <c r="J218" s="14" t="s">
        <v>364</v>
      </c>
      <c r="K218" s="14" t="s">
        <v>2201</v>
      </c>
      <c r="L218" s="14" t="s">
        <v>2202</v>
      </c>
      <c r="M218" s="15" t="n">
        <v>6200</v>
      </c>
      <c r="N218" s="14" t="s">
        <v>283</v>
      </c>
      <c r="O218" s="14" t="s">
        <v>447</v>
      </c>
      <c r="P218" s="16" t="s">
        <v>2203</v>
      </c>
      <c r="Q218" s="6" t="s">
        <v>2204</v>
      </c>
      <c r="R218" s="6" t="s">
        <v>2205</v>
      </c>
      <c r="S218" s="14" t="s">
        <v>255</v>
      </c>
      <c r="T218" s="14" t="s">
        <v>235</v>
      </c>
      <c r="U218" s="14" t="s">
        <v>236</v>
      </c>
      <c r="V218" s="14" t="s">
        <v>1256</v>
      </c>
      <c r="W218" s="14" t="s">
        <v>452</v>
      </c>
      <c r="X218" s="14"/>
      <c r="Y218" s="15" t="n">
        <v>84700</v>
      </c>
      <c r="Z218" s="15"/>
      <c r="AA218" s="14"/>
      <c r="AB218" s="14"/>
      <c r="AC218" s="17"/>
      <c r="AD218" s="18" t="n">
        <v>33.3</v>
      </c>
      <c r="AE218" s="18" t="n">
        <f aca="false">IF(AD218="","",MIN(AD218,100))</f>
        <v>33.3</v>
      </c>
      <c r="AF218" s="14"/>
      <c r="AG218" s="14" t="s">
        <v>224</v>
      </c>
      <c r="AH218" s="14" t="n">
        <v>3</v>
      </c>
      <c r="AI218" s="14" t="s">
        <v>224</v>
      </c>
      <c r="AJ218" s="14" t="s">
        <v>224</v>
      </c>
      <c r="AK218" s="14" t="s">
        <v>240</v>
      </c>
      <c r="AL218" s="19" t="n">
        <f aca="false">ROUND('Start Here'!$B$29*AH218+'Start Here'!$B$30*MIN(IF(AD218="",0,AD218),50)/5+IF(M218&lt;=30000,'Start Here'!$B$31,IF(M218&lt;=60000,'Start Here'!$B$32,0)),1)</f>
        <v>5.5</v>
      </c>
      <c r="AM218" s="6" t="s">
        <v>2206</v>
      </c>
      <c r="AN218" s="6" t="s">
        <v>2207</v>
      </c>
      <c r="AO218" s="6" t="s">
        <v>2208</v>
      </c>
      <c r="AP218" s="14" t="s">
        <v>922</v>
      </c>
      <c r="AQ218" s="14" t="s">
        <v>1249</v>
      </c>
      <c r="AR218" s="20" t="s">
        <v>246</v>
      </c>
      <c r="AS218" s="20"/>
    </row>
    <row r="219" customFormat="false" ht="60" hidden="false" customHeight="true" outlineLevel="0" collapsed="false">
      <c r="A219" s="14" t="n">
        <v>218</v>
      </c>
      <c r="B219" s="14" t="s">
        <v>220</v>
      </c>
      <c r="C219" s="14" t="s">
        <v>221</v>
      </c>
      <c r="D219" s="14" t="s">
        <v>222</v>
      </c>
      <c r="E219" s="14" t="s">
        <v>36</v>
      </c>
      <c r="F219" s="14" t="s">
        <v>223</v>
      </c>
      <c r="G219" s="14" t="s">
        <v>223</v>
      </c>
      <c r="H219" s="14" t="s">
        <v>224</v>
      </c>
      <c r="I219" s="14" t="s">
        <v>635</v>
      </c>
      <c r="J219" s="14" t="s">
        <v>1712</v>
      </c>
      <c r="K219" s="14" t="s">
        <v>1147</v>
      </c>
      <c r="L219" s="14" t="s">
        <v>1148</v>
      </c>
      <c r="M219" s="15" t="n">
        <v>6310</v>
      </c>
      <c r="N219" s="14" t="s">
        <v>283</v>
      </c>
      <c r="O219" s="14" t="s">
        <v>2209</v>
      </c>
      <c r="P219" s="16" t="s">
        <v>2210</v>
      </c>
      <c r="Q219" s="6" t="s">
        <v>2211</v>
      </c>
      <c r="R219" s="6" t="s">
        <v>2212</v>
      </c>
      <c r="S219" s="14" t="s">
        <v>685</v>
      </c>
      <c r="T219" s="14" t="s">
        <v>235</v>
      </c>
      <c r="U219" s="14" t="s">
        <v>686</v>
      </c>
      <c r="V219" s="14" t="s">
        <v>237</v>
      </c>
      <c r="W219" s="14" t="s">
        <v>238</v>
      </c>
      <c r="X219" s="14" t="s">
        <v>688</v>
      </c>
      <c r="Y219" s="15" t="n">
        <v>25751</v>
      </c>
      <c r="Z219" s="15" t="n">
        <v>124</v>
      </c>
      <c r="AA219" s="14" t="n">
        <v>7</v>
      </c>
      <c r="AB219" s="14" t="n">
        <v>11</v>
      </c>
      <c r="AC219" s="17" t="n">
        <v>0.00551434895732205</v>
      </c>
      <c r="AD219" s="18" t="n">
        <v>11.46</v>
      </c>
      <c r="AE219" s="18" t="n">
        <f aca="false">IF(AD219="","",MIN(AD219,100))</f>
        <v>11.46</v>
      </c>
      <c r="AF219" s="14" t="n">
        <v>95.1</v>
      </c>
      <c r="AG219" s="14" t="s">
        <v>224</v>
      </c>
      <c r="AH219" s="14" t="n">
        <v>5.6</v>
      </c>
      <c r="AI219" s="14" t="s">
        <v>223</v>
      </c>
      <c r="AJ219" s="14" t="s">
        <v>224</v>
      </c>
      <c r="AK219" s="14" t="s">
        <v>240</v>
      </c>
      <c r="AL219" s="19" t="n">
        <f aca="false">ROUND('Start Here'!$B$29*AH219+'Start Here'!$B$30*MIN(IF(AD219="",0,AD219),50)/5+IF(M219&lt;=30000,'Start Here'!$B$31,IF(M219&lt;=60000,'Start Here'!$B$32,0)),1)</f>
        <v>5.5</v>
      </c>
      <c r="AM219" s="6" t="s">
        <v>874</v>
      </c>
      <c r="AN219" s="6" t="s">
        <v>2213</v>
      </c>
      <c r="AO219" s="6" t="s">
        <v>2214</v>
      </c>
      <c r="AP219" s="14" t="s">
        <v>2215</v>
      </c>
      <c r="AQ219" s="14" t="s">
        <v>386</v>
      </c>
      <c r="AR219" s="20" t="s">
        <v>246</v>
      </c>
      <c r="AS219" s="20"/>
    </row>
    <row r="220" customFormat="false" ht="60" hidden="false" customHeight="true" outlineLevel="0" collapsed="false">
      <c r="A220" s="14" t="n">
        <v>219</v>
      </c>
      <c r="B220" s="14" t="s">
        <v>374</v>
      </c>
      <c r="C220" s="14" t="s">
        <v>221</v>
      </c>
      <c r="D220" s="14" t="s">
        <v>222</v>
      </c>
      <c r="E220" s="14" t="s">
        <v>34</v>
      </c>
      <c r="F220" s="14" t="s">
        <v>223</v>
      </c>
      <c r="G220" s="14" t="s">
        <v>224</v>
      </c>
      <c r="H220" s="14" t="s">
        <v>224</v>
      </c>
      <c r="I220" s="14" t="s">
        <v>225</v>
      </c>
      <c r="J220" s="14" t="s">
        <v>2216</v>
      </c>
      <c r="K220" s="14" t="s">
        <v>2007</v>
      </c>
      <c r="L220" s="14" t="s">
        <v>2008</v>
      </c>
      <c r="M220" s="15" t="n">
        <v>100285</v>
      </c>
      <c r="N220" s="14" t="s">
        <v>2009</v>
      </c>
      <c r="O220" s="14" t="s">
        <v>2217</v>
      </c>
      <c r="P220" s="16" t="s">
        <v>2218</v>
      </c>
      <c r="Q220" s="6" t="s">
        <v>2219</v>
      </c>
      <c r="R220" s="6" t="s">
        <v>2220</v>
      </c>
      <c r="S220" s="14" t="s">
        <v>884</v>
      </c>
      <c r="T220" s="14" t="s">
        <v>235</v>
      </c>
      <c r="U220" s="14" t="s">
        <v>236</v>
      </c>
      <c r="V220" s="14" t="s">
        <v>331</v>
      </c>
      <c r="W220" s="14" t="s">
        <v>275</v>
      </c>
      <c r="X220" s="14" t="s">
        <v>239</v>
      </c>
      <c r="Y220" s="15"/>
      <c r="Z220" s="15" t="n">
        <v>769</v>
      </c>
      <c r="AA220" s="14" t="n">
        <v>2543</v>
      </c>
      <c r="AB220" s="14" t="n">
        <v>38</v>
      </c>
      <c r="AC220" s="17" t="n">
        <v>0.0336602226598609</v>
      </c>
      <c r="AD220" s="18" t="n">
        <v>16.2</v>
      </c>
      <c r="AE220" s="18" t="n">
        <f aca="false">IF(AD220="","",MIN(AD220,100))</f>
        <v>16.2</v>
      </c>
      <c r="AF220" s="14" t="n">
        <v>97.3</v>
      </c>
      <c r="AG220" s="14" t="s">
        <v>224</v>
      </c>
      <c r="AH220" s="14" t="n">
        <v>9</v>
      </c>
      <c r="AI220" s="14" t="s">
        <v>224</v>
      </c>
      <c r="AJ220" s="14" t="s">
        <v>224</v>
      </c>
      <c r="AK220" s="14" t="s">
        <v>240</v>
      </c>
      <c r="AL220" s="19" t="n">
        <f aca="false">ROUND('Start Here'!$B$29*AH220+'Start Here'!$B$30*MIN(IF(AD220="",0,AD220),50)/5+IF(M220&lt;=30000,'Start Here'!$B$31,IF(M220&lt;=60000,'Start Here'!$B$32,0)),1)</f>
        <v>5.5</v>
      </c>
      <c r="AM220" s="6" t="s">
        <v>2221</v>
      </c>
      <c r="AN220" s="6" t="s">
        <v>2222</v>
      </c>
      <c r="AO220" s="6" t="s">
        <v>2223</v>
      </c>
      <c r="AP220" s="14" t="s">
        <v>2224</v>
      </c>
      <c r="AQ220" s="14" t="s">
        <v>2015</v>
      </c>
      <c r="AR220" s="20" t="s">
        <v>246</v>
      </c>
      <c r="AS220" s="20"/>
    </row>
    <row r="221" customFormat="false" ht="60" hidden="false" customHeight="true" outlineLevel="0" collapsed="false">
      <c r="A221" s="14" t="n">
        <v>220</v>
      </c>
      <c r="B221" s="14" t="s">
        <v>247</v>
      </c>
      <c r="C221" s="14" t="s">
        <v>221</v>
      </c>
      <c r="D221" s="14" t="s">
        <v>222</v>
      </c>
      <c r="E221" s="14" t="s">
        <v>34</v>
      </c>
      <c r="F221" s="14" t="s">
        <v>223</v>
      </c>
      <c r="G221" s="14" t="s">
        <v>224</v>
      </c>
      <c r="H221" s="14" t="s">
        <v>224</v>
      </c>
      <c r="I221" s="14" t="s">
        <v>338</v>
      </c>
      <c r="J221" s="14" t="s">
        <v>2225</v>
      </c>
      <c r="K221" s="14" t="s">
        <v>1366</v>
      </c>
      <c r="L221" s="14" t="s">
        <v>1367</v>
      </c>
      <c r="M221" s="15" t="n">
        <v>56086</v>
      </c>
      <c r="N221" s="14" t="s">
        <v>400</v>
      </c>
      <c r="O221" s="14" t="s">
        <v>1665</v>
      </c>
      <c r="P221" s="16" t="s">
        <v>2226</v>
      </c>
      <c r="Q221" s="6"/>
      <c r="R221" s="6"/>
      <c r="S221" s="14" t="s">
        <v>255</v>
      </c>
      <c r="T221" s="14" t="s">
        <v>235</v>
      </c>
      <c r="U221" s="14" t="s">
        <v>236</v>
      </c>
      <c r="V221" s="14" t="s">
        <v>288</v>
      </c>
      <c r="W221" s="14" t="s">
        <v>238</v>
      </c>
      <c r="X221" s="14" t="s">
        <v>546</v>
      </c>
      <c r="Y221" s="15" t="n">
        <v>27890</v>
      </c>
      <c r="Z221" s="15" t="n">
        <v>175</v>
      </c>
      <c r="AA221" s="14" t="n">
        <v>7</v>
      </c>
      <c r="AB221" s="14"/>
      <c r="AC221" s="17" t="n">
        <v>0.00652563642882754</v>
      </c>
      <c r="AD221" s="18" t="n">
        <v>16.18</v>
      </c>
      <c r="AE221" s="18" t="n">
        <f aca="false">IF(AD221="","",MIN(AD221,100))</f>
        <v>16.18</v>
      </c>
      <c r="AF221" s="14" t="n">
        <v>96.5</v>
      </c>
      <c r="AG221" s="14" t="s">
        <v>224</v>
      </c>
      <c r="AH221" s="14" t="n">
        <v>7</v>
      </c>
      <c r="AI221" s="14" t="s">
        <v>224</v>
      </c>
      <c r="AJ221" s="14" t="s">
        <v>224</v>
      </c>
      <c r="AK221" s="14" t="s">
        <v>240</v>
      </c>
      <c r="AL221" s="19" t="n">
        <f aca="false">ROUND('Start Here'!$B$29*AH221+'Start Here'!$B$30*MIN(IF(AD221="",0,AD221),50)/5+IF(M221&lt;=30000,'Start Here'!$B$31,IF(M221&lt;=60000,'Start Here'!$B$32,0)),1)</f>
        <v>5.5</v>
      </c>
      <c r="AM221" s="6" t="s">
        <v>534</v>
      </c>
      <c r="AN221" s="6" t="s">
        <v>2227</v>
      </c>
      <c r="AO221" s="6" t="s">
        <v>2228</v>
      </c>
      <c r="AP221" s="14" t="s">
        <v>2229</v>
      </c>
      <c r="AQ221" s="14" t="s">
        <v>263</v>
      </c>
      <c r="AR221" s="20" t="s">
        <v>246</v>
      </c>
      <c r="AS221" s="20"/>
    </row>
    <row r="222" customFormat="false" ht="60" hidden="false" customHeight="true" outlineLevel="0" collapsed="false">
      <c r="A222" s="14" t="n">
        <v>221</v>
      </c>
      <c r="B222" s="14" t="s">
        <v>247</v>
      </c>
      <c r="C222" s="14" t="s">
        <v>442</v>
      </c>
      <c r="D222" s="14" t="s">
        <v>443</v>
      </c>
      <c r="E222" s="14" t="s">
        <v>36</v>
      </c>
      <c r="F222" s="14" t="s">
        <v>223</v>
      </c>
      <c r="G222" s="14" t="s">
        <v>223</v>
      </c>
      <c r="H222" s="14" t="s">
        <v>224</v>
      </c>
      <c r="I222" s="14" t="s">
        <v>364</v>
      </c>
      <c r="J222" s="14" t="s">
        <v>225</v>
      </c>
      <c r="K222" s="14" t="s">
        <v>2230</v>
      </c>
      <c r="L222" s="14" t="s">
        <v>2231</v>
      </c>
      <c r="M222" s="15" t="n">
        <v>5100</v>
      </c>
      <c r="N222" s="14" t="s">
        <v>283</v>
      </c>
      <c r="O222" s="14" t="s">
        <v>447</v>
      </c>
      <c r="P222" s="16" t="s">
        <v>2232</v>
      </c>
      <c r="Q222" s="6" t="s">
        <v>2233</v>
      </c>
      <c r="R222" s="6" t="s">
        <v>2234</v>
      </c>
      <c r="S222" s="14" t="s">
        <v>513</v>
      </c>
      <c r="T222" s="14" t="s">
        <v>273</v>
      </c>
      <c r="U222" s="14" t="s">
        <v>274</v>
      </c>
      <c r="V222" s="14" t="s">
        <v>2235</v>
      </c>
      <c r="W222" s="14" t="s">
        <v>1600</v>
      </c>
      <c r="X222" s="14"/>
      <c r="Y222" s="15" t="n">
        <v>119800</v>
      </c>
      <c r="Z222" s="15"/>
      <c r="AA222" s="14"/>
      <c r="AB222" s="14"/>
      <c r="AC222" s="17"/>
      <c r="AD222" s="18" t="n">
        <v>24.5</v>
      </c>
      <c r="AE222" s="18" t="n">
        <f aca="false">IF(AD222="","",MIN(AD222,100))</f>
        <v>24.5</v>
      </c>
      <c r="AF222" s="14"/>
      <c r="AG222" s="14" t="s">
        <v>224</v>
      </c>
      <c r="AH222" s="14" t="n">
        <v>4</v>
      </c>
      <c r="AI222" s="14" t="s">
        <v>224</v>
      </c>
      <c r="AJ222" s="14" t="s">
        <v>224</v>
      </c>
      <c r="AK222" s="14" t="s">
        <v>453</v>
      </c>
      <c r="AL222" s="19" t="n">
        <f aca="false">ROUND('Start Here'!$B$29*AH222+'Start Here'!$B$30*MIN(IF(AD222="",0,AD222),50)/5+IF(M222&lt;=30000,'Start Here'!$B$31,IF(M222&lt;=60000,'Start Here'!$B$32,0)),1)</f>
        <v>5.5</v>
      </c>
      <c r="AM222" s="6" t="s">
        <v>2236</v>
      </c>
      <c r="AN222" s="6" t="s">
        <v>2237</v>
      </c>
      <c r="AO222" s="6" t="s">
        <v>2238</v>
      </c>
      <c r="AP222" s="14" t="s">
        <v>2239</v>
      </c>
      <c r="AQ222" s="14" t="s">
        <v>1593</v>
      </c>
      <c r="AR222" s="20" t="s">
        <v>246</v>
      </c>
      <c r="AS222" s="20"/>
    </row>
    <row r="223" customFormat="false" ht="60" hidden="false" customHeight="true" outlineLevel="0" collapsed="false">
      <c r="A223" s="14" t="n">
        <v>222</v>
      </c>
      <c r="B223" s="14" t="s">
        <v>374</v>
      </c>
      <c r="C223" s="14" t="s">
        <v>221</v>
      </c>
      <c r="D223" s="14" t="s">
        <v>222</v>
      </c>
      <c r="E223" s="14" t="s">
        <v>38</v>
      </c>
      <c r="F223" s="14" t="s">
        <v>224</v>
      </c>
      <c r="G223" s="14" t="s">
        <v>224</v>
      </c>
      <c r="H223" s="14" t="s">
        <v>223</v>
      </c>
      <c r="I223" s="14" t="s">
        <v>264</v>
      </c>
      <c r="J223" s="14" t="s">
        <v>483</v>
      </c>
      <c r="K223" s="14" t="s">
        <v>2240</v>
      </c>
      <c r="L223" s="14" t="s">
        <v>2241</v>
      </c>
      <c r="M223" s="15" t="n">
        <v>68759</v>
      </c>
      <c r="N223" s="14" t="s">
        <v>400</v>
      </c>
      <c r="O223" s="14" t="s">
        <v>2242</v>
      </c>
      <c r="P223" s="16" t="s">
        <v>2243</v>
      </c>
      <c r="Q223" s="6" t="s">
        <v>2244</v>
      </c>
      <c r="R223" s="6" t="s">
        <v>2245</v>
      </c>
      <c r="S223" s="14" t="s">
        <v>255</v>
      </c>
      <c r="T223" s="14" t="s">
        <v>235</v>
      </c>
      <c r="U223" s="14" t="s">
        <v>236</v>
      </c>
      <c r="V223" s="14" t="s">
        <v>331</v>
      </c>
      <c r="W223" s="14" t="s">
        <v>238</v>
      </c>
      <c r="X223" s="14" t="s">
        <v>258</v>
      </c>
      <c r="Y223" s="15"/>
      <c r="Z223" s="15" t="n">
        <v>1473</v>
      </c>
      <c r="AA223" s="14" t="n">
        <v>184</v>
      </c>
      <c r="AB223" s="14" t="n">
        <v>63</v>
      </c>
      <c r="AC223" s="17" t="n">
        <v>0.0251032590452005</v>
      </c>
      <c r="AD223" s="18" t="n">
        <v>7.66</v>
      </c>
      <c r="AE223" s="18" t="n">
        <f aca="false">IF(AD223="","",MIN(AD223,100))</f>
        <v>7.66</v>
      </c>
      <c r="AF223" s="14" t="n">
        <v>98.5</v>
      </c>
      <c r="AG223" s="14" t="s">
        <v>224</v>
      </c>
      <c r="AH223" s="14" t="n">
        <v>10</v>
      </c>
      <c r="AI223" s="14" t="s">
        <v>224</v>
      </c>
      <c r="AJ223" s="14" t="s">
        <v>224</v>
      </c>
      <c r="AK223" s="14" t="s">
        <v>240</v>
      </c>
      <c r="AL223" s="19" t="n">
        <f aca="false">ROUND('Start Here'!$B$29*AH223+'Start Here'!$B$30*MIN(IF(AD223="",0,AD223),50)/5+IF(M223&lt;=30000,'Start Here'!$B$31,IF(M223&lt;=60000,'Start Here'!$B$32,0)),1)</f>
        <v>5.5</v>
      </c>
      <c r="AM223" s="6" t="s">
        <v>534</v>
      </c>
      <c r="AN223" s="6" t="s">
        <v>1752</v>
      </c>
      <c r="AO223" s="6" t="s">
        <v>2246</v>
      </c>
      <c r="AP223" s="14" t="s">
        <v>2247</v>
      </c>
      <c r="AQ223" s="14" t="s">
        <v>2248</v>
      </c>
      <c r="AR223" s="20" t="s">
        <v>246</v>
      </c>
      <c r="AS223" s="20"/>
    </row>
    <row r="224" customFormat="false" ht="60" hidden="false" customHeight="true" outlineLevel="0" collapsed="false">
      <c r="A224" s="14" t="n">
        <v>223</v>
      </c>
      <c r="B224" s="14" t="s">
        <v>220</v>
      </c>
      <c r="C224" s="14" t="s">
        <v>221</v>
      </c>
      <c r="D224" s="14" t="s">
        <v>222</v>
      </c>
      <c r="E224" s="14" t="s">
        <v>34</v>
      </c>
      <c r="F224" s="14" t="s">
        <v>223</v>
      </c>
      <c r="G224" s="14" t="s">
        <v>224</v>
      </c>
      <c r="H224" s="14" t="s">
        <v>223</v>
      </c>
      <c r="I224" s="14" t="s">
        <v>225</v>
      </c>
      <c r="J224" s="14" t="s">
        <v>2249</v>
      </c>
      <c r="K224" s="14" t="s">
        <v>2250</v>
      </c>
      <c r="L224" s="14" t="s">
        <v>2251</v>
      </c>
      <c r="M224" s="15" t="n">
        <v>78147</v>
      </c>
      <c r="N224" s="14" t="s">
        <v>400</v>
      </c>
      <c r="O224" s="14" t="s">
        <v>2252</v>
      </c>
      <c r="P224" s="16" t="s">
        <v>2253</v>
      </c>
      <c r="Q224" s="6" t="s">
        <v>2254</v>
      </c>
      <c r="R224" s="6" t="s">
        <v>2255</v>
      </c>
      <c r="S224" s="14" t="s">
        <v>255</v>
      </c>
      <c r="T224" s="14" t="s">
        <v>235</v>
      </c>
      <c r="U224" s="14" t="s">
        <v>236</v>
      </c>
      <c r="V224" s="14" t="s">
        <v>288</v>
      </c>
      <c r="W224" s="14" t="s">
        <v>257</v>
      </c>
      <c r="X224" s="14" t="s">
        <v>239</v>
      </c>
      <c r="Y224" s="15" t="n">
        <v>188368</v>
      </c>
      <c r="Z224" s="15" t="n">
        <v>2634</v>
      </c>
      <c r="AA224" s="14" t="n">
        <v>1536</v>
      </c>
      <c r="AB224" s="14" t="n">
        <v>138</v>
      </c>
      <c r="AC224" s="17" t="n">
        <v>0.0228701265607747</v>
      </c>
      <c r="AD224" s="18" t="n">
        <v>51.81</v>
      </c>
      <c r="AE224" s="18" t="n">
        <f aca="false">IF(AD224="","",MIN(AD224,100))</f>
        <v>51.81</v>
      </c>
      <c r="AF224" s="14" t="n">
        <v>98</v>
      </c>
      <c r="AG224" s="14" t="s">
        <v>224</v>
      </c>
      <c r="AH224" s="14" t="n">
        <v>4.9</v>
      </c>
      <c r="AI224" s="14" t="s">
        <v>223</v>
      </c>
      <c r="AJ224" s="14" t="s">
        <v>224</v>
      </c>
      <c r="AK224" s="14" t="s">
        <v>240</v>
      </c>
      <c r="AL224" s="19" t="n">
        <f aca="false">ROUND('Start Here'!$B$29*AH224+'Start Here'!$B$30*MIN(IF(AD224="",0,AD224),50)/5+IF(M224&lt;=30000,'Start Here'!$B$31,IF(M224&lt;=60000,'Start Here'!$B$32,0)),1)</f>
        <v>5.5</v>
      </c>
      <c r="AM224" s="6" t="s">
        <v>491</v>
      </c>
      <c r="AN224" s="6" t="s">
        <v>674</v>
      </c>
      <c r="AO224" s="6" t="s">
        <v>2256</v>
      </c>
      <c r="AP224" s="14" t="s">
        <v>2257</v>
      </c>
      <c r="AQ224" s="14" t="s">
        <v>495</v>
      </c>
      <c r="AR224" s="20" t="s">
        <v>246</v>
      </c>
      <c r="AS224" s="20"/>
    </row>
    <row r="225" customFormat="false" ht="60" hidden="false" customHeight="true" outlineLevel="0" collapsed="false">
      <c r="A225" s="14" t="n">
        <v>224</v>
      </c>
      <c r="B225" s="14" t="s">
        <v>374</v>
      </c>
      <c r="C225" s="14" t="s">
        <v>221</v>
      </c>
      <c r="D225" s="14" t="s">
        <v>222</v>
      </c>
      <c r="E225" s="14" t="s">
        <v>36</v>
      </c>
      <c r="F225" s="14" t="s">
        <v>223</v>
      </c>
      <c r="G225" s="14" t="s">
        <v>223</v>
      </c>
      <c r="H225" s="14" t="s">
        <v>223</v>
      </c>
      <c r="I225" s="14" t="s">
        <v>225</v>
      </c>
      <c r="J225" s="14" t="s">
        <v>563</v>
      </c>
      <c r="K225" s="14" t="s">
        <v>2258</v>
      </c>
      <c r="L225" s="14" t="s">
        <v>2259</v>
      </c>
      <c r="M225" s="15" t="n">
        <v>26527</v>
      </c>
      <c r="N225" s="14" t="s">
        <v>298</v>
      </c>
      <c r="O225" s="14" t="s">
        <v>1047</v>
      </c>
      <c r="P225" s="16" t="s">
        <v>2260</v>
      </c>
      <c r="Q225" s="6" t="s">
        <v>2261</v>
      </c>
      <c r="R225" s="6" t="s">
        <v>2262</v>
      </c>
      <c r="S225" s="14" t="s">
        <v>234</v>
      </c>
      <c r="T225" s="14" t="s">
        <v>235</v>
      </c>
      <c r="U225" s="14" t="s">
        <v>236</v>
      </c>
      <c r="V225" s="14" t="s">
        <v>331</v>
      </c>
      <c r="W225" s="14" t="s">
        <v>819</v>
      </c>
      <c r="X225" s="14" t="s">
        <v>239</v>
      </c>
      <c r="Y225" s="15"/>
      <c r="Z225" s="15" t="n">
        <v>2410</v>
      </c>
      <c r="AA225" s="14" t="n">
        <v>5235</v>
      </c>
      <c r="AB225" s="14" t="n">
        <v>14</v>
      </c>
      <c r="AC225" s="17" t="n">
        <v>0.314434682650464</v>
      </c>
      <c r="AD225" s="18" t="n">
        <v>27.49</v>
      </c>
      <c r="AE225" s="18" t="n">
        <f aca="false">IF(AD225="","",MIN(AD225,100))</f>
        <v>27.49</v>
      </c>
      <c r="AF225" s="14" t="n">
        <v>100</v>
      </c>
      <c r="AG225" s="14" t="s">
        <v>224</v>
      </c>
      <c r="AH225" s="14" t="n">
        <v>3.6</v>
      </c>
      <c r="AI225" s="14" t="s">
        <v>223</v>
      </c>
      <c r="AJ225" s="14" t="s">
        <v>224</v>
      </c>
      <c r="AK225" s="14" t="s">
        <v>240</v>
      </c>
      <c r="AL225" s="19" t="n">
        <f aca="false">ROUND('Start Here'!$B$29*AH225+'Start Here'!$B$30*MIN(IF(AD225="",0,AD225),50)/5+IF(M225&lt;=30000,'Start Here'!$B$31,IF(M225&lt;=60000,'Start Here'!$B$32,0)),1)</f>
        <v>5.4</v>
      </c>
      <c r="AM225" s="6" t="s">
        <v>2263</v>
      </c>
      <c r="AN225" s="6" t="s">
        <v>242</v>
      </c>
      <c r="AO225" s="6" t="s">
        <v>2264</v>
      </c>
      <c r="AP225" s="14" t="s">
        <v>2265</v>
      </c>
      <c r="AQ225" s="14" t="s">
        <v>363</v>
      </c>
      <c r="AR225" s="20" t="s">
        <v>246</v>
      </c>
      <c r="AS225" s="20"/>
    </row>
    <row r="226" customFormat="false" ht="60" hidden="false" customHeight="true" outlineLevel="0" collapsed="false">
      <c r="A226" s="14" t="n">
        <v>225</v>
      </c>
      <c r="B226" s="14" t="s">
        <v>374</v>
      </c>
      <c r="C226" s="14" t="s">
        <v>221</v>
      </c>
      <c r="D226" s="14" t="s">
        <v>222</v>
      </c>
      <c r="E226" s="14" t="s">
        <v>34</v>
      </c>
      <c r="F226" s="14" t="s">
        <v>223</v>
      </c>
      <c r="G226" s="14" t="s">
        <v>224</v>
      </c>
      <c r="H226" s="14" t="s">
        <v>223</v>
      </c>
      <c r="I226" s="14" t="s">
        <v>225</v>
      </c>
      <c r="J226" s="14" t="s">
        <v>1300</v>
      </c>
      <c r="K226" s="14" t="s">
        <v>2266</v>
      </c>
      <c r="L226" s="14" t="s">
        <v>2267</v>
      </c>
      <c r="M226" s="15" t="n">
        <v>37640</v>
      </c>
      <c r="N226" s="14" t="s">
        <v>462</v>
      </c>
      <c r="O226" s="14" t="s">
        <v>509</v>
      </c>
      <c r="P226" s="16" t="s">
        <v>2268</v>
      </c>
      <c r="Q226" s="6" t="s">
        <v>2269</v>
      </c>
      <c r="R226" s="6" t="s">
        <v>2270</v>
      </c>
      <c r="S226" s="14" t="s">
        <v>330</v>
      </c>
      <c r="T226" s="14" t="s">
        <v>235</v>
      </c>
      <c r="U226" s="14" t="s">
        <v>236</v>
      </c>
      <c r="V226" s="14" t="s">
        <v>331</v>
      </c>
      <c r="W226" s="14" t="s">
        <v>687</v>
      </c>
      <c r="X226" s="14" t="s">
        <v>239</v>
      </c>
      <c r="Y226" s="15"/>
      <c r="Z226" s="15" t="n">
        <v>2132</v>
      </c>
      <c r="AA226" s="14" t="n">
        <v>318</v>
      </c>
      <c r="AB226" s="14" t="n">
        <v>24</v>
      </c>
      <c r="AC226" s="17" t="n">
        <v>0.0782861844187077</v>
      </c>
      <c r="AD226" s="18" t="n">
        <v>13.11</v>
      </c>
      <c r="AE226" s="18" t="n">
        <f aca="false">IF(AD226="","",MIN(AD226,100))</f>
        <v>13.11</v>
      </c>
      <c r="AF226" s="14" t="n">
        <v>99.9</v>
      </c>
      <c r="AG226" s="14" t="s">
        <v>224</v>
      </c>
      <c r="AH226" s="14" t="n">
        <v>7.3</v>
      </c>
      <c r="AI226" s="14" t="s">
        <v>224</v>
      </c>
      <c r="AJ226" s="14" t="s">
        <v>224</v>
      </c>
      <c r="AK226" s="14" t="s">
        <v>240</v>
      </c>
      <c r="AL226" s="19" t="n">
        <f aca="false">ROUND('Start Here'!$B$29*AH226+'Start Here'!$B$30*MIN(IF(AD226="",0,AD226),50)/5+IF(M226&lt;=30000,'Start Here'!$B$31,IF(M226&lt;=60000,'Start Here'!$B$32,0)),1)</f>
        <v>5.4</v>
      </c>
      <c r="AM226" s="6" t="s">
        <v>1117</v>
      </c>
      <c r="AN226" s="6" t="s">
        <v>416</v>
      </c>
      <c r="AO226" s="6" t="s">
        <v>2271</v>
      </c>
      <c r="AP226" s="14" t="s">
        <v>2272</v>
      </c>
      <c r="AQ226" s="14" t="s">
        <v>1310</v>
      </c>
      <c r="AR226" s="20" t="s">
        <v>246</v>
      </c>
      <c r="AS226" s="20"/>
    </row>
    <row r="227" customFormat="false" ht="60" hidden="false" customHeight="true" outlineLevel="0" collapsed="false">
      <c r="A227" s="14" t="n">
        <v>226</v>
      </c>
      <c r="B227" s="14" t="s">
        <v>374</v>
      </c>
      <c r="C227" s="14" t="s">
        <v>221</v>
      </c>
      <c r="D227" s="14" t="s">
        <v>222</v>
      </c>
      <c r="E227" s="14" t="s">
        <v>34</v>
      </c>
      <c r="F227" s="14" t="s">
        <v>223</v>
      </c>
      <c r="G227" s="14" t="s">
        <v>224</v>
      </c>
      <c r="H227" s="14" t="s">
        <v>223</v>
      </c>
      <c r="I227" s="14" t="s">
        <v>225</v>
      </c>
      <c r="J227" s="14" t="s">
        <v>1300</v>
      </c>
      <c r="K227" s="14" t="s">
        <v>2266</v>
      </c>
      <c r="L227" s="14" t="s">
        <v>2267</v>
      </c>
      <c r="M227" s="15" t="n">
        <v>37640</v>
      </c>
      <c r="N227" s="14" t="s">
        <v>462</v>
      </c>
      <c r="O227" s="14" t="s">
        <v>2273</v>
      </c>
      <c r="P227" s="16" t="s">
        <v>2274</v>
      </c>
      <c r="Q227" s="6" t="s">
        <v>2269</v>
      </c>
      <c r="R227" s="6" t="s">
        <v>2270</v>
      </c>
      <c r="S227" s="14" t="s">
        <v>330</v>
      </c>
      <c r="T227" s="14" t="s">
        <v>235</v>
      </c>
      <c r="U227" s="14" t="s">
        <v>236</v>
      </c>
      <c r="V227" s="14" t="s">
        <v>331</v>
      </c>
      <c r="W227" s="14" t="s">
        <v>687</v>
      </c>
      <c r="X227" s="14" t="s">
        <v>239</v>
      </c>
      <c r="Y227" s="15"/>
      <c r="Z227" s="15" t="n">
        <v>2132</v>
      </c>
      <c r="AA227" s="14" t="n">
        <v>318</v>
      </c>
      <c r="AB227" s="14" t="n">
        <v>24</v>
      </c>
      <c r="AC227" s="17" t="n">
        <v>0.0782861844187077</v>
      </c>
      <c r="AD227" s="18" t="n">
        <v>13.11</v>
      </c>
      <c r="AE227" s="18" t="n">
        <f aca="false">IF(AD227="","",MIN(AD227,100))</f>
        <v>13.11</v>
      </c>
      <c r="AF227" s="14" t="n">
        <v>99.9</v>
      </c>
      <c r="AG227" s="14" t="s">
        <v>224</v>
      </c>
      <c r="AH227" s="14" t="n">
        <v>7.3</v>
      </c>
      <c r="AI227" s="14" t="s">
        <v>224</v>
      </c>
      <c r="AJ227" s="14" t="s">
        <v>224</v>
      </c>
      <c r="AK227" s="14" t="s">
        <v>240</v>
      </c>
      <c r="AL227" s="19" t="n">
        <f aca="false">ROUND('Start Here'!$B$29*AH227+'Start Here'!$B$30*MIN(IF(AD227="",0,AD227),50)/5+IF(M227&lt;=30000,'Start Here'!$B$31,IF(M227&lt;=60000,'Start Here'!$B$32,0)),1)</f>
        <v>5.4</v>
      </c>
      <c r="AM227" s="6" t="s">
        <v>1117</v>
      </c>
      <c r="AN227" s="6" t="s">
        <v>416</v>
      </c>
      <c r="AO227" s="6" t="s">
        <v>2275</v>
      </c>
      <c r="AP227" s="14" t="s">
        <v>2276</v>
      </c>
      <c r="AQ227" s="14" t="s">
        <v>1310</v>
      </c>
      <c r="AR227" s="20" t="s">
        <v>246</v>
      </c>
      <c r="AS227" s="20"/>
    </row>
    <row r="228" customFormat="false" ht="60" hidden="false" customHeight="true" outlineLevel="0" collapsed="false">
      <c r="A228" s="14" t="n">
        <v>227</v>
      </c>
      <c r="B228" s="14" t="s">
        <v>247</v>
      </c>
      <c r="C228" s="14" t="s">
        <v>221</v>
      </c>
      <c r="D228" s="14" t="s">
        <v>222</v>
      </c>
      <c r="E228" s="14" t="s">
        <v>34</v>
      </c>
      <c r="F228" s="14" t="s">
        <v>223</v>
      </c>
      <c r="G228" s="14" t="s">
        <v>224</v>
      </c>
      <c r="H228" s="14" t="s">
        <v>224</v>
      </c>
      <c r="I228" s="14" t="s">
        <v>586</v>
      </c>
      <c r="J228" s="14" t="s">
        <v>709</v>
      </c>
      <c r="K228" s="14" t="s">
        <v>2277</v>
      </c>
      <c r="L228" s="14" t="s">
        <v>2278</v>
      </c>
      <c r="M228" s="15" t="n">
        <v>38769</v>
      </c>
      <c r="N228" s="14" t="s">
        <v>462</v>
      </c>
      <c r="O228" s="14" t="s">
        <v>355</v>
      </c>
      <c r="P228" s="16" t="s">
        <v>2279</v>
      </c>
      <c r="Q228" s="6" t="s">
        <v>2280</v>
      </c>
      <c r="R228" s="6" t="s">
        <v>2281</v>
      </c>
      <c r="S228" s="14" t="s">
        <v>234</v>
      </c>
      <c r="T228" s="14" t="s">
        <v>235</v>
      </c>
      <c r="U228" s="14" t="s">
        <v>346</v>
      </c>
      <c r="V228" s="14" t="s">
        <v>288</v>
      </c>
      <c r="W228" s="14" t="s">
        <v>257</v>
      </c>
      <c r="X228" s="14" t="s">
        <v>333</v>
      </c>
      <c r="Y228" s="15" t="n">
        <v>54887</v>
      </c>
      <c r="Z228" s="15" t="n">
        <v>284</v>
      </c>
      <c r="AA228" s="14" t="n">
        <v>125</v>
      </c>
      <c r="AB228" s="14"/>
      <c r="AC228" s="17" t="n">
        <v>0.00745167343815475</v>
      </c>
      <c r="AD228" s="18" t="n">
        <v>15.56</v>
      </c>
      <c r="AE228" s="18" t="n">
        <f aca="false">IF(AD228="","",MIN(AD228,100))</f>
        <v>15.56</v>
      </c>
      <c r="AF228" s="14" t="n">
        <v>97.9</v>
      </c>
      <c r="AG228" s="14" t="s">
        <v>224</v>
      </c>
      <c r="AH228" s="14" t="n">
        <v>7</v>
      </c>
      <c r="AI228" s="14" t="s">
        <v>224</v>
      </c>
      <c r="AJ228" s="14" t="s">
        <v>224</v>
      </c>
      <c r="AK228" s="14" t="s">
        <v>240</v>
      </c>
      <c r="AL228" s="19" t="n">
        <f aca="false">ROUND('Start Here'!$B$29*AH228+'Start Here'!$B$30*MIN(IF(AD228="",0,AD228),50)/5+IF(M228&lt;=30000,'Start Here'!$B$31,IF(M228&lt;=60000,'Start Here'!$B$32,0)),1)</f>
        <v>5.4</v>
      </c>
      <c r="AM228" s="6" t="s">
        <v>1307</v>
      </c>
      <c r="AN228" s="6" t="s">
        <v>2282</v>
      </c>
      <c r="AO228" s="6" t="s">
        <v>2283</v>
      </c>
      <c r="AP228" s="14" t="s">
        <v>2284</v>
      </c>
      <c r="AQ228" s="14" t="s">
        <v>386</v>
      </c>
      <c r="AR228" s="20" t="s">
        <v>246</v>
      </c>
      <c r="AS228" s="20"/>
    </row>
    <row r="229" customFormat="false" ht="60" hidden="false" customHeight="true" outlineLevel="0" collapsed="false">
      <c r="A229" s="14" t="n">
        <v>228</v>
      </c>
      <c r="B229" s="14" t="s">
        <v>247</v>
      </c>
      <c r="C229" s="14" t="s">
        <v>221</v>
      </c>
      <c r="D229" s="14" t="s">
        <v>222</v>
      </c>
      <c r="E229" s="14" t="s">
        <v>40</v>
      </c>
      <c r="F229" s="14" t="s">
        <v>224</v>
      </c>
      <c r="G229" s="14" t="s">
        <v>224</v>
      </c>
      <c r="H229" s="14" t="s">
        <v>224</v>
      </c>
      <c r="I229" s="14" t="s">
        <v>322</v>
      </c>
      <c r="J229" s="14" t="s">
        <v>2285</v>
      </c>
      <c r="K229" s="14" t="s">
        <v>2286</v>
      </c>
      <c r="L229" s="14" t="s">
        <v>2287</v>
      </c>
      <c r="M229" s="15" t="n">
        <v>65888</v>
      </c>
      <c r="N229" s="14" t="s">
        <v>400</v>
      </c>
      <c r="O229" s="14" t="s">
        <v>607</v>
      </c>
      <c r="P229" s="16" t="s">
        <v>2288</v>
      </c>
      <c r="Q229" s="6" t="s">
        <v>2289</v>
      </c>
      <c r="R229" s="6" t="s">
        <v>2290</v>
      </c>
      <c r="S229" s="14" t="s">
        <v>330</v>
      </c>
      <c r="T229" s="14" t="s">
        <v>466</v>
      </c>
      <c r="U229" s="14" t="s">
        <v>236</v>
      </c>
      <c r="V229" s="14" t="s">
        <v>256</v>
      </c>
      <c r="W229" s="14" t="s">
        <v>275</v>
      </c>
      <c r="X229" s="14" t="s">
        <v>239</v>
      </c>
      <c r="Y229" s="15" t="n">
        <v>16105</v>
      </c>
      <c r="Z229" s="15" t="n">
        <v>350</v>
      </c>
      <c r="AA229" s="14" t="n">
        <v>14</v>
      </c>
      <c r="AB229" s="14"/>
      <c r="AC229" s="17" t="n">
        <v>0.022601676497982</v>
      </c>
      <c r="AD229" s="18" t="n">
        <v>7.05</v>
      </c>
      <c r="AE229" s="18" t="n">
        <f aca="false">IF(AD229="","",MIN(AD229,100))</f>
        <v>7.05</v>
      </c>
      <c r="AF229" s="14" t="n">
        <v>97.8</v>
      </c>
      <c r="AG229" s="14" t="s">
        <v>224</v>
      </c>
      <c r="AH229" s="14" t="n">
        <v>10</v>
      </c>
      <c r="AI229" s="14" t="s">
        <v>224</v>
      </c>
      <c r="AJ229" s="14" t="s">
        <v>224</v>
      </c>
      <c r="AK229" s="14" t="s">
        <v>240</v>
      </c>
      <c r="AL229" s="19" t="n">
        <f aca="false">ROUND('Start Here'!$B$29*AH229+'Start Here'!$B$30*MIN(IF(AD229="",0,AD229),50)/5+IF(M229&lt;=30000,'Start Here'!$B$31,IF(M229&lt;=60000,'Start Here'!$B$32,0)),1)</f>
        <v>5.4</v>
      </c>
      <c r="AM229" s="6" t="s">
        <v>334</v>
      </c>
      <c r="AN229" s="6" t="s">
        <v>2291</v>
      </c>
      <c r="AO229" s="6" t="s">
        <v>2292</v>
      </c>
      <c r="AP229" s="14" t="s">
        <v>2293</v>
      </c>
      <c r="AQ229" s="14" t="s">
        <v>386</v>
      </c>
      <c r="AR229" s="20" t="s">
        <v>246</v>
      </c>
      <c r="AS229" s="20"/>
    </row>
    <row r="230" customFormat="false" ht="60" hidden="false" customHeight="true" outlineLevel="0" collapsed="false">
      <c r="A230" s="14" t="n">
        <v>229</v>
      </c>
      <c r="B230" s="14" t="s">
        <v>374</v>
      </c>
      <c r="C230" s="14" t="s">
        <v>221</v>
      </c>
      <c r="D230" s="14" t="s">
        <v>222</v>
      </c>
      <c r="E230" s="14" t="s">
        <v>36</v>
      </c>
      <c r="F230" s="14" t="s">
        <v>224</v>
      </c>
      <c r="G230" s="14" t="s">
        <v>223</v>
      </c>
      <c r="H230" s="14" t="s">
        <v>223</v>
      </c>
      <c r="I230" s="14" t="s">
        <v>225</v>
      </c>
      <c r="J230" s="14" t="s">
        <v>586</v>
      </c>
      <c r="K230" s="14" t="s">
        <v>2294</v>
      </c>
      <c r="L230" s="14" t="s">
        <v>2295</v>
      </c>
      <c r="M230" s="15" t="n">
        <v>22269</v>
      </c>
      <c r="N230" s="14" t="s">
        <v>298</v>
      </c>
      <c r="O230" s="14" t="s">
        <v>2296</v>
      </c>
      <c r="P230" s="16" t="s">
        <v>2297</v>
      </c>
      <c r="Q230" s="6" t="s">
        <v>2298</v>
      </c>
      <c r="R230" s="6" t="s">
        <v>2299</v>
      </c>
      <c r="S230" s="14" t="s">
        <v>255</v>
      </c>
      <c r="T230" s="14" t="s">
        <v>235</v>
      </c>
      <c r="U230" s="14" t="s">
        <v>236</v>
      </c>
      <c r="V230" s="14" t="s">
        <v>331</v>
      </c>
      <c r="W230" s="14" t="s">
        <v>819</v>
      </c>
      <c r="X230" s="14" t="s">
        <v>239</v>
      </c>
      <c r="Y230" s="15"/>
      <c r="Z230" s="15" t="n">
        <v>1435</v>
      </c>
      <c r="AA230" s="14" t="n">
        <v>263</v>
      </c>
      <c r="AB230" s="14" t="n">
        <v>30</v>
      </c>
      <c r="AC230" s="17" t="n">
        <v>0.0792478789268516</v>
      </c>
      <c r="AD230" s="18" t="n">
        <v>6.77</v>
      </c>
      <c r="AE230" s="18" t="n">
        <f aca="false">IF(AD230="","",MIN(AD230,100))</f>
        <v>6.77</v>
      </c>
      <c r="AF230" s="14" t="n">
        <v>98.6</v>
      </c>
      <c r="AG230" s="14" t="s">
        <v>224</v>
      </c>
      <c r="AH230" s="14" t="n">
        <v>6</v>
      </c>
      <c r="AI230" s="14" t="s">
        <v>224</v>
      </c>
      <c r="AJ230" s="14" t="s">
        <v>224</v>
      </c>
      <c r="AK230" s="14" t="s">
        <v>240</v>
      </c>
      <c r="AL230" s="19" t="n">
        <f aca="false">ROUND('Start Here'!$B$29*AH230+'Start Here'!$B$30*MIN(IF(AD230="",0,AD230),50)/5+IF(M230&lt;=30000,'Start Here'!$B$31,IF(M230&lt;=60000,'Start Here'!$B$32,0)),1)</f>
        <v>5.4</v>
      </c>
      <c r="AM230" s="6" t="s">
        <v>534</v>
      </c>
      <c r="AN230" s="6" t="s">
        <v>674</v>
      </c>
      <c r="AO230" s="6" t="s">
        <v>2300</v>
      </c>
      <c r="AP230" s="14" t="s">
        <v>2301</v>
      </c>
      <c r="AQ230" s="14" t="s">
        <v>1120</v>
      </c>
      <c r="AR230" s="20" t="s">
        <v>246</v>
      </c>
      <c r="AS230" s="20"/>
    </row>
    <row r="231" customFormat="false" ht="60" hidden="false" customHeight="true" outlineLevel="0" collapsed="false">
      <c r="A231" s="14" t="n">
        <v>230</v>
      </c>
      <c r="B231" s="14" t="s">
        <v>247</v>
      </c>
      <c r="C231" s="14" t="s">
        <v>442</v>
      </c>
      <c r="D231" s="14" t="s">
        <v>443</v>
      </c>
      <c r="E231" s="14" t="s">
        <v>36</v>
      </c>
      <c r="F231" s="14" t="s">
        <v>223</v>
      </c>
      <c r="G231" s="14" t="s">
        <v>223</v>
      </c>
      <c r="H231" s="14" t="s">
        <v>224</v>
      </c>
      <c r="I231" s="14" t="s">
        <v>322</v>
      </c>
      <c r="J231" s="14" t="s">
        <v>225</v>
      </c>
      <c r="K231" s="14" t="s">
        <v>2302</v>
      </c>
      <c r="L231" s="14" t="s">
        <v>2303</v>
      </c>
      <c r="M231" s="15" t="n">
        <v>11600</v>
      </c>
      <c r="N231" s="14" t="s">
        <v>229</v>
      </c>
      <c r="O231" s="14" t="s">
        <v>447</v>
      </c>
      <c r="P231" s="16" t="s">
        <v>2304</v>
      </c>
      <c r="Q231" s="6" t="s">
        <v>2305</v>
      </c>
      <c r="R231" s="6" t="s">
        <v>2306</v>
      </c>
      <c r="S231" s="14" t="s">
        <v>330</v>
      </c>
      <c r="T231" s="14" t="s">
        <v>235</v>
      </c>
      <c r="U231" s="14" t="s">
        <v>236</v>
      </c>
      <c r="V231" s="14" t="s">
        <v>1256</v>
      </c>
      <c r="W231" s="14" t="s">
        <v>452</v>
      </c>
      <c r="X231" s="14"/>
      <c r="Y231" s="15" t="n">
        <v>101600</v>
      </c>
      <c r="Z231" s="15"/>
      <c r="AA231" s="14"/>
      <c r="AB231" s="14"/>
      <c r="AC231" s="17"/>
      <c r="AD231" s="18" t="n">
        <v>31.4</v>
      </c>
      <c r="AE231" s="18" t="n">
        <f aca="false">IF(AD231="","",MIN(AD231,100))</f>
        <v>31.4</v>
      </c>
      <c r="AF231" s="14"/>
      <c r="AG231" s="14" t="s">
        <v>224</v>
      </c>
      <c r="AH231" s="14" t="n">
        <v>3</v>
      </c>
      <c r="AI231" s="14" t="s">
        <v>224</v>
      </c>
      <c r="AJ231" s="14" t="s">
        <v>224</v>
      </c>
      <c r="AK231" s="14" t="s">
        <v>453</v>
      </c>
      <c r="AL231" s="19" t="n">
        <f aca="false">ROUND('Start Here'!$B$29*AH231+'Start Here'!$B$30*MIN(IF(AD231="",0,AD231),50)/5+IF(M231&lt;=30000,'Start Here'!$B$31,IF(M231&lt;=60000,'Start Here'!$B$32,0)),1)</f>
        <v>5.4</v>
      </c>
      <c r="AM231" s="6" t="s">
        <v>2307</v>
      </c>
      <c r="AN231" s="6" t="s">
        <v>1258</v>
      </c>
      <c r="AO231" s="6" t="s">
        <v>2308</v>
      </c>
      <c r="AP231" s="14" t="s">
        <v>922</v>
      </c>
      <c r="AQ231" s="14" t="s">
        <v>952</v>
      </c>
      <c r="AR231" s="20" t="s">
        <v>246</v>
      </c>
      <c r="AS231" s="20"/>
    </row>
    <row r="232" customFormat="false" ht="60" hidden="false" customHeight="true" outlineLevel="0" collapsed="false">
      <c r="A232" s="14" t="n">
        <v>231</v>
      </c>
      <c r="B232" s="14" t="s">
        <v>374</v>
      </c>
      <c r="C232" s="14" t="s">
        <v>221</v>
      </c>
      <c r="D232" s="14" t="s">
        <v>222</v>
      </c>
      <c r="E232" s="14" t="s">
        <v>38</v>
      </c>
      <c r="F232" s="14" t="s">
        <v>224</v>
      </c>
      <c r="G232" s="14" t="s">
        <v>224</v>
      </c>
      <c r="H232" s="14" t="s">
        <v>223</v>
      </c>
      <c r="I232" s="14" t="s">
        <v>225</v>
      </c>
      <c r="J232" s="14" t="s">
        <v>387</v>
      </c>
      <c r="K232" s="14" t="s">
        <v>2309</v>
      </c>
      <c r="L232" s="14" t="s">
        <v>2310</v>
      </c>
      <c r="M232" s="15" t="n">
        <v>75096</v>
      </c>
      <c r="N232" s="14" t="s">
        <v>400</v>
      </c>
      <c r="O232" s="14" t="s">
        <v>388</v>
      </c>
      <c r="P232" s="16" t="s">
        <v>2311</v>
      </c>
      <c r="Q232" s="6" t="s">
        <v>2312</v>
      </c>
      <c r="R232" s="6" t="s">
        <v>2313</v>
      </c>
      <c r="S232" s="14" t="s">
        <v>1495</v>
      </c>
      <c r="T232" s="14" t="s">
        <v>235</v>
      </c>
      <c r="U232" s="14" t="s">
        <v>236</v>
      </c>
      <c r="V232" s="14" t="s">
        <v>331</v>
      </c>
      <c r="W232" s="14" t="s">
        <v>275</v>
      </c>
      <c r="X232" s="14" t="s">
        <v>239</v>
      </c>
      <c r="Y232" s="15"/>
      <c r="Z232" s="15" t="n">
        <v>1018</v>
      </c>
      <c r="AA232" s="14" t="n">
        <v>2784</v>
      </c>
      <c r="AB232" s="14" t="n">
        <v>15</v>
      </c>
      <c r="AC232" s="17" t="n">
        <v>0.0571535524444112</v>
      </c>
      <c r="AD232" s="18" t="n">
        <v>6.17</v>
      </c>
      <c r="AE232" s="18" t="n">
        <f aca="false">IF(AD232="","",MIN(AD232,100))</f>
        <v>6.17</v>
      </c>
      <c r="AF232" s="14" t="n">
        <v>98.6</v>
      </c>
      <c r="AG232" s="14" t="s">
        <v>224</v>
      </c>
      <c r="AH232" s="14" t="n">
        <v>10</v>
      </c>
      <c r="AI232" s="14" t="s">
        <v>224</v>
      </c>
      <c r="AJ232" s="14" t="s">
        <v>224</v>
      </c>
      <c r="AK232" s="14" t="s">
        <v>240</v>
      </c>
      <c r="AL232" s="19" t="n">
        <f aca="false">ROUND('Start Here'!$B$29*AH232+'Start Here'!$B$30*MIN(IF(AD232="",0,AD232),50)/5+IF(M232&lt;=30000,'Start Here'!$B$31,IF(M232&lt;=60000,'Start Here'!$B$32,0)),1)</f>
        <v>5.4</v>
      </c>
      <c r="AM232" s="6" t="s">
        <v>1658</v>
      </c>
      <c r="AN232" s="6" t="s">
        <v>1497</v>
      </c>
      <c r="AO232" s="6" t="s">
        <v>2314</v>
      </c>
      <c r="AP232" s="14" t="s">
        <v>2315</v>
      </c>
      <c r="AQ232" s="14" t="s">
        <v>495</v>
      </c>
      <c r="AR232" s="20" t="s">
        <v>246</v>
      </c>
      <c r="AS232" s="20"/>
    </row>
    <row r="233" customFormat="false" ht="60" hidden="false" customHeight="true" outlineLevel="0" collapsed="false">
      <c r="A233" s="14" t="n">
        <v>232</v>
      </c>
      <c r="B233" s="14" t="s">
        <v>374</v>
      </c>
      <c r="C233" s="14" t="s">
        <v>221</v>
      </c>
      <c r="D233" s="14" t="s">
        <v>222</v>
      </c>
      <c r="E233" s="14" t="s">
        <v>34</v>
      </c>
      <c r="F233" s="14" t="s">
        <v>223</v>
      </c>
      <c r="G233" s="14" t="s">
        <v>224</v>
      </c>
      <c r="H233" s="14" t="s">
        <v>223</v>
      </c>
      <c r="I233" s="14" t="s">
        <v>225</v>
      </c>
      <c r="J233" s="14" t="s">
        <v>2316</v>
      </c>
      <c r="K233" s="14" t="s">
        <v>2007</v>
      </c>
      <c r="L233" s="14" t="s">
        <v>2008</v>
      </c>
      <c r="M233" s="15" t="n">
        <v>100285</v>
      </c>
      <c r="N233" s="14" t="s">
        <v>2009</v>
      </c>
      <c r="O233" s="14" t="s">
        <v>2317</v>
      </c>
      <c r="P233" s="16" t="s">
        <v>2318</v>
      </c>
      <c r="Q233" s="6" t="s">
        <v>2319</v>
      </c>
      <c r="R233" s="6" t="s">
        <v>2320</v>
      </c>
      <c r="S233" s="14" t="s">
        <v>513</v>
      </c>
      <c r="T233" s="14" t="s">
        <v>235</v>
      </c>
      <c r="U233" s="14" t="s">
        <v>236</v>
      </c>
      <c r="V233" s="14" t="s">
        <v>331</v>
      </c>
      <c r="W233" s="14" t="s">
        <v>275</v>
      </c>
      <c r="X233" s="14" t="s">
        <v>239</v>
      </c>
      <c r="Y233" s="15"/>
      <c r="Z233" s="15" t="n">
        <v>1520</v>
      </c>
      <c r="AA233" s="14" t="n">
        <v>4065</v>
      </c>
      <c r="AB233" s="14" t="n">
        <v>51</v>
      </c>
      <c r="AC233" s="17" t="n">
        <v>0.0566295566898437</v>
      </c>
      <c r="AD233" s="18" t="n">
        <v>31.89</v>
      </c>
      <c r="AE233" s="18" t="n">
        <f aca="false">IF(AD233="","",MIN(AD233,100))</f>
        <v>31.89</v>
      </c>
      <c r="AF233" s="14" t="n">
        <v>99.6</v>
      </c>
      <c r="AG233" s="14" t="s">
        <v>224</v>
      </c>
      <c r="AH233" s="14" t="n">
        <v>6.9</v>
      </c>
      <c r="AI233" s="14" t="s">
        <v>223</v>
      </c>
      <c r="AJ233" s="14" t="s">
        <v>224</v>
      </c>
      <c r="AK233" s="14" t="s">
        <v>240</v>
      </c>
      <c r="AL233" s="19" t="n">
        <f aca="false">ROUND('Start Here'!$B$29*AH233+'Start Here'!$B$30*MIN(IF(AD233="",0,AD233),50)/5+IF(M233&lt;=30000,'Start Here'!$B$31,IF(M233&lt;=60000,'Start Here'!$B$32,0)),1)</f>
        <v>5.4</v>
      </c>
      <c r="AM233" s="6" t="s">
        <v>1361</v>
      </c>
      <c r="AN233" s="6" t="s">
        <v>1098</v>
      </c>
      <c r="AO233" s="6" t="s">
        <v>2321</v>
      </c>
      <c r="AP233" s="14" t="s">
        <v>2322</v>
      </c>
      <c r="AQ233" s="14" t="s">
        <v>2015</v>
      </c>
      <c r="AR233" s="20" t="s">
        <v>246</v>
      </c>
      <c r="AS233" s="20"/>
    </row>
    <row r="234" customFormat="false" ht="60" hidden="false" customHeight="true" outlineLevel="0" collapsed="false">
      <c r="A234" s="14" t="n">
        <v>233</v>
      </c>
      <c r="B234" s="14" t="s">
        <v>374</v>
      </c>
      <c r="C234" s="14" t="s">
        <v>221</v>
      </c>
      <c r="D234" s="14" t="s">
        <v>222</v>
      </c>
      <c r="E234" s="14" t="s">
        <v>34</v>
      </c>
      <c r="F234" s="14" t="s">
        <v>223</v>
      </c>
      <c r="G234" s="14" t="s">
        <v>224</v>
      </c>
      <c r="H234" s="14" t="s">
        <v>223</v>
      </c>
      <c r="I234" s="14" t="s">
        <v>225</v>
      </c>
      <c r="J234" s="14" t="s">
        <v>2316</v>
      </c>
      <c r="K234" s="14" t="s">
        <v>2007</v>
      </c>
      <c r="L234" s="14" t="s">
        <v>2008</v>
      </c>
      <c r="M234" s="15" t="n">
        <v>100285</v>
      </c>
      <c r="N234" s="14" t="s">
        <v>2009</v>
      </c>
      <c r="O234" s="14" t="s">
        <v>2317</v>
      </c>
      <c r="P234" s="16" t="s">
        <v>2323</v>
      </c>
      <c r="Q234" s="6" t="s">
        <v>2319</v>
      </c>
      <c r="R234" s="6" t="s">
        <v>2320</v>
      </c>
      <c r="S234" s="14" t="s">
        <v>513</v>
      </c>
      <c r="T234" s="14" t="s">
        <v>235</v>
      </c>
      <c r="U234" s="14" t="s">
        <v>236</v>
      </c>
      <c r="V234" s="14" t="s">
        <v>331</v>
      </c>
      <c r="W234" s="14" t="s">
        <v>257</v>
      </c>
      <c r="X234" s="14" t="s">
        <v>239</v>
      </c>
      <c r="Y234" s="15"/>
      <c r="Z234" s="15" t="n">
        <v>1520</v>
      </c>
      <c r="AA234" s="14" t="n">
        <v>4065</v>
      </c>
      <c r="AB234" s="14" t="n">
        <v>51</v>
      </c>
      <c r="AC234" s="17" t="n">
        <v>0.0566295566898437</v>
      </c>
      <c r="AD234" s="18" t="n">
        <v>31.89</v>
      </c>
      <c r="AE234" s="18" t="n">
        <f aca="false">IF(AD234="","",MIN(AD234,100))</f>
        <v>31.89</v>
      </c>
      <c r="AF234" s="14" t="n">
        <v>99.6</v>
      </c>
      <c r="AG234" s="14" t="s">
        <v>224</v>
      </c>
      <c r="AH234" s="14" t="n">
        <v>6.9</v>
      </c>
      <c r="AI234" s="14" t="s">
        <v>223</v>
      </c>
      <c r="AJ234" s="14" t="s">
        <v>224</v>
      </c>
      <c r="AK234" s="14" t="s">
        <v>240</v>
      </c>
      <c r="AL234" s="19" t="n">
        <f aca="false">ROUND('Start Here'!$B$29*AH234+'Start Here'!$B$30*MIN(IF(AD234="",0,AD234),50)/5+IF(M234&lt;=30000,'Start Here'!$B$31,IF(M234&lt;=60000,'Start Here'!$B$32,0)),1)</f>
        <v>5.4</v>
      </c>
      <c r="AM234" s="6" t="s">
        <v>1361</v>
      </c>
      <c r="AN234" s="6" t="s">
        <v>1098</v>
      </c>
      <c r="AO234" s="6" t="s">
        <v>2324</v>
      </c>
      <c r="AP234" s="14" t="s">
        <v>2325</v>
      </c>
      <c r="AQ234" s="14" t="s">
        <v>2015</v>
      </c>
      <c r="AR234" s="20" t="s">
        <v>246</v>
      </c>
      <c r="AS234" s="20"/>
    </row>
    <row r="235" customFormat="false" ht="60" hidden="false" customHeight="true" outlineLevel="0" collapsed="false">
      <c r="A235" s="14" t="n">
        <v>234</v>
      </c>
      <c r="B235" s="14" t="s">
        <v>247</v>
      </c>
      <c r="C235" s="14" t="s">
        <v>221</v>
      </c>
      <c r="D235" s="14" t="s">
        <v>222</v>
      </c>
      <c r="E235" s="14" t="s">
        <v>36</v>
      </c>
      <c r="F235" s="14" t="s">
        <v>224</v>
      </c>
      <c r="G235" s="14" t="s">
        <v>223</v>
      </c>
      <c r="H235" s="14" t="s">
        <v>224</v>
      </c>
      <c r="I235" s="14" t="s">
        <v>308</v>
      </c>
      <c r="J235" s="14" t="s">
        <v>338</v>
      </c>
      <c r="K235" s="14" t="s">
        <v>2326</v>
      </c>
      <c r="L235" s="14" t="s">
        <v>2327</v>
      </c>
      <c r="M235" s="15" t="n">
        <v>18133</v>
      </c>
      <c r="N235" s="14" t="s">
        <v>229</v>
      </c>
      <c r="O235" s="14" t="s">
        <v>984</v>
      </c>
      <c r="P235" s="16" t="s">
        <v>2328</v>
      </c>
      <c r="Q235" s="6" t="s">
        <v>2329</v>
      </c>
      <c r="R235" s="6" t="s">
        <v>2329</v>
      </c>
      <c r="S235" s="14" t="s">
        <v>272</v>
      </c>
      <c r="T235" s="14" t="s">
        <v>273</v>
      </c>
      <c r="U235" s="14" t="s">
        <v>274</v>
      </c>
      <c r="V235" s="14" t="s">
        <v>288</v>
      </c>
      <c r="W235" s="14" t="s">
        <v>257</v>
      </c>
      <c r="X235" s="14" t="s">
        <v>239</v>
      </c>
      <c r="Y235" s="15" t="n">
        <v>36335</v>
      </c>
      <c r="Z235" s="15" t="n">
        <v>855</v>
      </c>
      <c r="AA235" s="14" t="n">
        <v>25</v>
      </c>
      <c r="AB235" s="14"/>
      <c r="AC235" s="17" t="n">
        <v>0.0242190725196092</v>
      </c>
      <c r="AD235" s="18" t="n">
        <v>5.72</v>
      </c>
      <c r="AE235" s="18" t="n">
        <f aca="false">IF(AD235="","",MIN(AD235,100))</f>
        <v>5.72</v>
      </c>
      <c r="AF235" s="14" t="n">
        <v>92.8</v>
      </c>
      <c r="AG235" s="14" t="s">
        <v>224</v>
      </c>
      <c r="AH235" s="14" t="n">
        <v>6</v>
      </c>
      <c r="AI235" s="14" t="s">
        <v>224</v>
      </c>
      <c r="AJ235" s="14" t="s">
        <v>224</v>
      </c>
      <c r="AK235" s="14" t="s">
        <v>240</v>
      </c>
      <c r="AL235" s="19" t="n">
        <f aca="false">ROUND('Start Here'!$B$29*AH235+'Start Here'!$B$30*MIN(IF(AD235="",0,AD235),50)/5+IF(M235&lt;=30000,'Start Here'!$B$31,IF(M235&lt;=60000,'Start Here'!$B$32,0)),1)</f>
        <v>5.3</v>
      </c>
      <c r="AM235" s="6" t="s">
        <v>303</v>
      </c>
      <c r="AN235" s="6" t="s">
        <v>1371</v>
      </c>
      <c r="AO235" s="6" t="s">
        <v>2330</v>
      </c>
      <c r="AP235" s="14" t="s">
        <v>2331</v>
      </c>
      <c r="AQ235" s="14" t="s">
        <v>409</v>
      </c>
      <c r="AR235" s="20" t="s">
        <v>246</v>
      </c>
      <c r="AS235" s="20"/>
    </row>
    <row r="236" customFormat="false" ht="60" hidden="false" customHeight="true" outlineLevel="0" collapsed="false">
      <c r="A236" s="14" t="n">
        <v>235</v>
      </c>
      <c r="B236" s="14" t="s">
        <v>374</v>
      </c>
      <c r="C236" s="14" t="s">
        <v>221</v>
      </c>
      <c r="D236" s="14" t="s">
        <v>222</v>
      </c>
      <c r="E236" s="14" t="s">
        <v>40</v>
      </c>
      <c r="F236" s="14" t="s">
        <v>224</v>
      </c>
      <c r="G236" s="14" t="s">
        <v>224</v>
      </c>
      <c r="H236" s="14" t="s">
        <v>224</v>
      </c>
      <c r="I236" s="14" t="s">
        <v>635</v>
      </c>
      <c r="J236" s="14" t="s">
        <v>2332</v>
      </c>
      <c r="K236" s="14" t="s">
        <v>2333</v>
      </c>
      <c r="L236" s="14" t="s">
        <v>2334</v>
      </c>
      <c r="M236" s="15" t="n">
        <v>36586</v>
      </c>
      <c r="N236" s="14" t="s">
        <v>462</v>
      </c>
      <c r="O236" s="14" t="s">
        <v>251</v>
      </c>
      <c r="P236" s="16" t="s">
        <v>2335</v>
      </c>
      <c r="Q236" s="6" t="s">
        <v>2336</v>
      </c>
      <c r="R236" s="6" t="s">
        <v>2337</v>
      </c>
      <c r="S236" s="14" t="s">
        <v>330</v>
      </c>
      <c r="T236" s="14" t="s">
        <v>235</v>
      </c>
      <c r="U236" s="14" t="s">
        <v>236</v>
      </c>
      <c r="V236" s="14" t="s">
        <v>331</v>
      </c>
      <c r="W236" s="14" t="s">
        <v>275</v>
      </c>
      <c r="X236" s="14" t="s">
        <v>239</v>
      </c>
      <c r="Y236" s="15"/>
      <c r="Z236" s="15" t="n">
        <v>74</v>
      </c>
      <c r="AA236" s="14" t="n">
        <v>419</v>
      </c>
      <c r="AB236" s="14" t="n">
        <v>4</v>
      </c>
      <c r="AC236" s="17" t="n">
        <v>0.0139799161767602</v>
      </c>
      <c r="AD236" s="18" t="n">
        <v>6.52</v>
      </c>
      <c r="AE236" s="18" t="n">
        <f aca="false">IF(AD236="","",MIN(AD236,100))</f>
        <v>6.52</v>
      </c>
      <c r="AF236" s="14" t="n">
        <v>50.5</v>
      </c>
      <c r="AG236" s="14" t="s">
        <v>224</v>
      </c>
      <c r="AH236" s="14" t="n">
        <v>7.9</v>
      </c>
      <c r="AI236" s="14" t="s">
        <v>223</v>
      </c>
      <c r="AJ236" s="14" t="s">
        <v>224</v>
      </c>
      <c r="AK236" s="14" t="s">
        <v>240</v>
      </c>
      <c r="AL236" s="19" t="n">
        <f aca="false">ROUND('Start Here'!$B$29*AH236+'Start Here'!$B$30*MIN(IF(AD236="",0,AD236),50)/5+IF(M236&lt;=30000,'Start Here'!$B$31,IF(M236&lt;=60000,'Start Here'!$B$32,0)),1)</f>
        <v>5.3</v>
      </c>
      <c r="AM236" s="6" t="s">
        <v>1455</v>
      </c>
      <c r="AN236" s="6" t="s">
        <v>2338</v>
      </c>
      <c r="AO236" s="6" t="s">
        <v>2339</v>
      </c>
      <c r="AP236" s="14" t="s">
        <v>2340</v>
      </c>
      <c r="AQ236" s="14" t="s">
        <v>1184</v>
      </c>
      <c r="AR236" s="20" t="s">
        <v>246</v>
      </c>
      <c r="AS236" s="20"/>
    </row>
    <row r="237" customFormat="false" ht="60" hidden="false" customHeight="true" outlineLevel="0" collapsed="false">
      <c r="A237" s="14" t="n">
        <v>236</v>
      </c>
      <c r="B237" s="14" t="s">
        <v>220</v>
      </c>
      <c r="C237" s="14" t="s">
        <v>221</v>
      </c>
      <c r="D237" s="14" t="s">
        <v>222</v>
      </c>
      <c r="E237" s="14" t="s">
        <v>40</v>
      </c>
      <c r="F237" s="14" t="s">
        <v>224</v>
      </c>
      <c r="G237" s="14" t="s">
        <v>224</v>
      </c>
      <c r="H237" s="14" t="s">
        <v>224</v>
      </c>
      <c r="I237" s="14" t="s">
        <v>225</v>
      </c>
      <c r="J237" s="14" t="s">
        <v>1300</v>
      </c>
      <c r="K237" s="14" t="s">
        <v>2341</v>
      </c>
      <c r="L237" s="14" t="s">
        <v>2342</v>
      </c>
      <c r="M237" s="15" t="n">
        <v>27662</v>
      </c>
      <c r="N237" s="14" t="s">
        <v>298</v>
      </c>
      <c r="O237" s="14" t="s">
        <v>796</v>
      </c>
      <c r="P237" s="16" t="s">
        <v>2343</v>
      </c>
      <c r="Q237" s="6" t="s">
        <v>2344</v>
      </c>
      <c r="R237" s="6" t="s">
        <v>2345</v>
      </c>
      <c r="S237" s="14" t="s">
        <v>255</v>
      </c>
      <c r="T237" s="14" t="s">
        <v>235</v>
      </c>
      <c r="U237" s="14" t="s">
        <v>236</v>
      </c>
      <c r="V237" s="14" t="s">
        <v>237</v>
      </c>
      <c r="W237" s="14" t="s">
        <v>238</v>
      </c>
      <c r="X237" s="14" t="s">
        <v>239</v>
      </c>
      <c r="Y237" s="15" t="n">
        <v>11211</v>
      </c>
      <c r="Z237" s="15" t="n">
        <v>171</v>
      </c>
      <c r="AA237" s="14" t="n">
        <v>12</v>
      </c>
      <c r="AB237" s="14" t="n">
        <v>12</v>
      </c>
      <c r="AC237" s="17" t="n">
        <v>0.0173936312550174</v>
      </c>
      <c r="AD237" s="18" t="n">
        <v>3.19</v>
      </c>
      <c r="AE237" s="18" t="n">
        <f aca="false">IF(AD237="","",MIN(AD237,100))</f>
        <v>3.19</v>
      </c>
      <c r="AF237" s="14" t="n">
        <v>88.6</v>
      </c>
      <c r="AG237" s="14" t="s">
        <v>224</v>
      </c>
      <c r="AH237" s="14" t="n">
        <v>6.3</v>
      </c>
      <c r="AI237" s="14" t="s">
        <v>224</v>
      </c>
      <c r="AJ237" s="14" t="s">
        <v>224</v>
      </c>
      <c r="AK237" s="14" t="s">
        <v>240</v>
      </c>
      <c r="AL237" s="19" t="n">
        <f aca="false">ROUND('Start Here'!$B$29*AH237+'Start Here'!$B$30*MIN(IF(AD237="",0,AD237),50)/5+IF(M237&lt;=30000,'Start Here'!$B$31,IF(M237&lt;=60000,'Start Here'!$B$32,0)),1)</f>
        <v>5.3</v>
      </c>
      <c r="AM237" s="6" t="s">
        <v>534</v>
      </c>
      <c r="AN237" s="6" t="s">
        <v>674</v>
      </c>
      <c r="AO237" s="6" t="s">
        <v>2346</v>
      </c>
      <c r="AP237" s="14" t="s">
        <v>2347</v>
      </c>
      <c r="AQ237" s="14" t="s">
        <v>1120</v>
      </c>
      <c r="AR237" s="20" t="s">
        <v>246</v>
      </c>
      <c r="AS237" s="20"/>
    </row>
    <row r="238" customFormat="false" ht="60" hidden="false" customHeight="true" outlineLevel="0" collapsed="false">
      <c r="A238" s="14" t="n">
        <v>237</v>
      </c>
      <c r="B238" s="14" t="s">
        <v>247</v>
      </c>
      <c r="C238" s="14" t="s">
        <v>221</v>
      </c>
      <c r="D238" s="14" t="s">
        <v>443</v>
      </c>
      <c r="E238" s="14" t="s">
        <v>36</v>
      </c>
      <c r="F238" s="14" t="s">
        <v>223</v>
      </c>
      <c r="G238" s="14" t="s">
        <v>223</v>
      </c>
      <c r="H238" s="14" t="s">
        <v>224</v>
      </c>
      <c r="I238" s="14" t="s">
        <v>225</v>
      </c>
      <c r="J238" s="14"/>
      <c r="K238" s="14" t="s">
        <v>2348</v>
      </c>
      <c r="L238" s="14" t="s">
        <v>2349</v>
      </c>
      <c r="M238" s="15" t="n">
        <v>12600</v>
      </c>
      <c r="N238" s="14" t="s">
        <v>229</v>
      </c>
      <c r="O238" s="14" t="s">
        <v>447</v>
      </c>
      <c r="P238" s="16" t="s">
        <v>2350</v>
      </c>
      <c r="Q238" s="6" t="s">
        <v>2351</v>
      </c>
      <c r="R238" s="6" t="s">
        <v>2352</v>
      </c>
      <c r="S238" s="14" t="s">
        <v>255</v>
      </c>
      <c r="T238" s="14" t="s">
        <v>235</v>
      </c>
      <c r="U238" s="14" t="s">
        <v>236</v>
      </c>
      <c r="V238" s="14" t="s">
        <v>1693</v>
      </c>
      <c r="W238" s="14" t="s">
        <v>452</v>
      </c>
      <c r="X238" s="14"/>
      <c r="Y238" s="15" t="n">
        <v>105200</v>
      </c>
      <c r="Z238" s="15"/>
      <c r="AA238" s="14"/>
      <c r="AB238" s="14"/>
      <c r="AC238" s="17"/>
      <c r="AD238" s="18" t="n">
        <v>30.5</v>
      </c>
      <c r="AE238" s="18" t="n">
        <f aca="false">IF(AD238="","",MIN(AD238,100))</f>
        <v>30.5</v>
      </c>
      <c r="AF238" s="14"/>
      <c r="AG238" s="14" t="s">
        <v>224</v>
      </c>
      <c r="AH238" s="14" t="n">
        <v>3</v>
      </c>
      <c r="AI238" s="14" t="s">
        <v>224</v>
      </c>
      <c r="AJ238" s="14" t="s">
        <v>224</v>
      </c>
      <c r="AK238" s="14" t="s">
        <v>240</v>
      </c>
      <c r="AL238" s="19" t="n">
        <f aca="false">ROUND('Start Here'!$B$29*AH238+'Start Here'!$B$30*MIN(IF(AD238="",0,AD238),50)/5+IF(M238&lt;=30000,'Start Here'!$B$31,IF(M238&lt;=60000,'Start Here'!$B$32,0)),1)</f>
        <v>5.3</v>
      </c>
      <c r="AM238" s="6" t="s">
        <v>2353</v>
      </c>
      <c r="AN238" s="6" t="s">
        <v>260</v>
      </c>
      <c r="AO238" s="6" t="s">
        <v>2354</v>
      </c>
      <c r="AP238" s="14" t="s">
        <v>1342</v>
      </c>
      <c r="AQ238" s="14" t="s">
        <v>1640</v>
      </c>
      <c r="AR238" s="20" t="s">
        <v>246</v>
      </c>
      <c r="AS238" s="20"/>
    </row>
    <row r="239" customFormat="false" ht="60" hidden="false" customHeight="true" outlineLevel="0" collapsed="false">
      <c r="A239" s="14" t="n">
        <v>238</v>
      </c>
      <c r="B239" s="14" t="s">
        <v>247</v>
      </c>
      <c r="C239" s="14" t="s">
        <v>221</v>
      </c>
      <c r="D239" s="14" t="s">
        <v>222</v>
      </c>
      <c r="E239" s="14" t="s">
        <v>36</v>
      </c>
      <c r="F239" s="14" t="s">
        <v>223</v>
      </c>
      <c r="G239" s="14" t="s">
        <v>223</v>
      </c>
      <c r="H239" s="14" t="s">
        <v>224</v>
      </c>
      <c r="I239" s="14" t="s">
        <v>586</v>
      </c>
      <c r="J239" s="14" t="s">
        <v>225</v>
      </c>
      <c r="K239" s="14" t="s">
        <v>2355</v>
      </c>
      <c r="L239" s="14" t="s">
        <v>2356</v>
      </c>
      <c r="M239" s="15" t="n">
        <v>23296</v>
      </c>
      <c r="N239" s="14" t="s">
        <v>298</v>
      </c>
      <c r="O239" s="14" t="s">
        <v>2357</v>
      </c>
      <c r="P239" s="16" t="s">
        <v>2358</v>
      </c>
      <c r="Q239" s="6" t="s">
        <v>2359</v>
      </c>
      <c r="R239" s="6" t="s">
        <v>2360</v>
      </c>
      <c r="S239" s="14" t="s">
        <v>330</v>
      </c>
      <c r="T239" s="14" t="s">
        <v>235</v>
      </c>
      <c r="U239" s="14" t="s">
        <v>236</v>
      </c>
      <c r="V239" s="14" t="s">
        <v>256</v>
      </c>
      <c r="W239" s="14" t="s">
        <v>257</v>
      </c>
      <c r="X239" s="14" t="s">
        <v>239</v>
      </c>
      <c r="Y239" s="15" t="n">
        <v>295513</v>
      </c>
      <c r="Z239" s="15" t="n">
        <v>6842</v>
      </c>
      <c r="AA239" s="14" t="n">
        <v>104</v>
      </c>
      <c r="AB239" s="14"/>
      <c r="AC239" s="17" t="n">
        <v>0.0235048881098294</v>
      </c>
      <c r="AD239" s="18" t="n">
        <v>22.15</v>
      </c>
      <c r="AE239" s="18" t="n">
        <f aca="false">IF(AD239="","",MIN(AD239,100))</f>
        <v>22.15</v>
      </c>
      <c r="AF239" s="14" t="n">
        <v>98.5</v>
      </c>
      <c r="AG239" s="14" t="s">
        <v>224</v>
      </c>
      <c r="AH239" s="14" t="n">
        <v>4</v>
      </c>
      <c r="AI239" s="14" t="s">
        <v>224</v>
      </c>
      <c r="AJ239" s="14" t="s">
        <v>224</v>
      </c>
      <c r="AK239" s="14" t="s">
        <v>240</v>
      </c>
      <c r="AL239" s="19" t="n">
        <f aca="false">ROUND('Start Here'!$B$29*AH239+'Start Here'!$B$30*MIN(IF(AD239="",0,AD239),50)/5+IF(M239&lt;=30000,'Start Here'!$B$31,IF(M239&lt;=60000,'Start Here'!$B$32,0)),1)</f>
        <v>5.3</v>
      </c>
      <c r="AM239" s="6" t="s">
        <v>1117</v>
      </c>
      <c r="AN239" s="6" t="s">
        <v>1719</v>
      </c>
      <c r="AO239" s="6" t="s">
        <v>2361</v>
      </c>
      <c r="AP239" s="14" t="s">
        <v>2362</v>
      </c>
      <c r="AQ239" s="14" t="s">
        <v>431</v>
      </c>
      <c r="AR239" s="20" t="s">
        <v>246</v>
      </c>
      <c r="AS239" s="20"/>
    </row>
    <row r="240" customFormat="false" ht="60" hidden="false" customHeight="true" outlineLevel="0" collapsed="false">
      <c r="A240" s="14" t="n">
        <v>239</v>
      </c>
      <c r="B240" s="14" t="s">
        <v>247</v>
      </c>
      <c r="C240" s="14" t="s">
        <v>221</v>
      </c>
      <c r="D240" s="14" t="s">
        <v>222</v>
      </c>
      <c r="E240" s="14" t="s">
        <v>36</v>
      </c>
      <c r="F240" s="14" t="s">
        <v>224</v>
      </c>
      <c r="G240" s="14" t="s">
        <v>223</v>
      </c>
      <c r="H240" s="14" t="s">
        <v>224</v>
      </c>
      <c r="I240" s="14" t="s">
        <v>375</v>
      </c>
      <c r="J240" s="14" t="s">
        <v>2363</v>
      </c>
      <c r="K240" s="14" t="s">
        <v>2364</v>
      </c>
      <c r="L240" s="14" t="s">
        <v>2365</v>
      </c>
      <c r="M240" s="15" t="n">
        <v>8740</v>
      </c>
      <c r="N240" s="14" t="s">
        <v>283</v>
      </c>
      <c r="O240" s="14" t="s">
        <v>2093</v>
      </c>
      <c r="P240" s="16" t="s">
        <v>2366</v>
      </c>
      <c r="Q240" s="6" t="s">
        <v>2367</v>
      </c>
      <c r="R240" s="6" t="s">
        <v>2368</v>
      </c>
      <c r="S240" s="14" t="s">
        <v>685</v>
      </c>
      <c r="T240" s="14" t="s">
        <v>235</v>
      </c>
      <c r="U240" s="14" t="s">
        <v>686</v>
      </c>
      <c r="V240" s="14" t="s">
        <v>810</v>
      </c>
      <c r="W240" s="14"/>
      <c r="X240" s="14"/>
      <c r="Y240" s="15" t="n">
        <v>49487</v>
      </c>
      <c r="Z240" s="15" t="n">
        <v>1254</v>
      </c>
      <c r="AA240" s="14" t="n">
        <v>16</v>
      </c>
      <c r="AB240" s="14"/>
      <c r="AC240" s="17" t="n">
        <v>0.0256633055145796</v>
      </c>
      <c r="AD240" s="18" t="n">
        <v>5.43</v>
      </c>
      <c r="AE240" s="18" t="n">
        <f aca="false">IF(AD240="","",MIN(AD240,100))</f>
        <v>5.43</v>
      </c>
      <c r="AF240" s="14" t="n">
        <v>97.3</v>
      </c>
      <c r="AG240" s="14" t="s">
        <v>224</v>
      </c>
      <c r="AH240" s="14" t="n">
        <v>6</v>
      </c>
      <c r="AI240" s="14" t="s">
        <v>224</v>
      </c>
      <c r="AJ240" s="14" t="s">
        <v>224</v>
      </c>
      <c r="AK240" s="14" t="s">
        <v>240</v>
      </c>
      <c r="AL240" s="19" t="n">
        <f aca="false">ROUND('Start Here'!$B$29*AH240+'Start Here'!$B$30*MIN(IF(AD240="",0,AD240),50)/5+IF(M240&lt;=30000,'Start Here'!$B$31,IF(M240&lt;=60000,'Start Here'!$B$32,0)),1)</f>
        <v>5.3</v>
      </c>
      <c r="AM240" s="6" t="s">
        <v>689</v>
      </c>
      <c r="AN240" s="6" t="s">
        <v>2369</v>
      </c>
      <c r="AO240" s="6"/>
      <c r="AP240" s="14"/>
      <c r="AQ240" s="14" t="s">
        <v>373</v>
      </c>
      <c r="AR240" s="20" t="s">
        <v>246</v>
      </c>
      <c r="AS240" s="20"/>
    </row>
    <row r="241" customFormat="false" ht="60" hidden="false" customHeight="true" outlineLevel="0" collapsed="false">
      <c r="A241" s="14" t="n">
        <v>240</v>
      </c>
      <c r="B241" s="14" t="s">
        <v>374</v>
      </c>
      <c r="C241" s="14" t="s">
        <v>221</v>
      </c>
      <c r="D241" s="14" t="s">
        <v>222</v>
      </c>
      <c r="E241" s="14" t="s">
        <v>40</v>
      </c>
      <c r="F241" s="14" t="s">
        <v>224</v>
      </c>
      <c r="G241" s="14" t="s">
        <v>224</v>
      </c>
      <c r="H241" s="14" t="s">
        <v>224</v>
      </c>
      <c r="I241" s="14" t="s">
        <v>225</v>
      </c>
      <c r="J241" s="14" t="s">
        <v>563</v>
      </c>
      <c r="K241" s="14" t="s">
        <v>2370</v>
      </c>
      <c r="L241" s="14" t="s">
        <v>2371</v>
      </c>
      <c r="M241" s="15" t="n">
        <v>81732</v>
      </c>
      <c r="N241" s="14" t="s">
        <v>400</v>
      </c>
      <c r="O241" s="14" t="s">
        <v>2372</v>
      </c>
      <c r="P241" s="16" t="s">
        <v>2373</v>
      </c>
      <c r="Q241" s="6" t="s">
        <v>2374</v>
      </c>
      <c r="R241" s="6" t="s">
        <v>2375</v>
      </c>
      <c r="S241" s="14" t="s">
        <v>234</v>
      </c>
      <c r="T241" s="14" t="s">
        <v>235</v>
      </c>
      <c r="U241" s="14" t="s">
        <v>236</v>
      </c>
      <c r="V241" s="14" t="s">
        <v>331</v>
      </c>
      <c r="W241" s="14" t="s">
        <v>257</v>
      </c>
      <c r="X241" s="14" t="s">
        <v>239</v>
      </c>
      <c r="Y241" s="15"/>
      <c r="Z241" s="15" t="n">
        <v>875</v>
      </c>
      <c r="AA241" s="14" t="n">
        <v>206</v>
      </c>
      <c r="AB241" s="14" t="n">
        <v>55</v>
      </c>
      <c r="AC241" s="17" t="n">
        <v>0.0152052575925901</v>
      </c>
      <c r="AD241" s="18" t="n">
        <v>5.41</v>
      </c>
      <c r="AE241" s="18" t="n">
        <f aca="false">IF(AD241="","",MIN(AD241,100))</f>
        <v>5.41</v>
      </c>
      <c r="AF241" s="14" t="n">
        <v>98.3</v>
      </c>
      <c r="AG241" s="14" t="s">
        <v>224</v>
      </c>
      <c r="AH241" s="14" t="n">
        <v>10</v>
      </c>
      <c r="AI241" s="14" t="s">
        <v>224</v>
      </c>
      <c r="AJ241" s="14" t="s">
        <v>224</v>
      </c>
      <c r="AK241" s="14" t="s">
        <v>240</v>
      </c>
      <c r="AL241" s="19" t="n">
        <f aca="false">ROUND('Start Here'!$B$29*AH241+'Start Here'!$B$30*MIN(IF(AD241="",0,AD241),50)/5+IF(M241&lt;=30000,'Start Here'!$B$31,IF(M241&lt;=60000,'Start Here'!$B$32,0)),1)</f>
        <v>5.3</v>
      </c>
      <c r="AM241" s="6" t="s">
        <v>503</v>
      </c>
      <c r="AN241" s="6" t="s">
        <v>242</v>
      </c>
      <c r="AO241" s="6" t="s">
        <v>2376</v>
      </c>
      <c r="AP241" s="14" t="s">
        <v>2377</v>
      </c>
      <c r="AQ241" s="14" t="s">
        <v>1310</v>
      </c>
      <c r="AR241" s="20" t="s">
        <v>246</v>
      </c>
      <c r="AS241" s="20"/>
    </row>
    <row r="242" customFormat="false" ht="60" hidden="false" customHeight="true" outlineLevel="0" collapsed="false">
      <c r="A242" s="14" t="n">
        <v>241</v>
      </c>
      <c r="B242" s="14" t="s">
        <v>374</v>
      </c>
      <c r="C242" s="14" t="s">
        <v>221</v>
      </c>
      <c r="D242" s="14" t="s">
        <v>222</v>
      </c>
      <c r="E242" s="14" t="s">
        <v>36</v>
      </c>
      <c r="F242" s="14" t="s">
        <v>223</v>
      </c>
      <c r="G242" s="14" t="s">
        <v>223</v>
      </c>
      <c r="H242" s="14" t="s">
        <v>224</v>
      </c>
      <c r="I242" s="14" t="s">
        <v>338</v>
      </c>
      <c r="J242" s="14" t="s">
        <v>225</v>
      </c>
      <c r="K242" s="14" t="s">
        <v>2378</v>
      </c>
      <c r="L242" s="14" t="s">
        <v>2379</v>
      </c>
      <c r="M242" s="15" t="n">
        <v>18203</v>
      </c>
      <c r="N242" s="14" t="s">
        <v>229</v>
      </c>
      <c r="O242" s="14" t="s">
        <v>2380</v>
      </c>
      <c r="P242" s="16" t="s">
        <v>2381</v>
      </c>
      <c r="Q242" s="6" t="s">
        <v>2382</v>
      </c>
      <c r="R242" s="6" t="s">
        <v>2383</v>
      </c>
      <c r="S242" s="14" t="s">
        <v>685</v>
      </c>
      <c r="T242" s="14" t="s">
        <v>235</v>
      </c>
      <c r="U242" s="14" t="s">
        <v>686</v>
      </c>
      <c r="V242" s="14" t="s">
        <v>383</v>
      </c>
      <c r="W242" s="14"/>
      <c r="X242" s="14"/>
      <c r="Y242" s="15"/>
      <c r="Z242" s="15" t="n">
        <v>182</v>
      </c>
      <c r="AA242" s="14" t="n">
        <v>4</v>
      </c>
      <c r="AB242" s="14" t="n">
        <v>1</v>
      </c>
      <c r="AC242" s="17" t="n">
        <v>0.0107712689361212</v>
      </c>
      <c r="AD242" s="18" t="n">
        <v>21.98</v>
      </c>
      <c r="AE242" s="18" t="n">
        <f aca="false">IF(AD242="","",MIN(AD242,100))</f>
        <v>21.98</v>
      </c>
      <c r="AF242" s="14" t="n">
        <v>95</v>
      </c>
      <c r="AG242" s="14" t="s">
        <v>224</v>
      </c>
      <c r="AH242" s="14" t="n">
        <v>4</v>
      </c>
      <c r="AI242" s="14" t="s">
        <v>224</v>
      </c>
      <c r="AJ242" s="14" t="s">
        <v>224</v>
      </c>
      <c r="AK242" s="14" t="s">
        <v>240</v>
      </c>
      <c r="AL242" s="19" t="n">
        <f aca="false">ROUND('Start Here'!$B$29*AH242+'Start Here'!$B$30*MIN(IF(AD242="",0,AD242),50)/5+IF(M242&lt;=30000,'Start Here'!$B$31,IF(M242&lt;=60000,'Start Here'!$B$32,0)),1)</f>
        <v>5.3</v>
      </c>
      <c r="AM242" s="6" t="s">
        <v>874</v>
      </c>
      <c r="AN242" s="6" t="s">
        <v>2384</v>
      </c>
      <c r="AO242" s="6"/>
      <c r="AP242" s="14"/>
      <c r="AQ242" s="14" t="s">
        <v>263</v>
      </c>
      <c r="AR242" s="20" t="s">
        <v>246</v>
      </c>
      <c r="AS242" s="20"/>
    </row>
    <row r="243" customFormat="false" ht="60" hidden="false" customHeight="true" outlineLevel="0" collapsed="false">
      <c r="A243" s="14" t="n">
        <v>242</v>
      </c>
      <c r="B243" s="14" t="s">
        <v>247</v>
      </c>
      <c r="C243" s="14" t="s">
        <v>442</v>
      </c>
      <c r="D243" s="14" t="s">
        <v>443</v>
      </c>
      <c r="E243" s="14" t="s">
        <v>36</v>
      </c>
      <c r="F243" s="14" t="s">
        <v>223</v>
      </c>
      <c r="G243" s="14" t="s">
        <v>223</v>
      </c>
      <c r="H243" s="14" t="s">
        <v>224</v>
      </c>
      <c r="I243" s="14" t="s">
        <v>364</v>
      </c>
      <c r="J243" s="14" t="s">
        <v>834</v>
      </c>
      <c r="K243" s="14" t="s">
        <v>2385</v>
      </c>
      <c r="L243" s="14" t="s">
        <v>2386</v>
      </c>
      <c r="M243" s="15" t="n">
        <v>11000</v>
      </c>
      <c r="N243" s="14" t="s">
        <v>229</v>
      </c>
      <c r="O243" s="14" t="s">
        <v>447</v>
      </c>
      <c r="P243" s="16" t="s">
        <v>2387</v>
      </c>
      <c r="Q243" s="6" t="s">
        <v>2388</v>
      </c>
      <c r="R243" s="6" t="s">
        <v>2389</v>
      </c>
      <c r="S243" s="14" t="s">
        <v>255</v>
      </c>
      <c r="T243" s="14" t="s">
        <v>273</v>
      </c>
      <c r="U243" s="14" t="s">
        <v>274</v>
      </c>
      <c r="V243" s="14" t="s">
        <v>930</v>
      </c>
      <c r="W243" s="14" t="s">
        <v>452</v>
      </c>
      <c r="X243" s="14"/>
      <c r="Y243" s="15" t="n">
        <v>169200</v>
      </c>
      <c r="Z243" s="15"/>
      <c r="AA243" s="14"/>
      <c r="AB243" s="14"/>
      <c r="AC243" s="17"/>
      <c r="AD243" s="18" t="n">
        <v>13.6</v>
      </c>
      <c r="AE243" s="18" t="n">
        <f aca="false">IF(AD243="","",MIN(AD243,100))</f>
        <v>13.6</v>
      </c>
      <c r="AF243" s="14"/>
      <c r="AG243" s="14" t="s">
        <v>224</v>
      </c>
      <c r="AH243" s="14" t="n">
        <v>5</v>
      </c>
      <c r="AI243" s="14" t="s">
        <v>224</v>
      </c>
      <c r="AJ243" s="14" t="s">
        <v>224</v>
      </c>
      <c r="AK243" s="14" t="s">
        <v>453</v>
      </c>
      <c r="AL243" s="19" t="n">
        <f aca="false">ROUND('Start Here'!$B$29*AH243+'Start Here'!$B$30*MIN(IF(AD243="",0,AD243),50)/5+IF(M243&lt;=30000,'Start Here'!$B$31,IF(M243&lt;=60000,'Start Here'!$B$32,0)),1)</f>
        <v>5.3</v>
      </c>
      <c r="AM243" s="6" t="s">
        <v>2390</v>
      </c>
      <c r="AN243" s="6" t="s">
        <v>950</v>
      </c>
      <c r="AO243" s="6" t="s">
        <v>2391</v>
      </c>
      <c r="AP243" s="14" t="s">
        <v>2239</v>
      </c>
      <c r="AQ243" s="14" t="s">
        <v>1593</v>
      </c>
      <c r="AR243" s="20" t="s">
        <v>246</v>
      </c>
      <c r="AS243" s="20"/>
    </row>
    <row r="244" customFormat="false" ht="60" hidden="false" customHeight="true" outlineLevel="0" collapsed="false">
      <c r="A244" s="14" t="n">
        <v>243</v>
      </c>
      <c r="B244" s="14" t="s">
        <v>374</v>
      </c>
      <c r="C244" s="14" t="s">
        <v>221</v>
      </c>
      <c r="D244" s="14" t="s">
        <v>222</v>
      </c>
      <c r="E244" s="14" t="s">
        <v>38</v>
      </c>
      <c r="F244" s="14" t="s">
        <v>224</v>
      </c>
      <c r="G244" s="14" t="s">
        <v>224</v>
      </c>
      <c r="H244" s="14" t="s">
        <v>223</v>
      </c>
      <c r="I244" s="14" t="s">
        <v>338</v>
      </c>
      <c r="J244" s="14" t="s">
        <v>2392</v>
      </c>
      <c r="K244" s="14" t="s">
        <v>576</v>
      </c>
      <c r="L244" s="14" t="s">
        <v>2393</v>
      </c>
      <c r="M244" s="15" t="n">
        <v>85708</v>
      </c>
      <c r="N244" s="14" t="s">
        <v>400</v>
      </c>
      <c r="O244" s="14" t="s">
        <v>1460</v>
      </c>
      <c r="P244" s="16" t="s">
        <v>2394</v>
      </c>
      <c r="Q244" s="6" t="s">
        <v>2395</v>
      </c>
      <c r="R244" s="6" t="s">
        <v>2396</v>
      </c>
      <c r="S244" s="14" t="s">
        <v>234</v>
      </c>
      <c r="T244" s="14" t="s">
        <v>235</v>
      </c>
      <c r="U244" s="14" t="s">
        <v>346</v>
      </c>
      <c r="V244" s="14" t="s">
        <v>331</v>
      </c>
      <c r="W244" s="14" t="s">
        <v>238</v>
      </c>
      <c r="X244" s="14" t="s">
        <v>239</v>
      </c>
      <c r="Y244" s="15"/>
      <c r="Z244" s="15" t="n">
        <v>1250</v>
      </c>
      <c r="AA244" s="14" t="n">
        <v>325</v>
      </c>
      <c r="AB244" s="14" t="n">
        <v>24</v>
      </c>
      <c r="AC244" s="17" t="n">
        <v>0.0196148140883402</v>
      </c>
      <c r="AD244" s="18" t="n">
        <v>4.04</v>
      </c>
      <c r="AE244" s="18" t="n">
        <f aca="false">IF(AD244="","",MIN(AD244,100))</f>
        <v>4.04</v>
      </c>
      <c r="AF244" s="14" t="n">
        <v>94.4</v>
      </c>
      <c r="AG244" s="14" t="s">
        <v>224</v>
      </c>
      <c r="AH244" s="14" t="n">
        <v>10</v>
      </c>
      <c r="AI244" s="14" t="s">
        <v>224</v>
      </c>
      <c r="AJ244" s="14" t="s">
        <v>224</v>
      </c>
      <c r="AK244" s="14" t="s">
        <v>240</v>
      </c>
      <c r="AL244" s="19" t="n">
        <f aca="false">ROUND('Start Here'!$B$29*AH244+'Start Here'!$B$30*MIN(IF(AD244="",0,AD244),50)/5+IF(M244&lt;=30000,'Start Here'!$B$31,IF(M244&lt;=60000,'Start Here'!$B$32,0)),1)</f>
        <v>5.2</v>
      </c>
      <c r="AM244" s="6" t="s">
        <v>2263</v>
      </c>
      <c r="AN244" s="6" t="s">
        <v>1297</v>
      </c>
      <c r="AO244" s="6" t="s">
        <v>2397</v>
      </c>
      <c r="AP244" s="14" t="s">
        <v>2398</v>
      </c>
      <c r="AQ244" s="14" t="s">
        <v>2399</v>
      </c>
      <c r="AR244" s="20" t="s">
        <v>246</v>
      </c>
      <c r="AS244" s="20"/>
    </row>
    <row r="245" customFormat="false" ht="60" hidden="false" customHeight="true" outlineLevel="0" collapsed="false">
      <c r="A245" s="14" t="n">
        <v>244</v>
      </c>
      <c r="B245" s="14" t="s">
        <v>374</v>
      </c>
      <c r="C245" s="14" t="s">
        <v>221</v>
      </c>
      <c r="D245" s="14" t="s">
        <v>222</v>
      </c>
      <c r="E245" s="14" t="s">
        <v>34</v>
      </c>
      <c r="F245" s="14" t="s">
        <v>223</v>
      </c>
      <c r="G245" s="14" t="s">
        <v>224</v>
      </c>
      <c r="H245" s="14" t="s">
        <v>223</v>
      </c>
      <c r="I245" s="14" t="s">
        <v>586</v>
      </c>
      <c r="J245" s="14" t="s">
        <v>2041</v>
      </c>
      <c r="K245" s="14" t="s">
        <v>2400</v>
      </c>
      <c r="L245" s="14" t="s">
        <v>2401</v>
      </c>
      <c r="M245" s="15" t="n">
        <v>81925</v>
      </c>
      <c r="N245" s="14" t="s">
        <v>400</v>
      </c>
      <c r="O245" s="14" t="s">
        <v>1399</v>
      </c>
      <c r="P245" s="16" t="s">
        <v>2402</v>
      </c>
      <c r="Q245" s="6" t="s">
        <v>2403</v>
      </c>
      <c r="R245" s="6" t="s">
        <v>2404</v>
      </c>
      <c r="S245" s="14" t="s">
        <v>741</v>
      </c>
      <c r="T245" s="14" t="s">
        <v>235</v>
      </c>
      <c r="U245" s="14" t="s">
        <v>236</v>
      </c>
      <c r="V245" s="14" t="s">
        <v>331</v>
      </c>
      <c r="W245" s="14" t="s">
        <v>238</v>
      </c>
      <c r="X245" s="14" t="s">
        <v>333</v>
      </c>
      <c r="Y245" s="15"/>
      <c r="Z245" s="15" t="n">
        <v>3763</v>
      </c>
      <c r="AA245" s="14" t="n">
        <v>224</v>
      </c>
      <c r="AB245" s="14" t="n">
        <v>184</v>
      </c>
      <c r="AC245" s="17" t="n">
        <v>0.0509124198962466</v>
      </c>
      <c r="AD245" s="18" t="n">
        <v>20.62</v>
      </c>
      <c r="AE245" s="18" t="n">
        <f aca="false">IF(AD245="","",MIN(AD245,100))</f>
        <v>20.62</v>
      </c>
      <c r="AF245" s="14" t="n">
        <v>99.5</v>
      </c>
      <c r="AG245" s="14" t="s">
        <v>224</v>
      </c>
      <c r="AH245" s="14" t="n">
        <v>8</v>
      </c>
      <c r="AI245" s="14" t="s">
        <v>224</v>
      </c>
      <c r="AJ245" s="14" t="s">
        <v>224</v>
      </c>
      <c r="AK245" s="14" t="s">
        <v>240</v>
      </c>
      <c r="AL245" s="19" t="n">
        <f aca="false">ROUND('Start Here'!$B$29*AH245+'Start Here'!$B$30*MIN(IF(AD245="",0,AD245),50)/5+IF(M245&lt;=30000,'Start Here'!$B$31,IF(M245&lt;=60000,'Start Here'!$B$32,0)),1)</f>
        <v>5.2</v>
      </c>
      <c r="AM245" s="6" t="s">
        <v>2405</v>
      </c>
      <c r="AN245" s="6" t="s">
        <v>2406</v>
      </c>
      <c r="AO245" s="6" t="s">
        <v>2407</v>
      </c>
      <c r="AP245" s="14" t="s">
        <v>2408</v>
      </c>
      <c r="AQ245" s="14" t="s">
        <v>1672</v>
      </c>
      <c r="AR245" s="20" t="s">
        <v>246</v>
      </c>
      <c r="AS245" s="20"/>
    </row>
    <row r="246" customFormat="false" ht="60" hidden="false" customHeight="true" outlineLevel="0" collapsed="false">
      <c r="A246" s="14" t="n">
        <v>245</v>
      </c>
      <c r="B246" s="14" t="s">
        <v>374</v>
      </c>
      <c r="C246" s="14" t="s">
        <v>221</v>
      </c>
      <c r="D246" s="14" t="s">
        <v>222</v>
      </c>
      <c r="E246" s="14" t="s">
        <v>40</v>
      </c>
      <c r="F246" s="14" t="s">
        <v>224</v>
      </c>
      <c r="G246" s="14" t="s">
        <v>224</v>
      </c>
      <c r="H246" s="14" t="s">
        <v>224</v>
      </c>
      <c r="I246" s="14" t="s">
        <v>264</v>
      </c>
      <c r="J246" s="14" t="s">
        <v>924</v>
      </c>
      <c r="K246" s="14" t="s">
        <v>2409</v>
      </c>
      <c r="L246" s="14" t="s">
        <v>2410</v>
      </c>
      <c r="M246" s="15" t="n">
        <v>59006</v>
      </c>
      <c r="N246" s="14" t="s">
        <v>400</v>
      </c>
      <c r="O246" s="14" t="s">
        <v>2411</v>
      </c>
      <c r="P246" s="16" t="s">
        <v>2412</v>
      </c>
      <c r="Q246" s="6" t="s">
        <v>2413</v>
      </c>
      <c r="R246" s="6" t="s">
        <v>2414</v>
      </c>
      <c r="S246" s="14" t="s">
        <v>330</v>
      </c>
      <c r="T246" s="14" t="s">
        <v>235</v>
      </c>
      <c r="U246" s="14" t="s">
        <v>236</v>
      </c>
      <c r="V246" s="14" t="s">
        <v>383</v>
      </c>
      <c r="W246" s="14"/>
      <c r="X246" s="14"/>
      <c r="Y246" s="15"/>
      <c r="Z246" s="15" t="n">
        <v>793</v>
      </c>
      <c r="AA246" s="14" t="n">
        <v>186</v>
      </c>
      <c r="AB246" s="14" t="n">
        <v>79</v>
      </c>
      <c r="AC246" s="17" t="n">
        <v>0.0189809831359885</v>
      </c>
      <c r="AD246" s="18" t="n">
        <v>3.84</v>
      </c>
      <c r="AE246" s="18" t="n">
        <f aca="false">IF(AD246="","",MIN(AD246,100))</f>
        <v>3.84</v>
      </c>
      <c r="AF246" s="14" t="n">
        <v>99.5</v>
      </c>
      <c r="AG246" s="14" t="s">
        <v>224</v>
      </c>
      <c r="AH246" s="14" t="n">
        <v>8</v>
      </c>
      <c r="AI246" s="14" t="s">
        <v>224</v>
      </c>
      <c r="AJ246" s="14" t="s">
        <v>224</v>
      </c>
      <c r="AK246" s="14" t="s">
        <v>240</v>
      </c>
      <c r="AL246" s="19" t="n">
        <f aca="false">ROUND('Start Here'!$B$29*AH246+'Start Here'!$B$30*MIN(IF(AD246="",0,AD246),50)/5+IF(M246&lt;=30000,'Start Here'!$B$31,IF(M246&lt;=60000,'Start Here'!$B$32,0)),1)</f>
        <v>5.2</v>
      </c>
      <c r="AM246" s="6" t="s">
        <v>1117</v>
      </c>
      <c r="AN246" s="6" t="s">
        <v>1952</v>
      </c>
      <c r="AO246" s="6"/>
      <c r="AP246" s="14"/>
      <c r="AQ246" s="14" t="s">
        <v>2399</v>
      </c>
      <c r="AR246" s="20" t="s">
        <v>246</v>
      </c>
      <c r="AS246" s="20"/>
    </row>
    <row r="247" customFormat="false" ht="60" hidden="false" customHeight="true" outlineLevel="0" collapsed="false">
      <c r="A247" s="14" t="n">
        <v>246</v>
      </c>
      <c r="B247" s="14" t="s">
        <v>247</v>
      </c>
      <c r="C247" s="14" t="s">
        <v>221</v>
      </c>
      <c r="D247" s="14" t="s">
        <v>222</v>
      </c>
      <c r="E247" s="14" t="s">
        <v>40</v>
      </c>
      <c r="F247" s="14" t="s">
        <v>224</v>
      </c>
      <c r="G247" s="14" t="s">
        <v>224</v>
      </c>
      <c r="H247" s="14" t="s">
        <v>224</v>
      </c>
      <c r="I247" s="14" t="s">
        <v>322</v>
      </c>
      <c r="J247" s="14" t="s">
        <v>420</v>
      </c>
      <c r="K247" s="14" t="s">
        <v>2415</v>
      </c>
      <c r="L247" s="14" t="s">
        <v>2416</v>
      </c>
      <c r="M247" s="15" t="n">
        <v>86414</v>
      </c>
      <c r="N247" s="14" t="s">
        <v>400</v>
      </c>
      <c r="O247" s="14" t="s">
        <v>1748</v>
      </c>
      <c r="P247" s="16" t="s">
        <v>2417</v>
      </c>
      <c r="Q247" s="6" t="s">
        <v>2418</v>
      </c>
      <c r="R247" s="6" t="s">
        <v>2419</v>
      </c>
      <c r="S247" s="14" t="s">
        <v>685</v>
      </c>
      <c r="T247" s="14" t="s">
        <v>273</v>
      </c>
      <c r="U247" s="14" t="s">
        <v>274</v>
      </c>
      <c r="V247" s="14" t="s">
        <v>256</v>
      </c>
      <c r="W247" s="14" t="s">
        <v>257</v>
      </c>
      <c r="X247" s="14" t="s">
        <v>239</v>
      </c>
      <c r="Y247" s="15" t="n">
        <v>29362</v>
      </c>
      <c r="Z247" s="15" t="n">
        <v>954</v>
      </c>
      <c r="AA247" s="14" t="n">
        <v>166</v>
      </c>
      <c r="AB247" s="14"/>
      <c r="AC247" s="17" t="n">
        <v>0.038144540562632</v>
      </c>
      <c r="AD247" s="18" t="n">
        <v>3.43</v>
      </c>
      <c r="AE247" s="18" t="n">
        <f aca="false">IF(AD247="","",MIN(AD247,100))</f>
        <v>3.43</v>
      </c>
      <c r="AF247" s="14" t="n">
        <v>83.7</v>
      </c>
      <c r="AG247" s="14" t="s">
        <v>224</v>
      </c>
      <c r="AH247" s="14" t="n">
        <v>10</v>
      </c>
      <c r="AI247" s="14" t="s">
        <v>224</v>
      </c>
      <c r="AJ247" s="14" t="s">
        <v>224</v>
      </c>
      <c r="AK247" s="14" t="s">
        <v>240</v>
      </c>
      <c r="AL247" s="19" t="n">
        <f aca="false">ROUND('Start Here'!$B$29*AH247+'Start Here'!$B$30*MIN(IF(AD247="",0,AD247),50)/5+IF(M247&lt;=30000,'Start Here'!$B$31,IF(M247&lt;=60000,'Start Here'!$B$32,0)),1)</f>
        <v>5.2</v>
      </c>
      <c r="AM247" s="6" t="s">
        <v>2420</v>
      </c>
      <c r="AN247" s="6" t="s">
        <v>2421</v>
      </c>
      <c r="AO247" s="6" t="s">
        <v>2422</v>
      </c>
      <c r="AP247" s="14" t="s">
        <v>2423</v>
      </c>
      <c r="AQ247" s="14" t="s">
        <v>409</v>
      </c>
      <c r="AR247" s="20" t="s">
        <v>246</v>
      </c>
      <c r="AS247" s="20"/>
    </row>
    <row r="248" customFormat="false" ht="60" hidden="false" customHeight="true" outlineLevel="0" collapsed="false">
      <c r="A248" s="14" t="n">
        <v>247</v>
      </c>
      <c r="B248" s="14" t="s">
        <v>247</v>
      </c>
      <c r="C248" s="14" t="s">
        <v>221</v>
      </c>
      <c r="D248" s="14" t="s">
        <v>222</v>
      </c>
      <c r="E248" s="14" t="s">
        <v>40</v>
      </c>
      <c r="F248" s="14" t="s">
        <v>224</v>
      </c>
      <c r="G248" s="14" t="s">
        <v>224</v>
      </c>
      <c r="H248" s="14" t="s">
        <v>224</v>
      </c>
      <c r="I248" s="14" t="s">
        <v>364</v>
      </c>
      <c r="J248" s="14" t="s">
        <v>2424</v>
      </c>
      <c r="K248" s="14" t="s">
        <v>2425</v>
      </c>
      <c r="L248" s="14" t="s">
        <v>2426</v>
      </c>
      <c r="M248" s="15" t="n">
        <v>35350</v>
      </c>
      <c r="N248" s="14" t="s">
        <v>462</v>
      </c>
      <c r="O248" s="14" t="s">
        <v>1748</v>
      </c>
      <c r="P248" s="16" t="s">
        <v>2427</v>
      </c>
      <c r="Q248" s="6" t="s">
        <v>2428</v>
      </c>
      <c r="R248" s="6" t="s">
        <v>2429</v>
      </c>
      <c r="S248" s="14" t="s">
        <v>685</v>
      </c>
      <c r="T248" s="14" t="s">
        <v>235</v>
      </c>
      <c r="U248" s="14" t="s">
        <v>686</v>
      </c>
      <c r="V248" s="14" t="s">
        <v>288</v>
      </c>
      <c r="W248" s="14" t="s">
        <v>257</v>
      </c>
      <c r="X248" s="14" t="s">
        <v>239</v>
      </c>
      <c r="Y248" s="15" t="n">
        <v>8479</v>
      </c>
      <c r="Z248" s="15" t="n">
        <v>443</v>
      </c>
      <c r="AA248" s="14" t="n">
        <v>51</v>
      </c>
      <c r="AB248" s="14"/>
      <c r="AC248" s="17" t="n">
        <v>0.0582615874513504</v>
      </c>
      <c r="AD248" s="18" t="n">
        <v>3.37</v>
      </c>
      <c r="AE248" s="18" t="n">
        <f aca="false">IF(AD248="","",MIN(AD248,100))</f>
        <v>3.37</v>
      </c>
      <c r="AF248" s="14" t="n">
        <v>92.9</v>
      </c>
      <c r="AG248" s="14" t="s">
        <v>224</v>
      </c>
      <c r="AH248" s="14" t="n">
        <v>8</v>
      </c>
      <c r="AI248" s="14" t="s">
        <v>224</v>
      </c>
      <c r="AJ248" s="14" t="s">
        <v>224</v>
      </c>
      <c r="AK248" s="14" t="s">
        <v>240</v>
      </c>
      <c r="AL248" s="19" t="n">
        <f aca="false">ROUND('Start Here'!$B$29*AH248+'Start Here'!$B$30*MIN(IF(AD248="",0,AD248),50)/5+IF(M248&lt;=30000,'Start Here'!$B$31,IF(M248&lt;=60000,'Start Here'!$B$32,0)),1)</f>
        <v>5.2</v>
      </c>
      <c r="AM248" s="6" t="s">
        <v>689</v>
      </c>
      <c r="AN248" s="6" t="s">
        <v>2430</v>
      </c>
      <c r="AO248" s="6" t="s">
        <v>2431</v>
      </c>
      <c r="AP248" s="14" t="s">
        <v>2432</v>
      </c>
      <c r="AQ248" s="14" t="s">
        <v>524</v>
      </c>
      <c r="AR248" s="20" t="s">
        <v>246</v>
      </c>
      <c r="AS248" s="20"/>
    </row>
    <row r="249" customFormat="false" ht="60" hidden="false" customHeight="true" outlineLevel="0" collapsed="false">
      <c r="A249" s="14" t="n">
        <v>248</v>
      </c>
      <c r="B249" s="14" t="s">
        <v>220</v>
      </c>
      <c r="C249" s="14" t="s">
        <v>221</v>
      </c>
      <c r="D249" s="14" t="s">
        <v>222</v>
      </c>
      <c r="E249" s="14" t="s">
        <v>36</v>
      </c>
      <c r="F249" s="14" t="s">
        <v>224</v>
      </c>
      <c r="G249" s="14" t="s">
        <v>223</v>
      </c>
      <c r="H249" s="14" t="s">
        <v>223</v>
      </c>
      <c r="I249" s="14" t="s">
        <v>225</v>
      </c>
      <c r="J249" s="14" t="s">
        <v>2067</v>
      </c>
      <c r="K249" s="14" t="s">
        <v>2433</v>
      </c>
      <c r="L249" s="14" t="s">
        <v>2434</v>
      </c>
      <c r="M249" s="15" t="n">
        <v>16742</v>
      </c>
      <c r="N249" s="14" t="s">
        <v>229</v>
      </c>
      <c r="O249" s="14" t="s">
        <v>2435</v>
      </c>
      <c r="P249" s="16" t="s">
        <v>2436</v>
      </c>
      <c r="Q249" s="6" t="s">
        <v>2437</v>
      </c>
      <c r="R249" s="6" t="s">
        <v>2438</v>
      </c>
      <c r="S249" s="14" t="s">
        <v>330</v>
      </c>
      <c r="T249" s="14" t="s">
        <v>235</v>
      </c>
      <c r="U249" s="14" t="s">
        <v>236</v>
      </c>
      <c r="V249" s="14" t="s">
        <v>725</v>
      </c>
      <c r="W249" s="14"/>
      <c r="X249" s="14"/>
      <c r="Y249" s="15" t="n">
        <v>623711</v>
      </c>
      <c r="Z249" s="15" t="n">
        <v>302</v>
      </c>
      <c r="AA249" s="14" t="n">
        <v>18</v>
      </c>
      <c r="AB249" s="14" t="n">
        <v>79</v>
      </c>
      <c r="AC249" s="17" t="n">
        <v>0.000639719357202294</v>
      </c>
      <c r="AD249" s="18" t="n">
        <v>6.59</v>
      </c>
      <c r="AE249" s="18" t="n">
        <f aca="false">IF(AD249="","",MIN(AD249,100))</f>
        <v>6.59</v>
      </c>
      <c r="AF249" s="14" t="n">
        <v>99.1</v>
      </c>
      <c r="AG249" s="14" t="s">
        <v>224</v>
      </c>
      <c r="AH249" s="14" t="n">
        <v>5.6</v>
      </c>
      <c r="AI249" s="14" t="s">
        <v>223</v>
      </c>
      <c r="AJ249" s="14" t="s">
        <v>224</v>
      </c>
      <c r="AK249" s="14" t="s">
        <v>240</v>
      </c>
      <c r="AL249" s="19" t="n">
        <f aca="false">ROUND('Start Here'!$B$29*AH249+'Start Here'!$B$30*MIN(IF(AD249="",0,AD249),50)/5+IF(M249&lt;=30000,'Start Here'!$B$31,IF(M249&lt;=60000,'Start Here'!$B$32,0)),1)</f>
        <v>5.2</v>
      </c>
      <c r="AM249" s="6" t="s">
        <v>334</v>
      </c>
      <c r="AN249" s="6" t="s">
        <v>416</v>
      </c>
      <c r="AO249" s="6"/>
      <c r="AP249" s="14"/>
      <c r="AQ249" s="14" t="s">
        <v>409</v>
      </c>
      <c r="AR249" s="20" t="s">
        <v>246</v>
      </c>
      <c r="AS249" s="20"/>
    </row>
    <row r="250" customFormat="false" ht="60" hidden="false" customHeight="true" outlineLevel="0" collapsed="false">
      <c r="A250" s="14" t="n">
        <v>249</v>
      </c>
      <c r="B250" s="14" t="s">
        <v>247</v>
      </c>
      <c r="C250" s="14" t="s">
        <v>221</v>
      </c>
      <c r="D250" s="14" t="s">
        <v>443</v>
      </c>
      <c r="E250" s="14" t="s">
        <v>34</v>
      </c>
      <c r="F250" s="14" t="s">
        <v>223</v>
      </c>
      <c r="G250" s="14" t="s">
        <v>224</v>
      </c>
      <c r="H250" s="14" t="s">
        <v>224</v>
      </c>
      <c r="I250" s="14" t="s">
        <v>322</v>
      </c>
      <c r="J250" s="14" t="s">
        <v>338</v>
      </c>
      <c r="K250" s="14" t="s">
        <v>2439</v>
      </c>
      <c r="L250" s="14" t="s">
        <v>2440</v>
      </c>
      <c r="M250" s="15" t="n">
        <v>40200</v>
      </c>
      <c r="N250" s="14" t="s">
        <v>462</v>
      </c>
      <c r="O250" s="14" t="s">
        <v>447</v>
      </c>
      <c r="P250" s="16" t="s">
        <v>2441</v>
      </c>
      <c r="Q250" s="6" t="s">
        <v>2442</v>
      </c>
      <c r="R250" s="6" t="s">
        <v>2443</v>
      </c>
      <c r="S250" s="14" t="s">
        <v>255</v>
      </c>
      <c r="T250" s="14" t="s">
        <v>273</v>
      </c>
      <c r="U250" s="14" t="s">
        <v>274</v>
      </c>
      <c r="V250" s="14" t="s">
        <v>2444</v>
      </c>
      <c r="W250" s="14" t="s">
        <v>452</v>
      </c>
      <c r="X250" s="14"/>
      <c r="Y250" s="15" t="n">
        <v>185700</v>
      </c>
      <c r="Z250" s="15"/>
      <c r="AA250" s="14"/>
      <c r="AB250" s="14"/>
      <c r="AC250" s="17"/>
      <c r="AD250" s="18" t="n">
        <v>27.8</v>
      </c>
      <c r="AE250" s="18" t="n">
        <f aca="false">IF(AD250="","",MIN(AD250,100))</f>
        <v>27.8</v>
      </c>
      <c r="AF250" s="14"/>
      <c r="AG250" s="14" t="s">
        <v>224</v>
      </c>
      <c r="AH250" s="14" t="n">
        <v>5</v>
      </c>
      <c r="AI250" s="14" t="s">
        <v>224</v>
      </c>
      <c r="AJ250" s="14" t="s">
        <v>224</v>
      </c>
      <c r="AK250" s="14" t="s">
        <v>240</v>
      </c>
      <c r="AL250" s="19" t="n">
        <f aca="false">ROUND('Start Here'!$B$29*AH250+'Start Here'!$B$30*MIN(IF(AD250="",0,AD250),50)/5+IF(M250&lt;=30000,'Start Here'!$B$31,IF(M250&lt;=60000,'Start Here'!$B$32,0)),1)</f>
        <v>5.2</v>
      </c>
      <c r="AM250" s="6" t="s">
        <v>2445</v>
      </c>
      <c r="AN250" s="6" t="s">
        <v>1504</v>
      </c>
      <c r="AO250" s="6" t="s">
        <v>2446</v>
      </c>
      <c r="AP250" s="14" t="s">
        <v>2447</v>
      </c>
      <c r="AQ250" s="14" t="s">
        <v>747</v>
      </c>
      <c r="AR250" s="20" t="s">
        <v>246</v>
      </c>
      <c r="AS250" s="20"/>
    </row>
    <row r="251" customFormat="false" ht="60" hidden="false" customHeight="true" outlineLevel="0" collapsed="false">
      <c r="A251" s="14" t="n">
        <v>250</v>
      </c>
      <c r="B251" s="14" t="s">
        <v>374</v>
      </c>
      <c r="C251" s="14" t="s">
        <v>221</v>
      </c>
      <c r="D251" s="14" t="s">
        <v>222</v>
      </c>
      <c r="E251" s="14" t="s">
        <v>34</v>
      </c>
      <c r="F251" s="14" t="s">
        <v>223</v>
      </c>
      <c r="G251" s="14" t="s">
        <v>224</v>
      </c>
      <c r="H251" s="14" t="s">
        <v>223</v>
      </c>
      <c r="I251" s="14" t="s">
        <v>225</v>
      </c>
      <c r="J251" s="14" t="s">
        <v>2448</v>
      </c>
      <c r="K251" s="14" t="s">
        <v>2449</v>
      </c>
      <c r="L251" s="14" t="s">
        <v>2450</v>
      </c>
      <c r="M251" s="15" t="n">
        <v>99262</v>
      </c>
      <c r="N251" s="14" t="s">
        <v>400</v>
      </c>
      <c r="O251" s="14" t="s">
        <v>2451</v>
      </c>
      <c r="P251" s="16" t="s">
        <v>2452</v>
      </c>
      <c r="Q251" s="6" t="s">
        <v>2453</v>
      </c>
      <c r="R251" s="6" t="s">
        <v>2454</v>
      </c>
      <c r="S251" s="14" t="s">
        <v>255</v>
      </c>
      <c r="T251" s="14" t="s">
        <v>235</v>
      </c>
      <c r="U251" s="14" t="s">
        <v>236</v>
      </c>
      <c r="V251" s="14" t="s">
        <v>331</v>
      </c>
      <c r="W251" s="14" t="s">
        <v>275</v>
      </c>
      <c r="X251" s="14" t="s">
        <v>258</v>
      </c>
      <c r="Y251" s="15"/>
      <c r="Z251" s="15" t="n">
        <v>1946</v>
      </c>
      <c r="AA251" s="14" t="n">
        <v>3391</v>
      </c>
      <c r="AB251" s="14" t="n">
        <v>13</v>
      </c>
      <c r="AC251" s="17" t="n">
        <v>0.0559600016735702</v>
      </c>
      <c r="AD251" s="18" t="n">
        <v>11.02</v>
      </c>
      <c r="AE251" s="18" t="n">
        <f aca="false">IF(AD251="","",MIN(AD251,100))</f>
        <v>11.02</v>
      </c>
      <c r="AF251" s="14" t="n">
        <v>98.9</v>
      </c>
      <c r="AG251" s="14" t="s">
        <v>224</v>
      </c>
      <c r="AH251" s="14" t="n">
        <v>9</v>
      </c>
      <c r="AI251" s="14" t="s">
        <v>224</v>
      </c>
      <c r="AJ251" s="14" t="s">
        <v>224</v>
      </c>
      <c r="AK251" s="14" t="s">
        <v>240</v>
      </c>
      <c r="AL251" s="19" t="n">
        <f aca="false">ROUND('Start Here'!$B$29*AH251+'Start Here'!$B$30*MIN(IF(AD251="",0,AD251),50)/5+IF(M251&lt;=30000,'Start Here'!$B$31,IF(M251&lt;=60000,'Start Here'!$B$32,0)),1)</f>
        <v>5.2</v>
      </c>
      <c r="AM251" s="6" t="s">
        <v>491</v>
      </c>
      <c r="AN251" s="6" t="s">
        <v>674</v>
      </c>
      <c r="AO251" s="6" t="s">
        <v>2455</v>
      </c>
      <c r="AP251" s="14" t="s">
        <v>2456</v>
      </c>
      <c r="AQ251" s="14" t="s">
        <v>2399</v>
      </c>
      <c r="AR251" s="20" t="s">
        <v>246</v>
      </c>
      <c r="AS251" s="20"/>
    </row>
    <row r="252" customFormat="false" ht="60" hidden="false" customHeight="true" outlineLevel="0" collapsed="false">
      <c r="A252" s="14" t="n">
        <v>251</v>
      </c>
      <c r="B252" s="14" t="s">
        <v>247</v>
      </c>
      <c r="C252" s="14" t="s">
        <v>221</v>
      </c>
      <c r="D252" s="14" t="s">
        <v>222</v>
      </c>
      <c r="E252" s="14" t="s">
        <v>34</v>
      </c>
      <c r="F252" s="14" t="s">
        <v>223</v>
      </c>
      <c r="G252" s="14" t="s">
        <v>224</v>
      </c>
      <c r="H252" s="14" t="s">
        <v>224</v>
      </c>
      <c r="I252" s="14" t="s">
        <v>586</v>
      </c>
      <c r="J252" s="14" t="s">
        <v>2041</v>
      </c>
      <c r="K252" s="14" t="s">
        <v>2457</v>
      </c>
      <c r="L252" s="14" t="s">
        <v>2458</v>
      </c>
      <c r="M252" s="15" t="n">
        <v>106190</v>
      </c>
      <c r="N252" s="14" t="s">
        <v>2009</v>
      </c>
      <c r="O252" s="14" t="s">
        <v>1002</v>
      </c>
      <c r="P252" s="16" t="s">
        <v>2459</v>
      </c>
      <c r="Q252" s="6" t="s">
        <v>2460</v>
      </c>
      <c r="R252" s="6" t="s">
        <v>2461</v>
      </c>
      <c r="S252" s="14" t="s">
        <v>255</v>
      </c>
      <c r="T252" s="14" t="s">
        <v>235</v>
      </c>
      <c r="U252" s="14" t="s">
        <v>236</v>
      </c>
      <c r="V252" s="14" t="s">
        <v>256</v>
      </c>
      <c r="W252" s="14" t="s">
        <v>257</v>
      </c>
      <c r="X252" s="14" t="s">
        <v>239</v>
      </c>
      <c r="Y252" s="15" t="n">
        <v>405712</v>
      </c>
      <c r="Z252" s="15" t="n">
        <v>12883</v>
      </c>
      <c r="AA252" s="14" t="n">
        <v>301</v>
      </c>
      <c r="AB252" s="14"/>
      <c r="AC252" s="17" t="n">
        <v>0.0324959577237055</v>
      </c>
      <c r="AD252" s="18" t="n">
        <v>27.58</v>
      </c>
      <c r="AE252" s="18" t="n">
        <f aca="false">IF(AD252="","",MIN(AD252,100))</f>
        <v>27.58</v>
      </c>
      <c r="AF252" s="14" t="n">
        <v>95.9</v>
      </c>
      <c r="AG252" s="14" t="s">
        <v>224</v>
      </c>
      <c r="AH252" s="14" t="n">
        <v>7</v>
      </c>
      <c r="AI252" s="14" t="s">
        <v>224</v>
      </c>
      <c r="AJ252" s="14" t="s">
        <v>224</v>
      </c>
      <c r="AK252" s="14" t="s">
        <v>240</v>
      </c>
      <c r="AL252" s="19" t="n">
        <f aca="false">ROUND('Start Here'!$B$29*AH252+'Start Here'!$B$30*MIN(IF(AD252="",0,AD252),50)/5+IF(M252&lt;=30000,'Start Here'!$B$31,IF(M252&lt;=60000,'Start Here'!$B$32,0)),1)</f>
        <v>5.2</v>
      </c>
      <c r="AM252" s="6" t="s">
        <v>534</v>
      </c>
      <c r="AN252" s="6" t="s">
        <v>1804</v>
      </c>
      <c r="AO252" s="6" t="s">
        <v>2462</v>
      </c>
      <c r="AP252" s="14" t="s">
        <v>2463</v>
      </c>
      <c r="AQ252" s="14" t="s">
        <v>294</v>
      </c>
      <c r="AR252" s="20" t="s">
        <v>246</v>
      </c>
      <c r="AS252" s="20"/>
    </row>
    <row r="253" customFormat="false" ht="60" hidden="false" customHeight="true" outlineLevel="0" collapsed="false">
      <c r="A253" s="14" t="n">
        <v>252</v>
      </c>
      <c r="B253" s="14" t="s">
        <v>247</v>
      </c>
      <c r="C253" s="14" t="s">
        <v>221</v>
      </c>
      <c r="D253" s="14" t="s">
        <v>443</v>
      </c>
      <c r="E253" s="14" t="s">
        <v>34</v>
      </c>
      <c r="F253" s="14" t="s">
        <v>223</v>
      </c>
      <c r="G253" s="14" t="s">
        <v>224</v>
      </c>
      <c r="H253" s="14" t="s">
        <v>223</v>
      </c>
      <c r="I253" s="14" t="s">
        <v>338</v>
      </c>
      <c r="J253" s="14" t="s">
        <v>834</v>
      </c>
      <c r="K253" s="14" t="s">
        <v>2464</v>
      </c>
      <c r="L253" s="14" t="s">
        <v>2465</v>
      </c>
      <c r="M253" s="15" t="n">
        <v>32900</v>
      </c>
      <c r="N253" s="14" t="s">
        <v>462</v>
      </c>
      <c r="O253" s="14" t="s">
        <v>447</v>
      </c>
      <c r="P253" s="16" t="s">
        <v>2466</v>
      </c>
      <c r="Q253" s="6" t="s">
        <v>2467</v>
      </c>
      <c r="R253" s="6" t="s">
        <v>2468</v>
      </c>
      <c r="S253" s="14" t="s">
        <v>255</v>
      </c>
      <c r="T253" s="14" t="s">
        <v>235</v>
      </c>
      <c r="U253" s="14" t="s">
        <v>236</v>
      </c>
      <c r="V253" s="14" t="s">
        <v>2469</v>
      </c>
      <c r="W253" s="14" t="s">
        <v>452</v>
      </c>
      <c r="X253" s="14"/>
      <c r="Y253" s="15" t="n">
        <v>1000000</v>
      </c>
      <c r="Z253" s="15"/>
      <c r="AA253" s="14"/>
      <c r="AB253" s="14"/>
      <c r="AC253" s="17"/>
      <c r="AD253" s="18" t="n">
        <v>27.3</v>
      </c>
      <c r="AE253" s="18" t="n">
        <f aca="false">IF(AD253="","",MIN(AD253,100))</f>
        <v>27.3</v>
      </c>
      <c r="AF253" s="14"/>
      <c r="AG253" s="14" t="s">
        <v>224</v>
      </c>
      <c r="AH253" s="14" t="n">
        <v>5</v>
      </c>
      <c r="AI253" s="14" t="s">
        <v>224</v>
      </c>
      <c r="AJ253" s="14" t="s">
        <v>224</v>
      </c>
      <c r="AK253" s="14" t="s">
        <v>240</v>
      </c>
      <c r="AL253" s="19" t="n">
        <f aca="false">ROUND('Start Here'!$B$29*AH253+'Start Here'!$B$30*MIN(IF(AD253="",0,AD253),50)/5+IF(M253&lt;=30000,'Start Here'!$B$31,IF(M253&lt;=60000,'Start Here'!$B$32,0)),1)</f>
        <v>5.1</v>
      </c>
      <c r="AM253" s="6" t="s">
        <v>2470</v>
      </c>
      <c r="AN253" s="6" t="s">
        <v>2227</v>
      </c>
      <c r="AO253" s="6" t="s">
        <v>2471</v>
      </c>
      <c r="AP253" s="14" t="s">
        <v>922</v>
      </c>
      <c r="AQ253" s="14" t="s">
        <v>747</v>
      </c>
      <c r="AR253" s="20" t="s">
        <v>246</v>
      </c>
      <c r="AS253" s="20"/>
    </row>
    <row r="254" customFormat="false" ht="60" hidden="false" customHeight="true" outlineLevel="0" collapsed="false">
      <c r="A254" s="14" t="n">
        <v>253</v>
      </c>
      <c r="B254" s="14" t="s">
        <v>247</v>
      </c>
      <c r="C254" s="14" t="s">
        <v>221</v>
      </c>
      <c r="D254" s="14" t="s">
        <v>222</v>
      </c>
      <c r="E254" s="14" t="s">
        <v>34</v>
      </c>
      <c r="F254" s="14" t="s">
        <v>223</v>
      </c>
      <c r="G254" s="14" t="s">
        <v>224</v>
      </c>
      <c r="H254" s="14" t="s">
        <v>224</v>
      </c>
      <c r="I254" s="14" t="s">
        <v>322</v>
      </c>
      <c r="J254" s="14" t="s">
        <v>889</v>
      </c>
      <c r="K254" s="14" t="s">
        <v>2472</v>
      </c>
      <c r="L254" s="14" t="s">
        <v>2473</v>
      </c>
      <c r="M254" s="15" t="n">
        <v>78979</v>
      </c>
      <c r="N254" s="14" t="s">
        <v>400</v>
      </c>
      <c r="O254" s="14" t="s">
        <v>1748</v>
      </c>
      <c r="P254" s="16" t="s">
        <v>2474</v>
      </c>
      <c r="Q254" s="6" t="s">
        <v>2475</v>
      </c>
      <c r="R254" s="6" t="s">
        <v>2476</v>
      </c>
      <c r="S254" s="14" t="s">
        <v>255</v>
      </c>
      <c r="T254" s="14" t="s">
        <v>235</v>
      </c>
      <c r="U254" s="14" t="s">
        <v>236</v>
      </c>
      <c r="V254" s="14" t="s">
        <v>256</v>
      </c>
      <c r="W254" s="14" t="s">
        <v>238</v>
      </c>
      <c r="X254" s="14" t="s">
        <v>546</v>
      </c>
      <c r="Y254" s="15" t="n">
        <v>139647</v>
      </c>
      <c r="Z254" s="15" t="n">
        <v>630</v>
      </c>
      <c r="AA254" s="14" t="n">
        <v>17</v>
      </c>
      <c r="AB254" s="14"/>
      <c r="AC254" s="17" t="n">
        <v>0.00463311062894298</v>
      </c>
      <c r="AD254" s="18" t="n">
        <v>43.95</v>
      </c>
      <c r="AE254" s="18" t="n">
        <f aca="false">IF(AD254="","",MIN(AD254,100))</f>
        <v>43.95</v>
      </c>
      <c r="AF254" s="14" t="n">
        <v>98.4</v>
      </c>
      <c r="AG254" s="14" t="s">
        <v>224</v>
      </c>
      <c r="AH254" s="14" t="n">
        <v>5</v>
      </c>
      <c r="AI254" s="14" t="s">
        <v>224</v>
      </c>
      <c r="AJ254" s="14" t="s">
        <v>224</v>
      </c>
      <c r="AK254" s="14" t="s">
        <v>240</v>
      </c>
      <c r="AL254" s="19" t="n">
        <f aca="false">ROUND('Start Here'!$B$29*AH254+'Start Here'!$B$30*MIN(IF(AD254="",0,AD254),50)/5+IF(M254&lt;=30000,'Start Here'!$B$31,IF(M254&lt;=60000,'Start Here'!$B$32,0)),1)</f>
        <v>5.1</v>
      </c>
      <c r="AM254" s="6" t="s">
        <v>534</v>
      </c>
      <c r="AN254" s="6" t="s">
        <v>1504</v>
      </c>
      <c r="AO254" s="6" t="s">
        <v>2477</v>
      </c>
      <c r="AP254" s="14" t="s">
        <v>2478</v>
      </c>
      <c r="AQ254" s="14" t="s">
        <v>307</v>
      </c>
      <c r="AR254" s="20" t="s">
        <v>246</v>
      </c>
      <c r="AS254" s="20"/>
    </row>
    <row r="255" customFormat="false" ht="60" hidden="false" customHeight="true" outlineLevel="0" collapsed="false">
      <c r="A255" s="14" t="n">
        <v>254</v>
      </c>
      <c r="B255" s="14" t="s">
        <v>374</v>
      </c>
      <c r="C255" s="14" t="s">
        <v>221</v>
      </c>
      <c r="D255" s="14" t="s">
        <v>222</v>
      </c>
      <c r="E255" s="14" t="s">
        <v>34</v>
      </c>
      <c r="F255" s="14" t="s">
        <v>223</v>
      </c>
      <c r="G255" s="14" t="s">
        <v>224</v>
      </c>
      <c r="H255" s="14" t="s">
        <v>223</v>
      </c>
      <c r="I255" s="14" t="s">
        <v>225</v>
      </c>
      <c r="J255" s="14" t="s">
        <v>586</v>
      </c>
      <c r="K255" s="14" t="s">
        <v>2479</v>
      </c>
      <c r="L255" s="14" t="s">
        <v>2480</v>
      </c>
      <c r="M255" s="15" t="n">
        <v>70814</v>
      </c>
      <c r="N255" s="14" t="s">
        <v>400</v>
      </c>
      <c r="O255" s="14" t="s">
        <v>1074</v>
      </c>
      <c r="P255" s="16" t="s">
        <v>2481</v>
      </c>
      <c r="Q255" s="6" t="s">
        <v>2482</v>
      </c>
      <c r="R255" s="6" t="s">
        <v>2483</v>
      </c>
      <c r="S255" s="14" t="s">
        <v>255</v>
      </c>
      <c r="T255" s="14" t="s">
        <v>235</v>
      </c>
      <c r="U255" s="14" t="s">
        <v>236</v>
      </c>
      <c r="V255" s="14" t="s">
        <v>237</v>
      </c>
      <c r="W255" s="14" t="s">
        <v>238</v>
      </c>
      <c r="X255" s="14" t="s">
        <v>333</v>
      </c>
      <c r="Y255" s="15"/>
      <c r="Z255" s="15" t="n">
        <v>2036</v>
      </c>
      <c r="AA255" s="14" t="n">
        <v>53</v>
      </c>
      <c r="AB255" s="14" t="n">
        <v>91</v>
      </c>
      <c r="AC255" s="17" t="n">
        <v>0.0307844383252136</v>
      </c>
      <c r="AD255" s="18" t="n">
        <v>35.41</v>
      </c>
      <c r="AE255" s="18" t="n">
        <f aca="false">IF(AD255="","",MIN(AD255,100))</f>
        <v>35.41</v>
      </c>
      <c r="AF255" s="14" t="n">
        <v>99.8</v>
      </c>
      <c r="AG255" s="14" t="s">
        <v>224</v>
      </c>
      <c r="AH255" s="14" t="n">
        <v>6</v>
      </c>
      <c r="AI255" s="14" t="s">
        <v>224</v>
      </c>
      <c r="AJ255" s="14" t="s">
        <v>224</v>
      </c>
      <c r="AK255" s="14" t="s">
        <v>240</v>
      </c>
      <c r="AL255" s="19" t="n">
        <f aca="false">ROUND('Start Here'!$B$29*AH255+'Start Here'!$B$30*MIN(IF(AD255="",0,AD255),50)/5+IF(M255&lt;=30000,'Start Here'!$B$31,IF(M255&lt;=60000,'Start Here'!$B$32,0)),1)</f>
        <v>5.1</v>
      </c>
      <c r="AM255" s="6" t="s">
        <v>534</v>
      </c>
      <c r="AN255" s="6" t="s">
        <v>674</v>
      </c>
      <c r="AO255" s="6" t="s">
        <v>2484</v>
      </c>
      <c r="AP255" s="14" t="s">
        <v>2485</v>
      </c>
      <c r="AQ255" s="14" t="s">
        <v>1184</v>
      </c>
      <c r="AR255" s="20" t="s">
        <v>246</v>
      </c>
      <c r="AS255" s="20"/>
    </row>
    <row r="256" customFormat="false" ht="60" hidden="false" customHeight="true" outlineLevel="0" collapsed="false">
      <c r="A256" s="14" t="n">
        <v>255</v>
      </c>
      <c r="B256" s="14" t="s">
        <v>374</v>
      </c>
      <c r="C256" s="14" t="s">
        <v>221</v>
      </c>
      <c r="D256" s="14" t="s">
        <v>222</v>
      </c>
      <c r="E256" s="14" t="s">
        <v>40</v>
      </c>
      <c r="F256" s="14" t="s">
        <v>224</v>
      </c>
      <c r="G256" s="14" t="s">
        <v>224</v>
      </c>
      <c r="H256" s="14" t="s">
        <v>224</v>
      </c>
      <c r="I256" s="14" t="s">
        <v>586</v>
      </c>
      <c r="J256" s="14" t="s">
        <v>606</v>
      </c>
      <c r="K256" s="14" t="s">
        <v>2486</v>
      </c>
      <c r="L256" s="14" t="s">
        <v>2487</v>
      </c>
      <c r="M256" s="15" t="n">
        <v>70517</v>
      </c>
      <c r="N256" s="14" t="s">
        <v>400</v>
      </c>
      <c r="O256" s="14" t="s">
        <v>2153</v>
      </c>
      <c r="P256" s="16" t="s">
        <v>2488</v>
      </c>
      <c r="Q256" s="6" t="s">
        <v>2489</v>
      </c>
      <c r="R256" s="6" t="s">
        <v>2490</v>
      </c>
      <c r="S256" s="14" t="s">
        <v>255</v>
      </c>
      <c r="T256" s="14" t="s">
        <v>235</v>
      </c>
      <c r="U256" s="14" t="s">
        <v>236</v>
      </c>
      <c r="V256" s="14" t="s">
        <v>331</v>
      </c>
      <c r="W256" s="14" t="s">
        <v>332</v>
      </c>
      <c r="X256" s="14" t="s">
        <v>333</v>
      </c>
      <c r="Y256" s="15"/>
      <c r="Z256" s="15" t="n">
        <v>769</v>
      </c>
      <c r="AA256" s="14" t="n">
        <v>37</v>
      </c>
      <c r="AB256" s="14" t="n">
        <v>4</v>
      </c>
      <c r="AC256" s="17" t="n">
        <v>0.0114865918856446</v>
      </c>
      <c r="AD256" s="18" t="n">
        <v>1.8</v>
      </c>
      <c r="AE256" s="18" t="n">
        <f aca="false">IF(AD256="","",MIN(AD256,100))</f>
        <v>1.8</v>
      </c>
      <c r="AF256" s="14" t="n">
        <v>99.3</v>
      </c>
      <c r="AG256" s="14" t="s">
        <v>224</v>
      </c>
      <c r="AH256" s="14" t="n">
        <v>10</v>
      </c>
      <c r="AI256" s="14" t="s">
        <v>224</v>
      </c>
      <c r="AJ256" s="14" t="s">
        <v>224</v>
      </c>
      <c r="AK256" s="14" t="s">
        <v>240</v>
      </c>
      <c r="AL256" s="19" t="n">
        <f aca="false">ROUND('Start Here'!$B$29*AH256+'Start Here'!$B$30*MIN(IF(AD256="",0,AD256),50)/5+IF(M256&lt;=30000,'Start Here'!$B$31,IF(M256&lt;=60000,'Start Here'!$B$32,0)),1)</f>
        <v>5.1</v>
      </c>
      <c r="AM256" s="6" t="s">
        <v>534</v>
      </c>
      <c r="AN256" s="6" t="s">
        <v>1428</v>
      </c>
      <c r="AO256" s="6" t="s">
        <v>2491</v>
      </c>
      <c r="AP256" s="14" t="s">
        <v>2492</v>
      </c>
      <c r="AQ256" s="14" t="s">
        <v>1184</v>
      </c>
      <c r="AR256" s="20" t="s">
        <v>246</v>
      </c>
      <c r="AS256" s="20"/>
    </row>
    <row r="257" customFormat="false" ht="60" hidden="false" customHeight="true" outlineLevel="0" collapsed="false">
      <c r="A257" s="14" t="n">
        <v>256</v>
      </c>
      <c r="B257" s="14" t="s">
        <v>247</v>
      </c>
      <c r="C257" s="14" t="s">
        <v>221</v>
      </c>
      <c r="D257" s="14" t="s">
        <v>443</v>
      </c>
      <c r="E257" s="14" t="s">
        <v>34</v>
      </c>
      <c r="F257" s="14" t="s">
        <v>223</v>
      </c>
      <c r="G257" s="14" t="s">
        <v>224</v>
      </c>
      <c r="H257" s="14" t="s">
        <v>223</v>
      </c>
      <c r="I257" s="14" t="s">
        <v>635</v>
      </c>
      <c r="J257" s="14" t="s">
        <v>1250</v>
      </c>
      <c r="K257" s="14" t="s">
        <v>2493</v>
      </c>
      <c r="L257" s="14" t="s">
        <v>2494</v>
      </c>
      <c r="M257" s="15" t="n">
        <v>35000</v>
      </c>
      <c r="N257" s="14" t="s">
        <v>462</v>
      </c>
      <c r="O257" s="14" t="s">
        <v>447</v>
      </c>
      <c r="P257" s="16" t="s">
        <v>2495</v>
      </c>
      <c r="Q257" s="6" t="s">
        <v>2496</v>
      </c>
      <c r="R257" s="6" t="s">
        <v>2497</v>
      </c>
      <c r="S257" s="14" t="s">
        <v>255</v>
      </c>
      <c r="T257" s="14" t="s">
        <v>235</v>
      </c>
      <c r="U257" s="14" t="s">
        <v>236</v>
      </c>
      <c r="V257" s="14" t="s">
        <v>1256</v>
      </c>
      <c r="W257" s="14" t="s">
        <v>452</v>
      </c>
      <c r="X257" s="14"/>
      <c r="Y257" s="15" t="n">
        <v>1400000</v>
      </c>
      <c r="Z257" s="15"/>
      <c r="AA257" s="14"/>
      <c r="AB257" s="14"/>
      <c r="AC257" s="17"/>
      <c r="AD257" s="18" t="n">
        <v>43.4</v>
      </c>
      <c r="AE257" s="18" t="n">
        <f aca="false">IF(AD257="","",MIN(AD257,100))</f>
        <v>43.4</v>
      </c>
      <c r="AF257" s="14"/>
      <c r="AG257" s="14" t="s">
        <v>224</v>
      </c>
      <c r="AH257" s="14" t="n">
        <v>3</v>
      </c>
      <c r="AI257" s="14" t="s">
        <v>224</v>
      </c>
      <c r="AJ257" s="14" t="s">
        <v>224</v>
      </c>
      <c r="AK257" s="14" t="s">
        <v>240</v>
      </c>
      <c r="AL257" s="19" t="n">
        <f aca="false">ROUND('Start Here'!$B$29*AH257+'Start Here'!$B$30*MIN(IF(AD257="",0,AD257),50)/5+IF(M257&lt;=30000,'Start Here'!$B$31,IF(M257&lt;=60000,'Start Here'!$B$32,0)),1)</f>
        <v>5.1</v>
      </c>
      <c r="AM257" s="6" t="s">
        <v>2498</v>
      </c>
      <c r="AN257" s="6" t="s">
        <v>2066</v>
      </c>
      <c r="AO257" s="6" t="s">
        <v>2499</v>
      </c>
      <c r="AP257" s="14" t="s">
        <v>922</v>
      </c>
      <c r="AQ257" s="14" t="s">
        <v>747</v>
      </c>
      <c r="AR257" s="20" t="s">
        <v>246</v>
      </c>
      <c r="AS257" s="20"/>
    </row>
    <row r="258" customFormat="false" ht="60" hidden="false" customHeight="true" outlineLevel="0" collapsed="false">
      <c r="A258" s="14" t="n">
        <v>257</v>
      </c>
      <c r="B258" s="14" t="s">
        <v>374</v>
      </c>
      <c r="C258" s="14" t="s">
        <v>221</v>
      </c>
      <c r="D258" s="14" t="s">
        <v>222</v>
      </c>
      <c r="E258" s="14" t="s">
        <v>40</v>
      </c>
      <c r="F258" s="14" t="s">
        <v>224</v>
      </c>
      <c r="G258" s="14" t="s">
        <v>224</v>
      </c>
      <c r="H258" s="14" t="s">
        <v>224</v>
      </c>
      <c r="I258" s="14" t="s">
        <v>225</v>
      </c>
      <c r="J258" s="14" t="s">
        <v>1061</v>
      </c>
      <c r="K258" s="14" t="s">
        <v>2500</v>
      </c>
      <c r="L258" s="14" t="s">
        <v>2501</v>
      </c>
      <c r="M258" s="15" t="n">
        <v>51976</v>
      </c>
      <c r="N258" s="14" t="s">
        <v>400</v>
      </c>
      <c r="O258" s="14" t="s">
        <v>486</v>
      </c>
      <c r="P258" s="16" t="s">
        <v>2502</v>
      </c>
      <c r="Q258" s="6" t="s">
        <v>2503</v>
      </c>
      <c r="R258" s="6" t="s">
        <v>2504</v>
      </c>
      <c r="S258" s="14" t="s">
        <v>255</v>
      </c>
      <c r="T258" s="14" t="s">
        <v>235</v>
      </c>
      <c r="U258" s="14" t="s">
        <v>236</v>
      </c>
      <c r="V258" s="14" t="s">
        <v>237</v>
      </c>
      <c r="W258" s="14" t="s">
        <v>687</v>
      </c>
      <c r="X258" s="14" t="s">
        <v>239</v>
      </c>
      <c r="Y258" s="15"/>
      <c r="Z258" s="15" t="n">
        <v>70</v>
      </c>
      <c r="AA258" s="14" t="n">
        <v>46</v>
      </c>
      <c r="AB258" s="14" t="n">
        <v>9</v>
      </c>
      <c r="AC258" s="17" t="n">
        <v>0.00263618533437375</v>
      </c>
      <c r="AD258" s="18" t="n">
        <v>1.58</v>
      </c>
      <c r="AE258" s="18" t="n">
        <f aca="false">IF(AD258="","",MIN(AD258,100))</f>
        <v>1.58</v>
      </c>
      <c r="AF258" s="14" t="n">
        <v>85.3</v>
      </c>
      <c r="AG258" s="14" t="s">
        <v>224</v>
      </c>
      <c r="AH258" s="14" t="n">
        <v>8</v>
      </c>
      <c r="AI258" s="14" t="s">
        <v>224</v>
      </c>
      <c r="AJ258" s="14" t="s">
        <v>224</v>
      </c>
      <c r="AK258" s="14" t="s">
        <v>240</v>
      </c>
      <c r="AL258" s="19" t="n">
        <f aca="false">ROUND('Start Here'!$B$29*AH258+'Start Here'!$B$30*MIN(IF(AD258="",0,AD258),50)/5+IF(M258&lt;=30000,'Start Here'!$B$31,IF(M258&lt;=60000,'Start Here'!$B$32,0)),1)</f>
        <v>5.1</v>
      </c>
      <c r="AM258" s="6" t="s">
        <v>491</v>
      </c>
      <c r="AN258" s="6" t="s">
        <v>674</v>
      </c>
      <c r="AO258" s="6" t="s">
        <v>2505</v>
      </c>
      <c r="AP258" s="14" t="s">
        <v>2506</v>
      </c>
      <c r="AQ258" s="14" t="s">
        <v>1184</v>
      </c>
      <c r="AR258" s="20" t="s">
        <v>246</v>
      </c>
      <c r="AS258" s="20"/>
    </row>
    <row r="259" customFormat="false" ht="60" hidden="false" customHeight="true" outlineLevel="0" collapsed="false">
      <c r="A259" s="14" t="n">
        <v>258</v>
      </c>
      <c r="B259" s="14" t="s">
        <v>220</v>
      </c>
      <c r="C259" s="14" t="s">
        <v>221</v>
      </c>
      <c r="D259" s="14" t="s">
        <v>222</v>
      </c>
      <c r="E259" s="14" t="s">
        <v>36</v>
      </c>
      <c r="F259" s="14" t="s">
        <v>224</v>
      </c>
      <c r="G259" s="14" t="s">
        <v>223</v>
      </c>
      <c r="H259" s="14" t="s">
        <v>224</v>
      </c>
      <c r="I259" s="14" t="s">
        <v>375</v>
      </c>
      <c r="J259" s="14" t="s">
        <v>924</v>
      </c>
      <c r="K259" s="14" t="s">
        <v>2507</v>
      </c>
      <c r="L259" s="14" t="s">
        <v>2508</v>
      </c>
      <c r="M259" s="15" t="n">
        <v>8192</v>
      </c>
      <c r="N259" s="14" t="s">
        <v>283</v>
      </c>
      <c r="O259" s="14" t="s">
        <v>411</v>
      </c>
      <c r="P259" s="16" t="s">
        <v>2509</v>
      </c>
      <c r="Q259" s="6" t="s">
        <v>2510</v>
      </c>
      <c r="R259" s="6" t="s">
        <v>2511</v>
      </c>
      <c r="S259" s="14" t="s">
        <v>255</v>
      </c>
      <c r="T259" s="14" t="s">
        <v>235</v>
      </c>
      <c r="U259" s="14" t="s">
        <v>236</v>
      </c>
      <c r="V259" s="14" t="s">
        <v>725</v>
      </c>
      <c r="W259" s="14"/>
      <c r="X259" s="14"/>
      <c r="Y259" s="15" t="n">
        <v>36955</v>
      </c>
      <c r="Z259" s="15" t="n">
        <v>380</v>
      </c>
      <c r="AA259" s="14" t="n">
        <v>82</v>
      </c>
      <c r="AB259" s="14" t="n">
        <v>27</v>
      </c>
      <c r="AC259" s="17" t="n">
        <v>0.013232309565688</v>
      </c>
      <c r="AD259" s="18" t="n">
        <v>9.86</v>
      </c>
      <c r="AE259" s="18" t="n">
        <f aca="false">IF(AD259="","",MIN(AD259,100))</f>
        <v>9.86</v>
      </c>
      <c r="AF259" s="14" t="n">
        <v>99</v>
      </c>
      <c r="AG259" s="14" t="s">
        <v>224</v>
      </c>
      <c r="AH259" s="14" t="n">
        <v>5</v>
      </c>
      <c r="AI259" s="14" t="s">
        <v>224</v>
      </c>
      <c r="AJ259" s="14" t="s">
        <v>224</v>
      </c>
      <c r="AK259" s="14" t="s">
        <v>240</v>
      </c>
      <c r="AL259" s="19" t="n">
        <f aca="false">ROUND('Start Here'!$B$29*AH259+'Start Here'!$B$30*MIN(IF(AD259="",0,AD259),50)/5+IF(M259&lt;=30000,'Start Here'!$B$31,IF(M259&lt;=60000,'Start Here'!$B$32,0)),1)</f>
        <v>5.1</v>
      </c>
      <c r="AM259" s="6" t="s">
        <v>534</v>
      </c>
      <c r="AN259" s="6" t="s">
        <v>2512</v>
      </c>
      <c r="AO259" s="6"/>
      <c r="AP259" s="14"/>
      <c r="AQ259" s="14" t="s">
        <v>386</v>
      </c>
      <c r="AR259" s="20" t="s">
        <v>246</v>
      </c>
      <c r="AS259" s="20"/>
    </row>
    <row r="260" customFormat="false" ht="60" hidden="false" customHeight="true" outlineLevel="0" collapsed="false">
      <c r="A260" s="14" t="n">
        <v>259</v>
      </c>
      <c r="B260" s="14" t="s">
        <v>247</v>
      </c>
      <c r="C260" s="14" t="s">
        <v>221</v>
      </c>
      <c r="D260" s="14" t="s">
        <v>222</v>
      </c>
      <c r="E260" s="14" t="s">
        <v>40</v>
      </c>
      <c r="F260" s="14" t="s">
        <v>224</v>
      </c>
      <c r="G260" s="14" t="s">
        <v>224</v>
      </c>
      <c r="H260" s="14" t="s">
        <v>224</v>
      </c>
      <c r="I260" s="14" t="s">
        <v>322</v>
      </c>
      <c r="J260" s="14" t="s">
        <v>518</v>
      </c>
      <c r="K260" s="14" t="s">
        <v>460</v>
      </c>
      <c r="L260" s="14" t="s">
        <v>461</v>
      </c>
      <c r="M260" s="15" t="n">
        <v>46241</v>
      </c>
      <c r="N260" s="14" t="s">
        <v>462</v>
      </c>
      <c r="O260" s="14" t="s">
        <v>955</v>
      </c>
      <c r="P260" s="16" t="s">
        <v>2513</v>
      </c>
      <c r="Q260" s="6" t="s">
        <v>2514</v>
      </c>
      <c r="R260" s="6" t="s">
        <v>2515</v>
      </c>
      <c r="S260" s="14" t="s">
        <v>234</v>
      </c>
      <c r="T260" s="14" t="s">
        <v>235</v>
      </c>
      <c r="U260" s="14" t="s">
        <v>346</v>
      </c>
      <c r="V260" s="14" t="s">
        <v>256</v>
      </c>
      <c r="W260" s="14" t="s">
        <v>257</v>
      </c>
      <c r="X260" s="14" t="s">
        <v>239</v>
      </c>
      <c r="Y260" s="15" t="n">
        <v>16721</v>
      </c>
      <c r="Z260" s="15" t="n">
        <v>255</v>
      </c>
      <c r="AA260" s="14" t="n">
        <v>3</v>
      </c>
      <c r="AB260" s="14"/>
      <c r="AC260" s="17" t="n">
        <v>0.015429699180671</v>
      </c>
      <c r="AD260" s="18" t="n">
        <v>9.39</v>
      </c>
      <c r="AE260" s="18" t="n">
        <f aca="false">IF(AD260="","",MIN(AD260,100))</f>
        <v>9.39</v>
      </c>
      <c r="AF260" s="14" t="n">
        <v>93.7</v>
      </c>
      <c r="AG260" s="14" t="s">
        <v>224</v>
      </c>
      <c r="AH260" s="14" t="n">
        <v>7</v>
      </c>
      <c r="AI260" s="14" t="s">
        <v>224</v>
      </c>
      <c r="AJ260" s="14" t="s">
        <v>224</v>
      </c>
      <c r="AK260" s="14" t="s">
        <v>240</v>
      </c>
      <c r="AL260" s="19" t="n">
        <f aca="false">ROUND('Start Here'!$B$29*AH260+'Start Here'!$B$30*MIN(IF(AD260="",0,AD260),50)/5+IF(M260&lt;=30000,'Start Here'!$B$31,IF(M260&lt;=60000,'Start Here'!$B$32,0)),1)</f>
        <v>5.1</v>
      </c>
      <c r="AM260" s="6" t="s">
        <v>958</v>
      </c>
      <c r="AN260" s="6" t="s">
        <v>1945</v>
      </c>
      <c r="AO260" s="6" t="s">
        <v>2516</v>
      </c>
      <c r="AP260" s="14" t="s">
        <v>2517</v>
      </c>
      <c r="AQ260" s="14" t="s">
        <v>386</v>
      </c>
      <c r="AR260" s="20" t="s">
        <v>246</v>
      </c>
      <c r="AS260" s="20"/>
    </row>
    <row r="261" customFormat="false" ht="60" hidden="false" customHeight="true" outlineLevel="0" collapsed="false">
      <c r="A261" s="14" t="n">
        <v>260</v>
      </c>
      <c r="B261" s="14" t="s">
        <v>374</v>
      </c>
      <c r="C261" s="14" t="s">
        <v>221</v>
      </c>
      <c r="D261" s="14" t="s">
        <v>222</v>
      </c>
      <c r="E261" s="14" t="s">
        <v>36</v>
      </c>
      <c r="F261" s="14" t="s">
        <v>224</v>
      </c>
      <c r="G261" s="14" t="s">
        <v>223</v>
      </c>
      <c r="H261" s="14" t="s">
        <v>224</v>
      </c>
      <c r="I261" s="14" t="s">
        <v>225</v>
      </c>
      <c r="J261" s="14" t="s">
        <v>322</v>
      </c>
      <c r="K261" s="14" t="s">
        <v>2518</v>
      </c>
      <c r="L261" s="14" t="s">
        <v>2519</v>
      </c>
      <c r="M261" s="15" t="n">
        <v>8026</v>
      </c>
      <c r="N261" s="14" t="s">
        <v>283</v>
      </c>
      <c r="O261" s="14" t="s">
        <v>2451</v>
      </c>
      <c r="P261" s="16" t="s">
        <v>2520</v>
      </c>
      <c r="Q261" s="6" t="s">
        <v>2521</v>
      </c>
      <c r="R261" s="6" t="s">
        <v>2522</v>
      </c>
      <c r="S261" s="14" t="s">
        <v>234</v>
      </c>
      <c r="T261" s="14" t="s">
        <v>235</v>
      </c>
      <c r="U261" s="14" t="s">
        <v>236</v>
      </c>
      <c r="V261" s="14" t="s">
        <v>383</v>
      </c>
      <c r="W261" s="14"/>
      <c r="X261" s="14"/>
      <c r="Y261" s="15"/>
      <c r="Z261" s="15" t="n">
        <v>779</v>
      </c>
      <c r="AA261" s="14" t="n">
        <v>138</v>
      </c>
      <c r="AB261" s="14" t="n">
        <v>11</v>
      </c>
      <c r="AC261" s="17" t="n">
        <v>0.115624221280837</v>
      </c>
      <c r="AD261" s="18" t="n">
        <v>9.33</v>
      </c>
      <c r="AE261" s="18" t="n">
        <f aca="false">IF(AD261="","",MIN(AD261,100))</f>
        <v>9.33</v>
      </c>
      <c r="AF261" s="14" t="n">
        <v>99.6</v>
      </c>
      <c r="AG261" s="14" t="s">
        <v>224</v>
      </c>
      <c r="AH261" s="14" t="n">
        <v>5</v>
      </c>
      <c r="AI261" s="14" t="s">
        <v>224</v>
      </c>
      <c r="AJ261" s="14" t="s">
        <v>224</v>
      </c>
      <c r="AK261" s="14" t="s">
        <v>240</v>
      </c>
      <c r="AL261" s="19" t="n">
        <f aca="false">ROUND('Start Here'!$B$29*AH261+'Start Here'!$B$30*MIN(IF(AD261="",0,AD261),50)/5+IF(M261&lt;=30000,'Start Here'!$B$31,IF(M261&lt;=60000,'Start Here'!$B$32,0)),1)</f>
        <v>5.1</v>
      </c>
      <c r="AM261" s="6" t="s">
        <v>958</v>
      </c>
      <c r="AN261" s="6" t="s">
        <v>242</v>
      </c>
      <c r="AO261" s="6"/>
      <c r="AP261" s="14"/>
      <c r="AQ261" s="14" t="s">
        <v>1310</v>
      </c>
      <c r="AR261" s="20" t="s">
        <v>246</v>
      </c>
      <c r="AS261" s="20"/>
    </row>
    <row r="262" customFormat="false" ht="60" hidden="false" customHeight="true" outlineLevel="0" collapsed="false">
      <c r="A262" s="14" t="n">
        <v>261</v>
      </c>
      <c r="B262" s="14" t="s">
        <v>374</v>
      </c>
      <c r="C262" s="14" t="s">
        <v>221</v>
      </c>
      <c r="D262" s="14" t="s">
        <v>222</v>
      </c>
      <c r="E262" s="14" t="s">
        <v>34</v>
      </c>
      <c r="F262" s="14" t="s">
        <v>223</v>
      </c>
      <c r="G262" s="14" t="s">
        <v>224</v>
      </c>
      <c r="H262" s="14" t="s">
        <v>223</v>
      </c>
      <c r="I262" s="14" t="s">
        <v>225</v>
      </c>
      <c r="J262" s="14" t="s">
        <v>2523</v>
      </c>
      <c r="K262" s="14" t="s">
        <v>2007</v>
      </c>
      <c r="L262" s="14" t="s">
        <v>2008</v>
      </c>
      <c r="M262" s="15" t="n">
        <v>100285</v>
      </c>
      <c r="N262" s="14" t="s">
        <v>2009</v>
      </c>
      <c r="O262" s="14" t="s">
        <v>2028</v>
      </c>
      <c r="P262" s="16" t="s">
        <v>2524</v>
      </c>
      <c r="Q262" s="6" t="s">
        <v>2525</v>
      </c>
      <c r="R262" s="6" t="s">
        <v>2526</v>
      </c>
      <c r="S262" s="14" t="s">
        <v>513</v>
      </c>
      <c r="T262" s="14" t="s">
        <v>235</v>
      </c>
      <c r="U262" s="14" t="s">
        <v>236</v>
      </c>
      <c r="V262" s="14" t="s">
        <v>331</v>
      </c>
      <c r="W262" s="14" t="s">
        <v>275</v>
      </c>
      <c r="X262" s="14" t="s">
        <v>239</v>
      </c>
      <c r="Y262" s="15"/>
      <c r="Z262" s="15" t="n">
        <v>1278</v>
      </c>
      <c r="AA262" s="14" t="n">
        <v>3717</v>
      </c>
      <c r="AB262" s="14" t="n">
        <v>42</v>
      </c>
      <c r="AC262" s="17" t="n">
        <v>0.0506109079217073</v>
      </c>
      <c r="AD262" s="18" t="n">
        <v>26.81</v>
      </c>
      <c r="AE262" s="18" t="n">
        <f aca="false">IF(AD262="","",MIN(AD262,100))</f>
        <v>26.81</v>
      </c>
      <c r="AF262" s="14" t="n">
        <v>99.3</v>
      </c>
      <c r="AG262" s="14" t="s">
        <v>224</v>
      </c>
      <c r="AH262" s="14" t="n">
        <v>6.9</v>
      </c>
      <c r="AI262" s="14" t="s">
        <v>223</v>
      </c>
      <c r="AJ262" s="14" t="s">
        <v>224</v>
      </c>
      <c r="AK262" s="14" t="s">
        <v>240</v>
      </c>
      <c r="AL262" s="19" t="n">
        <f aca="false">ROUND('Start Here'!$B$29*AH262+'Start Here'!$B$30*MIN(IF(AD262="",0,AD262),50)/5+IF(M262&lt;=30000,'Start Here'!$B$31,IF(M262&lt;=60000,'Start Here'!$B$32,0)),1)</f>
        <v>5.1</v>
      </c>
      <c r="AM262" s="6" t="s">
        <v>1361</v>
      </c>
      <c r="AN262" s="6" t="s">
        <v>1098</v>
      </c>
      <c r="AO262" s="6" t="s">
        <v>2527</v>
      </c>
      <c r="AP262" s="14" t="s">
        <v>2528</v>
      </c>
      <c r="AQ262" s="14" t="s">
        <v>2015</v>
      </c>
      <c r="AR262" s="20" t="s">
        <v>246</v>
      </c>
      <c r="AS262" s="20"/>
    </row>
    <row r="263" customFormat="false" ht="60" hidden="false" customHeight="true" outlineLevel="0" collapsed="false">
      <c r="A263" s="14" t="n">
        <v>262</v>
      </c>
      <c r="B263" s="14" t="s">
        <v>220</v>
      </c>
      <c r="C263" s="14" t="s">
        <v>221</v>
      </c>
      <c r="D263" s="14" t="s">
        <v>222</v>
      </c>
      <c r="E263" s="14" t="s">
        <v>40</v>
      </c>
      <c r="F263" s="14" t="s">
        <v>224</v>
      </c>
      <c r="G263" s="14" t="s">
        <v>224</v>
      </c>
      <c r="H263" s="14" t="s">
        <v>224</v>
      </c>
      <c r="I263" s="14" t="s">
        <v>375</v>
      </c>
      <c r="J263" s="14" t="s">
        <v>2529</v>
      </c>
      <c r="K263" s="14" t="s">
        <v>2530</v>
      </c>
      <c r="L263" s="14" t="s">
        <v>2531</v>
      </c>
      <c r="M263" s="15" t="n">
        <v>57013</v>
      </c>
      <c r="N263" s="14" t="s">
        <v>400</v>
      </c>
      <c r="O263" s="14" t="s">
        <v>2532</v>
      </c>
      <c r="P263" s="16" t="s">
        <v>2533</v>
      </c>
      <c r="Q263" s="6" t="s">
        <v>2534</v>
      </c>
      <c r="R263" s="6" t="s">
        <v>2535</v>
      </c>
      <c r="S263" s="14" t="s">
        <v>330</v>
      </c>
      <c r="T263" s="14" t="s">
        <v>235</v>
      </c>
      <c r="U263" s="14" t="s">
        <v>236</v>
      </c>
      <c r="V263" s="14" t="s">
        <v>237</v>
      </c>
      <c r="W263" s="14" t="s">
        <v>238</v>
      </c>
      <c r="X263" s="14" t="s">
        <v>688</v>
      </c>
      <c r="Y263" s="15" t="n">
        <v>30156</v>
      </c>
      <c r="Z263" s="15" t="n">
        <v>251</v>
      </c>
      <c r="AA263" s="14" t="n">
        <v>2</v>
      </c>
      <c r="AB263" s="14" t="n">
        <v>25</v>
      </c>
      <c r="AC263" s="17" t="n">
        <v>0.00921872927443958</v>
      </c>
      <c r="AD263" s="18" t="n">
        <v>9.25</v>
      </c>
      <c r="AE263" s="18" t="n">
        <f aca="false">IF(AD263="","",MIN(AD263,100))</f>
        <v>9.25</v>
      </c>
      <c r="AF263" s="14" t="n">
        <v>85.9</v>
      </c>
      <c r="AG263" s="14" t="s">
        <v>224</v>
      </c>
      <c r="AH263" s="14" t="n">
        <v>7</v>
      </c>
      <c r="AI263" s="14" t="s">
        <v>224</v>
      </c>
      <c r="AJ263" s="14" t="s">
        <v>224</v>
      </c>
      <c r="AK263" s="14" t="s">
        <v>240</v>
      </c>
      <c r="AL263" s="19" t="n">
        <f aca="false">ROUND('Start Here'!$B$29*AH263+'Start Here'!$B$30*MIN(IF(AD263="",0,AD263),50)/5+IF(M263&lt;=30000,'Start Here'!$B$31,IF(M263&lt;=60000,'Start Here'!$B$32,0)),1)</f>
        <v>5.1</v>
      </c>
      <c r="AM263" s="6" t="s">
        <v>334</v>
      </c>
      <c r="AN263" s="6" t="s">
        <v>2536</v>
      </c>
      <c r="AO263" s="6" t="s">
        <v>2537</v>
      </c>
      <c r="AP263" s="14" t="s">
        <v>2538</v>
      </c>
      <c r="AQ263" s="14" t="s">
        <v>263</v>
      </c>
      <c r="AR263" s="20" t="s">
        <v>246</v>
      </c>
      <c r="AS263" s="20"/>
    </row>
    <row r="264" customFormat="false" ht="60" hidden="false" customHeight="true" outlineLevel="0" collapsed="false">
      <c r="A264" s="14" t="n">
        <v>263</v>
      </c>
      <c r="B264" s="14" t="s">
        <v>374</v>
      </c>
      <c r="C264" s="14" t="s">
        <v>221</v>
      </c>
      <c r="D264" s="14" t="s">
        <v>222</v>
      </c>
      <c r="E264" s="14" t="s">
        <v>38</v>
      </c>
      <c r="F264" s="14" t="s">
        <v>224</v>
      </c>
      <c r="G264" s="14" t="s">
        <v>224</v>
      </c>
      <c r="H264" s="14" t="s">
        <v>223</v>
      </c>
      <c r="I264" s="14" t="s">
        <v>322</v>
      </c>
      <c r="J264" s="14" t="s">
        <v>2539</v>
      </c>
      <c r="K264" s="14" t="s">
        <v>2540</v>
      </c>
      <c r="L264" s="14" t="s">
        <v>2541</v>
      </c>
      <c r="M264" s="15" t="n">
        <v>55077</v>
      </c>
      <c r="N264" s="14" t="s">
        <v>400</v>
      </c>
      <c r="O264" s="14" t="s">
        <v>2542</v>
      </c>
      <c r="P264" s="16" t="s">
        <v>2543</v>
      </c>
      <c r="Q264" s="6" t="s">
        <v>2544</v>
      </c>
      <c r="R264" s="6" t="s">
        <v>2545</v>
      </c>
      <c r="S264" s="14" t="s">
        <v>234</v>
      </c>
      <c r="T264" s="14" t="s">
        <v>235</v>
      </c>
      <c r="U264" s="14" t="s">
        <v>236</v>
      </c>
      <c r="V264" s="14" t="s">
        <v>1013</v>
      </c>
      <c r="W264" s="14" t="s">
        <v>332</v>
      </c>
      <c r="X264" s="14" t="s">
        <v>333</v>
      </c>
      <c r="Y264" s="15"/>
      <c r="Z264" s="15" t="n">
        <v>3092</v>
      </c>
      <c r="AA264" s="14" t="n">
        <v>272</v>
      </c>
      <c r="AB264" s="14" t="n">
        <v>94</v>
      </c>
      <c r="AC264" s="17" t="n">
        <v>0.0657589472483171</v>
      </c>
      <c r="AD264" s="18" t="n">
        <v>9.16</v>
      </c>
      <c r="AE264" s="18" t="n">
        <f aca="false">IF(AD264="","",MIN(AD264,100))</f>
        <v>9.16</v>
      </c>
      <c r="AF264" s="14"/>
      <c r="AG264" s="14" t="s">
        <v>224</v>
      </c>
      <c r="AH264" s="14" t="n">
        <v>7</v>
      </c>
      <c r="AI264" s="14" t="s">
        <v>224</v>
      </c>
      <c r="AJ264" s="14" t="s">
        <v>224</v>
      </c>
      <c r="AK264" s="14" t="s">
        <v>240</v>
      </c>
      <c r="AL264" s="19" t="n">
        <f aca="false">ROUND('Start Here'!$B$29*AH264+'Start Here'!$B$30*MIN(IF(AD264="",0,AD264),50)/5+IF(M264&lt;=30000,'Start Here'!$B$31,IF(M264&lt;=60000,'Start Here'!$B$32,0)),1)</f>
        <v>5</v>
      </c>
      <c r="AM264" s="6" t="s">
        <v>958</v>
      </c>
      <c r="AN264" s="6" t="s">
        <v>360</v>
      </c>
      <c r="AO264" s="6" t="s">
        <v>2546</v>
      </c>
      <c r="AP264" s="14" t="s">
        <v>2547</v>
      </c>
      <c r="AQ264" s="14" t="s">
        <v>2548</v>
      </c>
      <c r="AR264" s="20" t="s">
        <v>246</v>
      </c>
      <c r="AS264" s="20"/>
    </row>
    <row r="265" customFormat="false" ht="60" hidden="false" customHeight="true" outlineLevel="0" collapsed="false">
      <c r="A265" s="14" t="n">
        <v>264</v>
      </c>
      <c r="B265" s="14" t="s">
        <v>247</v>
      </c>
      <c r="C265" s="14" t="s">
        <v>442</v>
      </c>
      <c r="D265" s="14" t="s">
        <v>443</v>
      </c>
      <c r="E265" s="14" t="s">
        <v>36</v>
      </c>
      <c r="F265" s="14" t="s">
        <v>223</v>
      </c>
      <c r="G265" s="14" t="s">
        <v>223</v>
      </c>
      <c r="H265" s="14" t="s">
        <v>224</v>
      </c>
      <c r="I265" s="14" t="s">
        <v>338</v>
      </c>
      <c r="J265" s="14" t="s">
        <v>889</v>
      </c>
      <c r="K265" s="14" t="s">
        <v>1584</v>
      </c>
      <c r="L265" s="14" t="s">
        <v>1585</v>
      </c>
      <c r="M265" s="15" t="n">
        <v>8600</v>
      </c>
      <c r="N265" s="14" t="s">
        <v>283</v>
      </c>
      <c r="O265" s="14" t="s">
        <v>447</v>
      </c>
      <c r="P265" s="16" t="s">
        <v>2549</v>
      </c>
      <c r="Q265" s="6" t="s">
        <v>2550</v>
      </c>
      <c r="R265" s="6" t="s">
        <v>2551</v>
      </c>
      <c r="S265" s="14" t="s">
        <v>255</v>
      </c>
      <c r="T265" s="14" t="s">
        <v>235</v>
      </c>
      <c r="U265" s="14" t="s">
        <v>236</v>
      </c>
      <c r="V265" s="14" t="s">
        <v>2552</v>
      </c>
      <c r="W265" s="14" t="s">
        <v>452</v>
      </c>
      <c r="X265" s="14"/>
      <c r="Y265" s="15" t="n">
        <v>53900</v>
      </c>
      <c r="Z265" s="15"/>
      <c r="AA265" s="14"/>
      <c r="AB265" s="14"/>
      <c r="AC265" s="17"/>
      <c r="AD265" s="18" t="n">
        <v>25.8</v>
      </c>
      <c r="AE265" s="18" t="n">
        <f aca="false">IF(AD265="","",MIN(AD265,100))</f>
        <v>25.8</v>
      </c>
      <c r="AF265" s="14"/>
      <c r="AG265" s="14" t="s">
        <v>224</v>
      </c>
      <c r="AH265" s="14" t="n">
        <v>3</v>
      </c>
      <c r="AI265" s="14" t="s">
        <v>224</v>
      </c>
      <c r="AJ265" s="14" t="s">
        <v>224</v>
      </c>
      <c r="AK265" s="14" t="s">
        <v>453</v>
      </c>
      <c r="AL265" s="19" t="n">
        <f aca="false">ROUND('Start Here'!$B$29*AH265+'Start Here'!$B$30*MIN(IF(AD265="",0,AD265),50)/5+IF(M265&lt;=30000,'Start Here'!$B$31,IF(M265&lt;=60000,'Start Here'!$B$32,0)),1)</f>
        <v>5</v>
      </c>
      <c r="AM265" s="6" t="s">
        <v>2553</v>
      </c>
      <c r="AN265" s="6" t="s">
        <v>1200</v>
      </c>
      <c r="AO265" s="6" t="s">
        <v>2554</v>
      </c>
      <c r="AP265" s="14" t="s">
        <v>2239</v>
      </c>
      <c r="AQ265" s="14" t="s">
        <v>2555</v>
      </c>
      <c r="AR265" s="20" t="s">
        <v>246</v>
      </c>
      <c r="AS265" s="20"/>
    </row>
    <row r="266" customFormat="false" ht="60" hidden="false" customHeight="true" outlineLevel="0" collapsed="false">
      <c r="A266" s="14" t="n">
        <v>265</v>
      </c>
      <c r="B266" s="14" t="s">
        <v>247</v>
      </c>
      <c r="C266" s="14" t="s">
        <v>221</v>
      </c>
      <c r="D266" s="14" t="s">
        <v>443</v>
      </c>
      <c r="E266" s="14" t="s">
        <v>34</v>
      </c>
      <c r="F266" s="14" t="s">
        <v>223</v>
      </c>
      <c r="G266" s="14" t="s">
        <v>224</v>
      </c>
      <c r="H266" s="14" t="s">
        <v>224</v>
      </c>
      <c r="I266" s="14" t="s">
        <v>264</v>
      </c>
      <c r="J266" s="14" t="s">
        <v>322</v>
      </c>
      <c r="K266" s="14" t="s">
        <v>2556</v>
      </c>
      <c r="L266" s="14" t="s">
        <v>2557</v>
      </c>
      <c r="M266" s="15" t="n">
        <v>32800</v>
      </c>
      <c r="N266" s="14" t="s">
        <v>462</v>
      </c>
      <c r="O266" s="14" t="s">
        <v>447</v>
      </c>
      <c r="P266" s="16" t="s">
        <v>2558</v>
      </c>
      <c r="Q266" s="6" t="s">
        <v>2559</v>
      </c>
      <c r="R266" s="6" t="s">
        <v>2560</v>
      </c>
      <c r="S266" s="14" t="s">
        <v>513</v>
      </c>
      <c r="T266" s="14" t="s">
        <v>235</v>
      </c>
      <c r="U266" s="14" t="s">
        <v>236</v>
      </c>
      <c r="V266" s="14" t="s">
        <v>2561</v>
      </c>
      <c r="W266" s="14" t="s">
        <v>452</v>
      </c>
      <c r="X266" s="14"/>
      <c r="Y266" s="15" t="n">
        <v>32900</v>
      </c>
      <c r="Z266" s="15"/>
      <c r="AA266" s="14"/>
      <c r="AB266" s="14"/>
      <c r="AC266" s="17"/>
      <c r="AD266" s="18" t="n">
        <v>42.2</v>
      </c>
      <c r="AE266" s="18" t="n">
        <f aca="false">IF(AD266="","",MIN(AD266,100))</f>
        <v>42.2</v>
      </c>
      <c r="AF266" s="14"/>
      <c r="AG266" s="14" t="s">
        <v>224</v>
      </c>
      <c r="AH266" s="14" t="n">
        <v>3</v>
      </c>
      <c r="AI266" s="14" t="s">
        <v>224</v>
      </c>
      <c r="AJ266" s="14" t="s">
        <v>224</v>
      </c>
      <c r="AK266" s="14" t="s">
        <v>240</v>
      </c>
      <c r="AL266" s="19" t="n">
        <f aca="false">ROUND('Start Here'!$B$29*AH266+'Start Here'!$B$30*MIN(IF(AD266="",0,AD266),50)/5+IF(M266&lt;=30000,'Start Here'!$B$31,IF(M266&lt;=60000,'Start Here'!$B$32,0)),1)</f>
        <v>5</v>
      </c>
      <c r="AM266" s="6" t="s">
        <v>2562</v>
      </c>
      <c r="AN266" s="6" t="s">
        <v>2563</v>
      </c>
      <c r="AO266" s="6" t="s">
        <v>2564</v>
      </c>
      <c r="AP266" s="14" t="s">
        <v>457</v>
      </c>
      <c r="AQ266" s="14" t="s">
        <v>923</v>
      </c>
      <c r="AR266" s="20" t="s">
        <v>246</v>
      </c>
      <c r="AS266" s="20"/>
    </row>
    <row r="267" customFormat="false" ht="60" hidden="false" customHeight="true" outlineLevel="0" collapsed="false">
      <c r="A267" s="14" t="n">
        <v>266</v>
      </c>
      <c r="B267" s="14" t="s">
        <v>220</v>
      </c>
      <c r="C267" s="14" t="s">
        <v>221</v>
      </c>
      <c r="D267" s="14" t="s">
        <v>222</v>
      </c>
      <c r="E267" s="14" t="s">
        <v>34</v>
      </c>
      <c r="F267" s="14" t="s">
        <v>223</v>
      </c>
      <c r="G267" s="14" t="s">
        <v>224</v>
      </c>
      <c r="H267" s="14" t="s">
        <v>223</v>
      </c>
      <c r="I267" s="14" t="s">
        <v>225</v>
      </c>
      <c r="J267" s="14" t="s">
        <v>226</v>
      </c>
      <c r="K267" s="14" t="s">
        <v>2565</v>
      </c>
      <c r="L267" s="14" t="s">
        <v>2566</v>
      </c>
      <c r="M267" s="15" t="n">
        <v>36481</v>
      </c>
      <c r="N267" s="14" t="s">
        <v>462</v>
      </c>
      <c r="O267" s="14" t="s">
        <v>2567</v>
      </c>
      <c r="P267" s="16" t="s">
        <v>2568</v>
      </c>
      <c r="Q267" s="6" t="s">
        <v>2569</v>
      </c>
      <c r="R267" s="6" t="s">
        <v>2570</v>
      </c>
      <c r="S267" s="14" t="s">
        <v>234</v>
      </c>
      <c r="T267" s="14" t="s">
        <v>235</v>
      </c>
      <c r="U267" s="14" t="s">
        <v>236</v>
      </c>
      <c r="V267" s="14" t="s">
        <v>237</v>
      </c>
      <c r="W267" s="14" t="s">
        <v>257</v>
      </c>
      <c r="X267" s="14" t="s">
        <v>239</v>
      </c>
      <c r="Y267" s="15" t="n">
        <v>373851</v>
      </c>
      <c r="Z267" s="15" t="n">
        <v>2250</v>
      </c>
      <c r="AA267" s="14" t="n">
        <v>1076</v>
      </c>
      <c r="AB267" s="14" t="n">
        <v>225</v>
      </c>
      <c r="AC267" s="17" t="n">
        <v>0.00949843654290078</v>
      </c>
      <c r="AD267" s="18" t="n">
        <v>16.25</v>
      </c>
      <c r="AE267" s="18" t="n">
        <f aca="false">IF(AD267="","",MIN(AD267,100))</f>
        <v>16.25</v>
      </c>
      <c r="AF267" s="14" t="n">
        <v>95.3</v>
      </c>
      <c r="AG267" s="14" t="s">
        <v>224</v>
      </c>
      <c r="AH267" s="14" t="n">
        <v>6.1</v>
      </c>
      <c r="AI267" s="14" t="s">
        <v>223</v>
      </c>
      <c r="AJ267" s="14" t="s">
        <v>223</v>
      </c>
      <c r="AK267" s="14" t="s">
        <v>490</v>
      </c>
      <c r="AL267" s="19" t="n">
        <f aca="false">ROUND('Start Here'!$B$29*AH267+'Start Here'!$B$30*MIN(IF(AD267="",0,AD267),50)/5+IF(M267&lt;=30000,'Start Here'!$B$31,IF(M267&lt;=60000,'Start Here'!$B$32,0)),1)</f>
        <v>5</v>
      </c>
      <c r="AM267" s="6" t="s">
        <v>2263</v>
      </c>
      <c r="AN267" s="6" t="s">
        <v>1702</v>
      </c>
      <c r="AO267" s="6" t="s">
        <v>2571</v>
      </c>
      <c r="AP267" s="14" t="s">
        <v>2572</v>
      </c>
      <c r="AQ267" s="14" t="s">
        <v>2573</v>
      </c>
      <c r="AR267" s="20" t="s">
        <v>246</v>
      </c>
      <c r="AS267" s="20"/>
    </row>
    <row r="268" customFormat="false" ht="60" hidden="false" customHeight="true" outlineLevel="0" collapsed="false">
      <c r="A268" s="14" t="n">
        <v>267</v>
      </c>
      <c r="B268" s="14" t="s">
        <v>247</v>
      </c>
      <c r="C268" s="14" t="s">
        <v>221</v>
      </c>
      <c r="D268" s="14" t="s">
        <v>222</v>
      </c>
      <c r="E268" s="14" t="s">
        <v>34</v>
      </c>
      <c r="F268" s="14" t="s">
        <v>223</v>
      </c>
      <c r="G268" s="14" t="s">
        <v>224</v>
      </c>
      <c r="H268" s="14" t="s">
        <v>224</v>
      </c>
      <c r="I268" s="14" t="s">
        <v>322</v>
      </c>
      <c r="J268" s="14" t="s">
        <v>1962</v>
      </c>
      <c r="K268" s="14" t="s">
        <v>2574</v>
      </c>
      <c r="L268" s="14" t="s">
        <v>2575</v>
      </c>
      <c r="M268" s="15" t="n">
        <v>107026</v>
      </c>
      <c r="N268" s="14" t="s">
        <v>2009</v>
      </c>
      <c r="O268" s="14" t="s">
        <v>2576</v>
      </c>
      <c r="P268" s="16" t="s">
        <v>2577</v>
      </c>
      <c r="Q268" s="6" t="s">
        <v>2578</v>
      </c>
      <c r="R268" s="6" t="s">
        <v>2578</v>
      </c>
      <c r="S268" s="14" t="s">
        <v>272</v>
      </c>
      <c r="T268" s="14" t="s">
        <v>273</v>
      </c>
      <c r="U268" s="14" t="s">
        <v>274</v>
      </c>
      <c r="V268" s="14" t="s">
        <v>288</v>
      </c>
      <c r="W268" s="14" t="s">
        <v>257</v>
      </c>
      <c r="X268" s="14" t="s">
        <v>258</v>
      </c>
      <c r="Y268" s="15" t="n">
        <v>193735</v>
      </c>
      <c r="Z268" s="15" t="n">
        <v>537</v>
      </c>
      <c r="AA268" s="14" t="n">
        <v>252</v>
      </c>
      <c r="AB268" s="14"/>
      <c r="AC268" s="17" t="n">
        <v>0.00407257336051823</v>
      </c>
      <c r="AD268" s="18" t="n">
        <v>66.4</v>
      </c>
      <c r="AE268" s="18" t="n">
        <f aca="false">IF(AD268="","",MIN(AD268,100))</f>
        <v>66.4</v>
      </c>
      <c r="AF268" s="14" t="n">
        <v>97.8</v>
      </c>
      <c r="AG268" s="14" t="s">
        <v>224</v>
      </c>
      <c r="AH268" s="14" t="n">
        <v>4</v>
      </c>
      <c r="AI268" s="14" t="s">
        <v>224</v>
      </c>
      <c r="AJ268" s="14" t="s">
        <v>224</v>
      </c>
      <c r="AK268" s="14" t="s">
        <v>240</v>
      </c>
      <c r="AL268" s="19" t="n">
        <f aca="false">ROUND('Start Here'!$B$29*AH268+'Start Here'!$B$30*MIN(IF(AD268="",0,AD268),50)/5+IF(M268&lt;=30000,'Start Here'!$B$31,IF(M268&lt;=60000,'Start Here'!$B$32,0)),1)</f>
        <v>5</v>
      </c>
      <c r="AM268" s="6" t="s">
        <v>303</v>
      </c>
      <c r="AN268" s="6" t="s">
        <v>2057</v>
      </c>
      <c r="AO268" s="6" t="s">
        <v>2579</v>
      </c>
      <c r="AP268" s="14" t="s">
        <v>2580</v>
      </c>
      <c r="AQ268" s="14" t="s">
        <v>386</v>
      </c>
      <c r="AR268" s="20" t="s">
        <v>246</v>
      </c>
      <c r="AS268" s="20"/>
    </row>
    <row r="269" customFormat="false" ht="60" hidden="false" customHeight="true" outlineLevel="0" collapsed="false">
      <c r="A269" s="14" t="n">
        <v>268</v>
      </c>
      <c r="B269" s="14" t="s">
        <v>247</v>
      </c>
      <c r="C269" s="14" t="s">
        <v>221</v>
      </c>
      <c r="D269" s="14" t="s">
        <v>222</v>
      </c>
      <c r="E269" s="14" t="s">
        <v>34</v>
      </c>
      <c r="F269" s="14" t="s">
        <v>223</v>
      </c>
      <c r="G269" s="14" t="s">
        <v>224</v>
      </c>
      <c r="H269" s="14" t="s">
        <v>223</v>
      </c>
      <c r="I269" s="14" t="s">
        <v>338</v>
      </c>
      <c r="J269" s="14" t="s">
        <v>225</v>
      </c>
      <c r="K269" s="14" t="s">
        <v>2581</v>
      </c>
      <c r="L269" s="14" t="s">
        <v>2582</v>
      </c>
      <c r="M269" s="15" t="n">
        <v>79125</v>
      </c>
      <c r="N269" s="14" t="s">
        <v>400</v>
      </c>
      <c r="O269" s="14" t="s">
        <v>2583</v>
      </c>
      <c r="P269" s="16" t="s">
        <v>2584</v>
      </c>
      <c r="Q269" s="6" t="s">
        <v>2585</v>
      </c>
      <c r="R269" s="6" t="s">
        <v>2586</v>
      </c>
      <c r="S269" s="14" t="s">
        <v>916</v>
      </c>
      <c r="T269" s="14" t="s">
        <v>235</v>
      </c>
      <c r="U269" s="14" t="s">
        <v>236</v>
      </c>
      <c r="V269" s="14" t="s">
        <v>810</v>
      </c>
      <c r="W269" s="14"/>
      <c r="X269" s="14"/>
      <c r="Y269" s="15" t="n">
        <v>4176455</v>
      </c>
      <c r="Z269" s="15" t="n">
        <v>8032</v>
      </c>
      <c r="AA269" s="14" t="n">
        <v>92</v>
      </c>
      <c r="AB269" s="14"/>
      <c r="AC269" s="17" t="n">
        <v>0.00194519035880909</v>
      </c>
      <c r="AD269" s="18" t="n">
        <v>395.52</v>
      </c>
      <c r="AE269" s="18" t="n">
        <f aca="false">IF(AD269="","",MIN(AD269,100))</f>
        <v>100</v>
      </c>
      <c r="AF269" s="14" t="n">
        <v>99.3</v>
      </c>
      <c r="AG269" s="14" t="s">
        <v>224</v>
      </c>
      <c r="AH269" s="14" t="n">
        <v>4</v>
      </c>
      <c r="AI269" s="14" t="s">
        <v>224</v>
      </c>
      <c r="AJ269" s="14" t="s">
        <v>224</v>
      </c>
      <c r="AK269" s="14" t="s">
        <v>240</v>
      </c>
      <c r="AL269" s="19" t="n">
        <f aca="false">ROUND('Start Here'!$B$29*AH269+'Start Here'!$B$30*MIN(IF(AD269="",0,AD269),50)/5+IF(M269&lt;=30000,'Start Here'!$B$31,IF(M269&lt;=60000,'Start Here'!$B$32,0)),1)</f>
        <v>5</v>
      </c>
      <c r="AM269" s="6" t="s">
        <v>2587</v>
      </c>
      <c r="AN269" s="6" t="s">
        <v>920</v>
      </c>
      <c r="AO269" s="6"/>
      <c r="AP269" s="14"/>
      <c r="AQ269" s="14" t="s">
        <v>263</v>
      </c>
      <c r="AR269" s="20" t="s">
        <v>246</v>
      </c>
      <c r="AS269" s="20"/>
    </row>
    <row r="270" customFormat="false" ht="60" hidden="false" customHeight="true" outlineLevel="0" collapsed="false">
      <c r="A270" s="14" t="n">
        <v>269</v>
      </c>
      <c r="B270" s="14" t="s">
        <v>374</v>
      </c>
      <c r="C270" s="14" t="s">
        <v>221</v>
      </c>
      <c r="D270" s="14" t="s">
        <v>222</v>
      </c>
      <c r="E270" s="14" t="s">
        <v>34</v>
      </c>
      <c r="F270" s="14" t="s">
        <v>223</v>
      </c>
      <c r="G270" s="14" t="s">
        <v>224</v>
      </c>
      <c r="H270" s="14" t="s">
        <v>223</v>
      </c>
      <c r="I270" s="14" t="s">
        <v>308</v>
      </c>
      <c r="J270" s="14" t="s">
        <v>225</v>
      </c>
      <c r="K270" s="14" t="s">
        <v>2588</v>
      </c>
      <c r="L270" s="14" t="s">
        <v>2589</v>
      </c>
      <c r="M270" s="15" t="n">
        <v>54791</v>
      </c>
      <c r="N270" s="14" t="s">
        <v>400</v>
      </c>
      <c r="O270" s="14" t="s">
        <v>2590</v>
      </c>
      <c r="P270" s="16" t="s">
        <v>2591</v>
      </c>
      <c r="Q270" s="6" t="s">
        <v>2592</v>
      </c>
      <c r="R270" s="6" t="s">
        <v>2593</v>
      </c>
      <c r="S270" s="14" t="s">
        <v>255</v>
      </c>
      <c r="T270" s="14" t="s">
        <v>235</v>
      </c>
      <c r="U270" s="14" t="s">
        <v>236</v>
      </c>
      <c r="V270" s="14" t="s">
        <v>331</v>
      </c>
      <c r="W270" s="14" t="s">
        <v>238</v>
      </c>
      <c r="X270" s="14" t="s">
        <v>533</v>
      </c>
      <c r="Y270" s="15"/>
      <c r="Z270" s="15" t="n">
        <v>1282</v>
      </c>
      <c r="AA270" s="14" t="n">
        <v>286</v>
      </c>
      <c r="AB270" s="14" t="n">
        <v>3</v>
      </c>
      <c r="AC270" s="17" t="n">
        <v>0.0342840931409991</v>
      </c>
      <c r="AD270" s="18" t="n">
        <v>32.97</v>
      </c>
      <c r="AE270" s="18" t="n">
        <f aca="false">IF(AD270="","",MIN(AD270,100))</f>
        <v>32.97</v>
      </c>
      <c r="AF270" s="14" t="n">
        <v>99.2</v>
      </c>
      <c r="AG270" s="14" t="s">
        <v>224</v>
      </c>
      <c r="AH270" s="14" t="n">
        <v>4</v>
      </c>
      <c r="AI270" s="14" t="s">
        <v>224</v>
      </c>
      <c r="AJ270" s="14" t="s">
        <v>224</v>
      </c>
      <c r="AK270" s="14" t="s">
        <v>240</v>
      </c>
      <c r="AL270" s="19" t="n">
        <f aca="false">ROUND('Start Here'!$B$29*AH270+'Start Here'!$B$30*MIN(IF(AD270="",0,AD270),50)/5+IF(M270&lt;=30000,'Start Here'!$B$31,IF(M270&lt;=60000,'Start Here'!$B$32,0)),1)</f>
        <v>5</v>
      </c>
      <c r="AM270" s="6" t="s">
        <v>534</v>
      </c>
      <c r="AN270" s="6" t="s">
        <v>840</v>
      </c>
      <c r="AO270" s="6" t="s">
        <v>2594</v>
      </c>
      <c r="AP270" s="14" t="s">
        <v>2595</v>
      </c>
      <c r="AQ270" s="14" t="s">
        <v>1310</v>
      </c>
      <c r="AR270" s="20" t="s">
        <v>246</v>
      </c>
      <c r="AS270" s="20"/>
    </row>
    <row r="271" customFormat="false" ht="60" hidden="false" customHeight="true" outlineLevel="0" collapsed="false">
      <c r="A271" s="14" t="n">
        <v>270</v>
      </c>
      <c r="B271" s="14" t="s">
        <v>374</v>
      </c>
      <c r="C271" s="14" t="s">
        <v>221</v>
      </c>
      <c r="D271" s="14" t="s">
        <v>222</v>
      </c>
      <c r="E271" s="14" t="s">
        <v>38</v>
      </c>
      <c r="F271" s="14" t="s">
        <v>224</v>
      </c>
      <c r="G271" s="14" t="s">
        <v>224</v>
      </c>
      <c r="H271" s="14" t="s">
        <v>223</v>
      </c>
      <c r="I271" s="14" t="s">
        <v>225</v>
      </c>
      <c r="J271" s="14" t="s">
        <v>2596</v>
      </c>
      <c r="K271" s="14" t="s">
        <v>2597</v>
      </c>
      <c r="L271" s="14" t="s">
        <v>2598</v>
      </c>
      <c r="M271" s="15" t="n">
        <v>96180</v>
      </c>
      <c r="N271" s="14" t="s">
        <v>400</v>
      </c>
      <c r="O271" s="14" t="s">
        <v>2599</v>
      </c>
      <c r="P271" s="16" t="s">
        <v>2600</v>
      </c>
      <c r="Q271" s="6" t="s">
        <v>2601</v>
      </c>
      <c r="R271" s="6" t="s">
        <v>2602</v>
      </c>
      <c r="S271" s="14" t="s">
        <v>255</v>
      </c>
      <c r="T271" s="14" t="s">
        <v>235</v>
      </c>
      <c r="U271" s="14" t="s">
        <v>236</v>
      </c>
      <c r="V271" s="14" t="s">
        <v>331</v>
      </c>
      <c r="W271" s="14" t="s">
        <v>238</v>
      </c>
      <c r="X271" s="14" t="s">
        <v>239</v>
      </c>
      <c r="Y271" s="15"/>
      <c r="Z271" s="15" t="n">
        <v>1189</v>
      </c>
      <c r="AA271" s="14" t="n">
        <v>211</v>
      </c>
      <c r="AB271" s="14" t="n">
        <v>64</v>
      </c>
      <c r="AC271" s="17" t="n">
        <v>0.0152566747952229</v>
      </c>
      <c r="AD271" s="18" t="n">
        <v>7.39</v>
      </c>
      <c r="AE271" s="18" t="n">
        <f aca="false">IF(AD271="","",MIN(AD271,100))</f>
        <v>7.39</v>
      </c>
      <c r="AF271" s="14" t="n">
        <v>98.5</v>
      </c>
      <c r="AG271" s="14" t="s">
        <v>224</v>
      </c>
      <c r="AH271" s="14" t="n">
        <v>9</v>
      </c>
      <c r="AI271" s="14" t="s">
        <v>224</v>
      </c>
      <c r="AJ271" s="14" t="s">
        <v>224</v>
      </c>
      <c r="AK271" s="14" t="s">
        <v>240</v>
      </c>
      <c r="AL271" s="19" t="n">
        <f aca="false">ROUND('Start Here'!$B$29*AH271+'Start Here'!$B$30*MIN(IF(AD271="",0,AD271),50)/5+IF(M271&lt;=30000,'Start Here'!$B$31,IF(M271&lt;=60000,'Start Here'!$B$32,0)),1)</f>
        <v>4.9</v>
      </c>
      <c r="AM271" s="6" t="s">
        <v>534</v>
      </c>
      <c r="AN271" s="6" t="s">
        <v>674</v>
      </c>
      <c r="AO271" s="6" t="s">
        <v>2603</v>
      </c>
      <c r="AP271" s="14" t="s">
        <v>2604</v>
      </c>
      <c r="AQ271" s="14" t="s">
        <v>2605</v>
      </c>
      <c r="AR271" s="20" t="s">
        <v>246</v>
      </c>
      <c r="AS271" s="20"/>
    </row>
    <row r="272" customFormat="false" ht="60" hidden="false" customHeight="true" outlineLevel="0" collapsed="false">
      <c r="A272" s="14" t="n">
        <v>271</v>
      </c>
      <c r="B272" s="14" t="s">
        <v>220</v>
      </c>
      <c r="C272" s="14" t="s">
        <v>221</v>
      </c>
      <c r="D272" s="14" t="s">
        <v>222</v>
      </c>
      <c r="E272" s="14" t="s">
        <v>34</v>
      </c>
      <c r="F272" s="14" t="s">
        <v>223</v>
      </c>
      <c r="G272" s="14" t="s">
        <v>224</v>
      </c>
      <c r="H272" s="14" t="s">
        <v>223</v>
      </c>
      <c r="I272" s="14" t="s">
        <v>225</v>
      </c>
      <c r="J272" s="14" t="s">
        <v>338</v>
      </c>
      <c r="K272" s="14" t="s">
        <v>2606</v>
      </c>
      <c r="L272" s="14" t="s">
        <v>2607</v>
      </c>
      <c r="M272" s="15" t="n">
        <v>39499</v>
      </c>
      <c r="N272" s="14" t="s">
        <v>462</v>
      </c>
      <c r="O272" s="14" t="s">
        <v>542</v>
      </c>
      <c r="P272" s="16" t="s">
        <v>2608</v>
      </c>
      <c r="Q272" s="6" t="s">
        <v>2609</v>
      </c>
      <c r="R272" s="6" t="s">
        <v>2610</v>
      </c>
      <c r="S272" s="14" t="s">
        <v>255</v>
      </c>
      <c r="T272" s="14" t="s">
        <v>235</v>
      </c>
      <c r="U272" s="14" t="s">
        <v>236</v>
      </c>
      <c r="V272" s="14" t="s">
        <v>237</v>
      </c>
      <c r="W272" s="14" t="s">
        <v>687</v>
      </c>
      <c r="X272" s="14" t="s">
        <v>546</v>
      </c>
      <c r="Y272" s="15" t="n">
        <v>219862</v>
      </c>
      <c r="Z272" s="15" t="n">
        <v>7912</v>
      </c>
      <c r="AA272" s="14" t="n">
        <v>154</v>
      </c>
      <c r="AB272" s="14" t="n">
        <v>2121</v>
      </c>
      <c r="AC272" s="17" t="n">
        <v>0.0463336092639929</v>
      </c>
      <c r="AD272" s="18" t="n">
        <v>32.16</v>
      </c>
      <c r="AE272" s="18" t="n">
        <f aca="false">IF(AD272="","",MIN(AD272,100))</f>
        <v>32.16</v>
      </c>
      <c r="AF272" s="14" t="n">
        <v>99.6</v>
      </c>
      <c r="AG272" s="14" t="s">
        <v>224</v>
      </c>
      <c r="AH272" s="14" t="n">
        <v>4</v>
      </c>
      <c r="AI272" s="14" t="s">
        <v>224</v>
      </c>
      <c r="AJ272" s="14" t="s">
        <v>224</v>
      </c>
      <c r="AK272" s="14" t="s">
        <v>240</v>
      </c>
      <c r="AL272" s="19" t="n">
        <f aca="false">ROUND('Start Here'!$B$29*AH272+'Start Here'!$B$30*MIN(IF(AD272="",0,AD272),50)/5+IF(M272&lt;=30000,'Start Here'!$B$31,IF(M272&lt;=60000,'Start Here'!$B$32,0)),1)</f>
        <v>4.9</v>
      </c>
      <c r="AM272" s="6" t="s">
        <v>534</v>
      </c>
      <c r="AN272" s="6" t="s">
        <v>674</v>
      </c>
      <c r="AO272" s="6" t="s">
        <v>2611</v>
      </c>
      <c r="AP272" s="14" t="s">
        <v>2612</v>
      </c>
      <c r="AQ272" s="14" t="s">
        <v>1070</v>
      </c>
      <c r="AR272" s="20" t="s">
        <v>246</v>
      </c>
      <c r="AS272" s="20"/>
    </row>
    <row r="273" customFormat="false" ht="60" hidden="false" customHeight="true" outlineLevel="0" collapsed="false">
      <c r="A273" s="14" t="n">
        <v>272</v>
      </c>
      <c r="B273" s="14" t="s">
        <v>220</v>
      </c>
      <c r="C273" s="14" t="s">
        <v>221</v>
      </c>
      <c r="D273" s="14" t="s">
        <v>222</v>
      </c>
      <c r="E273" s="14" t="s">
        <v>36</v>
      </c>
      <c r="F273" s="14" t="s">
        <v>223</v>
      </c>
      <c r="G273" s="14" t="s">
        <v>223</v>
      </c>
      <c r="H273" s="14" t="s">
        <v>224</v>
      </c>
      <c r="I273" s="14" t="s">
        <v>375</v>
      </c>
      <c r="J273" s="14" t="s">
        <v>322</v>
      </c>
      <c r="K273" s="14" t="s">
        <v>588</v>
      </c>
      <c r="L273" s="14" t="s">
        <v>589</v>
      </c>
      <c r="M273" s="15" t="n">
        <v>6256</v>
      </c>
      <c r="N273" s="14" t="s">
        <v>283</v>
      </c>
      <c r="O273" s="14" t="s">
        <v>1682</v>
      </c>
      <c r="P273" s="16" t="s">
        <v>2613</v>
      </c>
      <c r="Q273" s="6" t="s">
        <v>2614</v>
      </c>
      <c r="R273" s="6" t="s">
        <v>2615</v>
      </c>
      <c r="S273" s="14" t="s">
        <v>234</v>
      </c>
      <c r="T273" s="14" t="s">
        <v>235</v>
      </c>
      <c r="U273" s="14" t="s">
        <v>236</v>
      </c>
      <c r="V273" s="14" t="s">
        <v>237</v>
      </c>
      <c r="W273" s="14" t="s">
        <v>238</v>
      </c>
      <c r="X273" s="14" t="s">
        <v>688</v>
      </c>
      <c r="Y273" s="15" t="n">
        <v>79982</v>
      </c>
      <c r="Z273" s="15" t="n">
        <v>276</v>
      </c>
      <c r="AA273" s="14" t="n">
        <v>5</v>
      </c>
      <c r="AB273" s="14" t="n">
        <v>19</v>
      </c>
      <c r="AC273" s="17" t="n">
        <v>0.00375084393988647</v>
      </c>
      <c r="AD273" s="18" t="n">
        <v>15.47</v>
      </c>
      <c r="AE273" s="18" t="n">
        <f aca="false">IF(AD273="","",MIN(AD273,100))</f>
        <v>15.47</v>
      </c>
      <c r="AF273" s="14" t="n">
        <v>99.1</v>
      </c>
      <c r="AG273" s="14" t="s">
        <v>224</v>
      </c>
      <c r="AH273" s="14" t="n">
        <v>4</v>
      </c>
      <c r="AI273" s="14" t="s">
        <v>224</v>
      </c>
      <c r="AJ273" s="14" t="s">
        <v>224</v>
      </c>
      <c r="AK273" s="14" t="s">
        <v>240</v>
      </c>
      <c r="AL273" s="19" t="n">
        <f aca="false">ROUND('Start Here'!$B$29*AH273+'Start Here'!$B$30*MIN(IF(AD273="",0,AD273),50)/5+IF(M273&lt;=30000,'Start Here'!$B$31,IF(M273&lt;=60000,'Start Here'!$B$32,0)),1)</f>
        <v>4.9</v>
      </c>
      <c r="AM273" s="6" t="s">
        <v>290</v>
      </c>
      <c r="AN273" s="6" t="s">
        <v>959</v>
      </c>
      <c r="AO273" s="6" t="s">
        <v>2616</v>
      </c>
      <c r="AP273" s="14" t="s">
        <v>2617</v>
      </c>
      <c r="AQ273" s="14" t="s">
        <v>409</v>
      </c>
      <c r="AR273" s="20" t="s">
        <v>246</v>
      </c>
      <c r="AS273" s="20"/>
    </row>
    <row r="274" customFormat="false" ht="60" hidden="false" customHeight="true" outlineLevel="0" collapsed="false">
      <c r="A274" s="14" t="n">
        <v>273</v>
      </c>
      <c r="B274" s="14" t="s">
        <v>247</v>
      </c>
      <c r="C274" s="14" t="s">
        <v>221</v>
      </c>
      <c r="D274" s="14" t="s">
        <v>443</v>
      </c>
      <c r="E274" s="14" t="s">
        <v>36</v>
      </c>
      <c r="F274" s="14" t="s">
        <v>223</v>
      </c>
      <c r="G274" s="14" t="s">
        <v>223</v>
      </c>
      <c r="H274" s="14" t="s">
        <v>224</v>
      </c>
      <c r="I274" s="14" t="s">
        <v>225</v>
      </c>
      <c r="J274" s="14"/>
      <c r="K274" s="14" t="s">
        <v>2618</v>
      </c>
      <c r="L274" s="14" t="s">
        <v>2619</v>
      </c>
      <c r="M274" s="15" t="n">
        <v>11800</v>
      </c>
      <c r="N274" s="14" t="s">
        <v>229</v>
      </c>
      <c r="O274" s="14" t="s">
        <v>447</v>
      </c>
      <c r="P274" s="16" t="s">
        <v>2620</v>
      </c>
      <c r="Q274" s="6" t="s">
        <v>2621</v>
      </c>
      <c r="R274" s="6" t="s">
        <v>2622</v>
      </c>
      <c r="S274" s="14" t="s">
        <v>1495</v>
      </c>
      <c r="T274" s="14" t="s">
        <v>273</v>
      </c>
      <c r="U274" s="14" t="s">
        <v>274</v>
      </c>
      <c r="V274" s="14" t="s">
        <v>2623</v>
      </c>
      <c r="W274" s="14" t="s">
        <v>452</v>
      </c>
      <c r="X274" s="14"/>
      <c r="Y274" s="15" t="n">
        <v>187200</v>
      </c>
      <c r="Z274" s="15"/>
      <c r="AA274" s="14"/>
      <c r="AB274" s="14"/>
      <c r="AC274" s="17"/>
      <c r="AD274" s="18" t="n">
        <v>23.5</v>
      </c>
      <c r="AE274" s="18" t="n">
        <f aca="false">IF(AD274="","",MIN(AD274,100))</f>
        <v>23.5</v>
      </c>
      <c r="AF274" s="14"/>
      <c r="AG274" s="14" t="s">
        <v>224</v>
      </c>
      <c r="AH274" s="14" t="n">
        <v>3</v>
      </c>
      <c r="AI274" s="14" t="s">
        <v>224</v>
      </c>
      <c r="AJ274" s="14" t="s">
        <v>224</v>
      </c>
      <c r="AK274" s="14" t="s">
        <v>240</v>
      </c>
      <c r="AL274" s="19" t="n">
        <f aca="false">ROUND('Start Here'!$B$29*AH274+'Start Here'!$B$30*MIN(IF(AD274="",0,AD274),50)/5+IF(M274&lt;=30000,'Start Here'!$B$31,IF(M274&lt;=60000,'Start Here'!$B$32,0)),1)</f>
        <v>4.9</v>
      </c>
      <c r="AM274" s="6" t="s">
        <v>2624</v>
      </c>
      <c r="AN274" s="6" t="s">
        <v>1878</v>
      </c>
      <c r="AO274" s="6" t="s">
        <v>2625</v>
      </c>
      <c r="AP274" s="14" t="s">
        <v>922</v>
      </c>
      <c r="AQ274" s="14" t="s">
        <v>1640</v>
      </c>
      <c r="AR274" s="20" t="s">
        <v>246</v>
      </c>
      <c r="AS274" s="20"/>
    </row>
    <row r="275" customFormat="false" ht="60" hidden="false" customHeight="true" outlineLevel="0" collapsed="false">
      <c r="A275" s="14" t="n">
        <v>274</v>
      </c>
      <c r="B275" s="14" t="s">
        <v>374</v>
      </c>
      <c r="C275" s="14" t="s">
        <v>221</v>
      </c>
      <c r="D275" s="14" t="s">
        <v>222</v>
      </c>
      <c r="E275" s="14" t="s">
        <v>36</v>
      </c>
      <c r="F275" s="14" t="s">
        <v>223</v>
      </c>
      <c r="G275" s="14" t="s">
        <v>223</v>
      </c>
      <c r="H275" s="14" t="s">
        <v>223</v>
      </c>
      <c r="I275" s="14" t="s">
        <v>586</v>
      </c>
      <c r="J275" s="14" t="s">
        <v>225</v>
      </c>
      <c r="K275" s="14" t="s">
        <v>2626</v>
      </c>
      <c r="L275" s="14" t="s">
        <v>2627</v>
      </c>
      <c r="M275" s="15" t="n">
        <v>19892</v>
      </c>
      <c r="N275" s="14" t="s">
        <v>229</v>
      </c>
      <c r="O275" s="14" t="s">
        <v>1665</v>
      </c>
      <c r="P275" s="16" t="s">
        <v>2628</v>
      </c>
      <c r="Q275" s="6" t="s">
        <v>2629</v>
      </c>
      <c r="R275" s="6" t="s">
        <v>2630</v>
      </c>
      <c r="S275" s="14" t="s">
        <v>234</v>
      </c>
      <c r="T275" s="14" t="s">
        <v>235</v>
      </c>
      <c r="U275" s="14" t="s">
        <v>236</v>
      </c>
      <c r="V275" s="14" t="s">
        <v>237</v>
      </c>
      <c r="W275" s="14" t="s">
        <v>257</v>
      </c>
      <c r="X275" s="14" t="s">
        <v>258</v>
      </c>
      <c r="Y275" s="15"/>
      <c r="Z275" s="15" t="n">
        <v>1681</v>
      </c>
      <c r="AA275" s="14" t="n">
        <v>248</v>
      </c>
      <c r="AB275" s="14" t="n">
        <v>24</v>
      </c>
      <c r="AC275" s="17" t="n">
        <v>0.101396604537667</v>
      </c>
      <c r="AD275" s="18" t="n">
        <v>15.01</v>
      </c>
      <c r="AE275" s="18" t="n">
        <f aca="false">IF(AD275="","",MIN(AD275,100))</f>
        <v>15.01</v>
      </c>
      <c r="AF275" s="14" t="n">
        <v>99.7</v>
      </c>
      <c r="AG275" s="14" t="s">
        <v>224</v>
      </c>
      <c r="AH275" s="14" t="n">
        <v>4</v>
      </c>
      <c r="AI275" s="14" t="s">
        <v>224</v>
      </c>
      <c r="AJ275" s="14" t="s">
        <v>224</v>
      </c>
      <c r="AK275" s="14" t="s">
        <v>240</v>
      </c>
      <c r="AL275" s="19" t="n">
        <f aca="false">ROUND('Start Here'!$B$29*AH275+'Start Here'!$B$30*MIN(IF(AD275="",0,AD275),50)/5+IF(M275&lt;=30000,'Start Here'!$B$31,IF(M275&lt;=60000,'Start Here'!$B$32,0)),1)</f>
        <v>4.9</v>
      </c>
      <c r="AM275" s="6" t="s">
        <v>290</v>
      </c>
      <c r="AN275" s="6" t="s">
        <v>594</v>
      </c>
      <c r="AO275" s="6" t="s">
        <v>2631</v>
      </c>
      <c r="AP275" s="14" t="s">
        <v>2632</v>
      </c>
      <c r="AQ275" s="14" t="s">
        <v>2015</v>
      </c>
      <c r="AR275" s="20" t="s">
        <v>246</v>
      </c>
      <c r="AS275" s="20"/>
    </row>
    <row r="276" customFormat="false" ht="60" hidden="false" customHeight="true" outlineLevel="0" collapsed="false">
      <c r="A276" s="14" t="n">
        <v>275</v>
      </c>
      <c r="B276" s="14" t="s">
        <v>374</v>
      </c>
      <c r="C276" s="14" t="s">
        <v>221</v>
      </c>
      <c r="D276" s="14" t="s">
        <v>222</v>
      </c>
      <c r="E276" s="14" t="s">
        <v>36</v>
      </c>
      <c r="F276" s="14" t="s">
        <v>223</v>
      </c>
      <c r="G276" s="14" t="s">
        <v>223</v>
      </c>
      <c r="H276" s="14" t="s">
        <v>223</v>
      </c>
      <c r="I276" s="14" t="s">
        <v>225</v>
      </c>
      <c r="J276" s="14"/>
      <c r="K276" s="14" t="s">
        <v>2633</v>
      </c>
      <c r="L276" s="14" t="s">
        <v>2634</v>
      </c>
      <c r="M276" s="15" t="n">
        <v>18585</v>
      </c>
      <c r="N276" s="14" t="s">
        <v>229</v>
      </c>
      <c r="O276" s="14" t="s">
        <v>2635</v>
      </c>
      <c r="P276" s="16" t="s">
        <v>2636</v>
      </c>
      <c r="Q276" s="6" t="s">
        <v>2637</v>
      </c>
      <c r="R276" s="6" t="s">
        <v>2638</v>
      </c>
      <c r="S276" s="14" t="s">
        <v>255</v>
      </c>
      <c r="T276" s="14" t="s">
        <v>235</v>
      </c>
      <c r="U276" s="14" t="s">
        <v>236</v>
      </c>
      <c r="V276" s="14" t="s">
        <v>331</v>
      </c>
      <c r="W276" s="14" t="s">
        <v>238</v>
      </c>
      <c r="X276" s="14" t="s">
        <v>333</v>
      </c>
      <c r="Y276" s="15"/>
      <c r="Z276" s="15" t="n">
        <v>4401</v>
      </c>
      <c r="AA276" s="14" t="n">
        <v>261</v>
      </c>
      <c r="AB276" s="14" t="n">
        <v>530</v>
      </c>
      <c r="AC276" s="17" t="n">
        <v>0.345948827292111</v>
      </c>
      <c r="AD276" s="18" t="n">
        <v>23.27</v>
      </c>
      <c r="AE276" s="18" t="n">
        <f aca="false">IF(AD276="","",MIN(AD276,100))</f>
        <v>23.27</v>
      </c>
      <c r="AF276" s="14" t="n">
        <v>99.6</v>
      </c>
      <c r="AG276" s="14" t="s">
        <v>224</v>
      </c>
      <c r="AH276" s="14" t="n">
        <v>3</v>
      </c>
      <c r="AI276" s="14" t="s">
        <v>224</v>
      </c>
      <c r="AJ276" s="14" t="s">
        <v>224</v>
      </c>
      <c r="AK276" s="14" t="s">
        <v>240</v>
      </c>
      <c r="AL276" s="19" t="n">
        <f aca="false">ROUND('Start Here'!$B$29*AH276+'Start Here'!$B$30*MIN(IF(AD276="",0,AD276),50)/5+IF(M276&lt;=30000,'Start Here'!$B$31,IF(M276&lt;=60000,'Start Here'!$B$32,0)),1)</f>
        <v>4.9</v>
      </c>
      <c r="AM276" s="6" t="s">
        <v>259</v>
      </c>
      <c r="AN276" s="6" t="s">
        <v>674</v>
      </c>
      <c r="AO276" s="6" t="s">
        <v>2639</v>
      </c>
      <c r="AP276" s="14" t="s">
        <v>2640</v>
      </c>
      <c r="AQ276" s="14" t="s">
        <v>1672</v>
      </c>
      <c r="AR276" s="20" t="s">
        <v>246</v>
      </c>
      <c r="AS276" s="20"/>
    </row>
    <row r="277" customFormat="false" ht="60" hidden="false" customHeight="true" outlineLevel="0" collapsed="false">
      <c r="A277" s="14" t="n">
        <v>276</v>
      </c>
      <c r="B277" s="14" t="s">
        <v>374</v>
      </c>
      <c r="C277" s="14" t="s">
        <v>221</v>
      </c>
      <c r="D277" s="14" t="s">
        <v>222</v>
      </c>
      <c r="E277" s="14" t="s">
        <v>38</v>
      </c>
      <c r="F277" s="14" t="s">
        <v>224</v>
      </c>
      <c r="G277" s="14" t="s">
        <v>224</v>
      </c>
      <c r="H277" s="14" t="s">
        <v>223</v>
      </c>
      <c r="I277" s="14" t="s">
        <v>264</v>
      </c>
      <c r="J277" s="14" t="s">
        <v>420</v>
      </c>
      <c r="K277" s="14" t="s">
        <v>2240</v>
      </c>
      <c r="L277" s="14" t="s">
        <v>2241</v>
      </c>
      <c r="M277" s="15" t="n">
        <v>68759</v>
      </c>
      <c r="N277" s="14" t="s">
        <v>400</v>
      </c>
      <c r="O277" s="14" t="s">
        <v>2641</v>
      </c>
      <c r="P277" s="16" t="s">
        <v>2642</v>
      </c>
      <c r="Q277" s="6" t="s">
        <v>2244</v>
      </c>
      <c r="R277" s="6" t="s">
        <v>2643</v>
      </c>
      <c r="S277" s="14" t="s">
        <v>255</v>
      </c>
      <c r="T277" s="14" t="s">
        <v>235</v>
      </c>
      <c r="U277" s="14" t="s">
        <v>236</v>
      </c>
      <c r="V277" s="14" t="s">
        <v>331</v>
      </c>
      <c r="W277" s="14" t="s">
        <v>257</v>
      </c>
      <c r="X277" s="14" t="s">
        <v>239</v>
      </c>
      <c r="Y277" s="15"/>
      <c r="Z277" s="15" t="n">
        <v>1205</v>
      </c>
      <c r="AA277" s="14" t="n">
        <v>194</v>
      </c>
      <c r="AB277" s="14" t="n">
        <v>61</v>
      </c>
      <c r="AC277" s="17" t="n">
        <v>0.0229123836725726</v>
      </c>
      <c r="AD277" s="18" t="n">
        <v>6.56</v>
      </c>
      <c r="AE277" s="18" t="n">
        <f aca="false">IF(AD277="","",MIN(AD277,100))</f>
        <v>6.56</v>
      </c>
      <c r="AF277" s="14" t="n">
        <v>97.9</v>
      </c>
      <c r="AG277" s="14" t="s">
        <v>224</v>
      </c>
      <c r="AH277" s="14" t="n">
        <v>9</v>
      </c>
      <c r="AI277" s="14" t="s">
        <v>224</v>
      </c>
      <c r="AJ277" s="14" t="s">
        <v>224</v>
      </c>
      <c r="AK277" s="14" t="s">
        <v>240</v>
      </c>
      <c r="AL277" s="19" t="n">
        <f aca="false">ROUND('Start Here'!$B$29*AH277+'Start Here'!$B$30*MIN(IF(AD277="",0,AD277),50)/5+IF(M277&lt;=30000,'Start Here'!$B$31,IF(M277&lt;=60000,'Start Here'!$B$32,0)),1)</f>
        <v>4.9</v>
      </c>
      <c r="AM277" s="6" t="s">
        <v>534</v>
      </c>
      <c r="AN277" s="6" t="s">
        <v>1752</v>
      </c>
      <c r="AO277" s="6" t="s">
        <v>2644</v>
      </c>
      <c r="AP277" s="14" t="s">
        <v>2645</v>
      </c>
      <c r="AQ277" s="14" t="s">
        <v>2399</v>
      </c>
      <c r="AR277" s="20" t="s">
        <v>246</v>
      </c>
      <c r="AS277" s="20"/>
    </row>
    <row r="278" customFormat="false" ht="60" hidden="false" customHeight="true" outlineLevel="0" collapsed="false">
      <c r="A278" s="14" t="n">
        <v>277</v>
      </c>
      <c r="B278" s="14" t="s">
        <v>374</v>
      </c>
      <c r="C278" s="14" t="s">
        <v>221</v>
      </c>
      <c r="D278" s="14" t="s">
        <v>222</v>
      </c>
      <c r="E278" s="14" t="s">
        <v>34</v>
      </c>
      <c r="F278" s="14" t="s">
        <v>223</v>
      </c>
      <c r="G278" s="14" t="s">
        <v>224</v>
      </c>
      <c r="H278" s="14" t="s">
        <v>223</v>
      </c>
      <c r="I278" s="14" t="s">
        <v>364</v>
      </c>
      <c r="J278" s="14" t="s">
        <v>1421</v>
      </c>
      <c r="K278" s="14" t="s">
        <v>2646</v>
      </c>
      <c r="L278" s="14" t="s">
        <v>2647</v>
      </c>
      <c r="M278" s="15" t="n">
        <v>60803</v>
      </c>
      <c r="N278" s="14" t="s">
        <v>400</v>
      </c>
      <c r="O278" s="14" t="s">
        <v>2648</v>
      </c>
      <c r="P278" s="16" t="s">
        <v>2649</v>
      </c>
      <c r="Q278" s="6" t="s">
        <v>2650</v>
      </c>
      <c r="R278" s="6" t="s">
        <v>2651</v>
      </c>
      <c r="S278" s="14" t="s">
        <v>330</v>
      </c>
      <c r="T278" s="14" t="s">
        <v>235</v>
      </c>
      <c r="U278" s="14" t="s">
        <v>236</v>
      </c>
      <c r="V278" s="14" t="s">
        <v>331</v>
      </c>
      <c r="W278" s="14" t="s">
        <v>257</v>
      </c>
      <c r="X278" s="14" t="s">
        <v>239</v>
      </c>
      <c r="Y278" s="15"/>
      <c r="Z278" s="15" t="n">
        <v>1186</v>
      </c>
      <c r="AA278" s="14" t="n">
        <v>3532</v>
      </c>
      <c r="AB278" s="14" t="n">
        <v>7</v>
      </c>
      <c r="AC278" s="17" t="n">
        <v>0.0892755923364698</v>
      </c>
      <c r="AD278" s="18" t="n">
        <v>18.59</v>
      </c>
      <c r="AE278" s="18" t="n">
        <f aca="false">IF(AD278="","",MIN(AD278,100))</f>
        <v>18.59</v>
      </c>
      <c r="AF278" s="14" t="n">
        <v>99.1</v>
      </c>
      <c r="AG278" s="14" t="s">
        <v>224</v>
      </c>
      <c r="AH278" s="14" t="n">
        <v>7.5</v>
      </c>
      <c r="AI278" s="14" t="s">
        <v>224</v>
      </c>
      <c r="AJ278" s="14" t="s">
        <v>223</v>
      </c>
      <c r="AK278" s="14" t="s">
        <v>490</v>
      </c>
      <c r="AL278" s="19" t="n">
        <f aca="false">ROUND('Start Here'!$B$29*AH278+'Start Here'!$B$30*MIN(IF(AD278="",0,AD278),50)/5+IF(M278&lt;=30000,'Start Here'!$B$31,IF(M278&lt;=60000,'Start Here'!$B$32,0)),1)</f>
        <v>4.9</v>
      </c>
      <c r="AM278" s="6" t="s">
        <v>1824</v>
      </c>
      <c r="AN278" s="6" t="s">
        <v>2652</v>
      </c>
      <c r="AO278" s="6" t="s">
        <v>2653</v>
      </c>
      <c r="AP278" s="14" t="s">
        <v>2654</v>
      </c>
      <c r="AQ278" s="14" t="s">
        <v>373</v>
      </c>
      <c r="AR278" s="20" t="s">
        <v>246</v>
      </c>
      <c r="AS278" s="20"/>
    </row>
    <row r="279" customFormat="false" ht="60" hidden="false" customHeight="true" outlineLevel="0" collapsed="false">
      <c r="A279" s="14" t="n">
        <v>278</v>
      </c>
      <c r="B279" s="14" t="s">
        <v>374</v>
      </c>
      <c r="C279" s="14" t="s">
        <v>221</v>
      </c>
      <c r="D279" s="14" t="s">
        <v>222</v>
      </c>
      <c r="E279" s="14" t="s">
        <v>34</v>
      </c>
      <c r="F279" s="14" t="s">
        <v>223</v>
      </c>
      <c r="G279" s="14" t="s">
        <v>224</v>
      </c>
      <c r="H279" s="14" t="s">
        <v>223</v>
      </c>
      <c r="I279" s="14" t="s">
        <v>225</v>
      </c>
      <c r="J279" s="14" t="s">
        <v>2655</v>
      </c>
      <c r="K279" s="14" t="s">
        <v>2656</v>
      </c>
      <c r="L279" s="14" t="s">
        <v>2657</v>
      </c>
      <c r="M279" s="15" t="n">
        <v>65228</v>
      </c>
      <c r="N279" s="14" t="s">
        <v>400</v>
      </c>
      <c r="O279" s="14" t="s">
        <v>2658</v>
      </c>
      <c r="P279" s="16" t="s">
        <v>2659</v>
      </c>
      <c r="Q279" s="6" t="s">
        <v>2660</v>
      </c>
      <c r="R279" s="6" t="s">
        <v>2661</v>
      </c>
      <c r="S279" s="14" t="s">
        <v>513</v>
      </c>
      <c r="T279" s="14" t="s">
        <v>235</v>
      </c>
      <c r="U279" s="14" t="s">
        <v>236</v>
      </c>
      <c r="V279" s="14" t="s">
        <v>331</v>
      </c>
      <c r="W279" s="14" t="s">
        <v>238</v>
      </c>
      <c r="X279" s="14" t="s">
        <v>239</v>
      </c>
      <c r="Y279" s="15"/>
      <c r="Z279" s="15" t="n">
        <v>1340</v>
      </c>
      <c r="AA279" s="14" t="n">
        <v>137</v>
      </c>
      <c r="AB279" s="14" t="n">
        <v>10</v>
      </c>
      <c r="AC279" s="17" t="n">
        <v>0.0231212974048793</v>
      </c>
      <c r="AD279" s="18" t="n">
        <v>39.34</v>
      </c>
      <c r="AE279" s="18" t="n">
        <f aca="false">IF(AD279="","",MIN(AD279,100))</f>
        <v>39.34</v>
      </c>
      <c r="AF279" s="14" t="n">
        <v>99.3</v>
      </c>
      <c r="AG279" s="14" t="s">
        <v>224</v>
      </c>
      <c r="AH279" s="14" t="n">
        <v>5</v>
      </c>
      <c r="AI279" s="14" t="s">
        <v>224</v>
      </c>
      <c r="AJ279" s="14" t="s">
        <v>224</v>
      </c>
      <c r="AK279" s="14" t="s">
        <v>240</v>
      </c>
      <c r="AL279" s="19" t="n">
        <f aca="false">ROUND('Start Here'!$B$29*AH279+'Start Here'!$B$30*MIN(IF(AD279="",0,AD279),50)/5+IF(M279&lt;=30000,'Start Here'!$B$31,IF(M279&lt;=60000,'Start Here'!$B$32,0)),1)</f>
        <v>4.9</v>
      </c>
      <c r="AM279" s="6" t="s">
        <v>789</v>
      </c>
      <c r="AN279" s="6" t="s">
        <v>1098</v>
      </c>
      <c r="AO279" s="6" t="s">
        <v>2662</v>
      </c>
      <c r="AP279" s="14" t="s">
        <v>2663</v>
      </c>
      <c r="AQ279" s="14" t="s">
        <v>718</v>
      </c>
      <c r="AR279" s="20" t="s">
        <v>246</v>
      </c>
      <c r="AS279" s="20"/>
    </row>
    <row r="280" customFormat="false" ht="60" hidden="false" customHeight="true" outlineLevel="0" collapsed="false">
      <c r="A280" s="14" t="n">
        <v>279</v>
      </c>
      <c r="B280" s="14" t="s">
        <v>247</v>
      </c>
      <c r="C280" s="14" t="s">
        <v>221</v>
      </c>
      <c r="D280" s="14" t="s">
        <v>222</v>
      </c>
      <c r="E280" s="14" t="s">
        <v>36</v>
      </c>
      <c r="F280" s="14" t="s">
        <v>223</v>
      </c>
      <c r="G280" s="14" t="s">
        <v>223</v>
      </c>
      <c r="H280" s="14" t="s">
        <v>224</v>
      </c>
      <c r="I280" s="14" t="s">
        <v>338</v>
      </c>
      <c r="J280" s="14" t="s">
        <v>1250</v>
      </c>
      <c r="K280" s="14" t="s">
        <v>2326</v>
      </c>
      <c r="L280" s="14" t="s">
        <v>2327</v>
      </c>
      <c r="M280" s="15" t="n">
        <v>18133</v>
      </c>
      <c r="N280" s="14" t="s">
        <v>229</v>
      </c>
      <c r="O280" s="14" t="s">
        <v>826</v>
      </c>
      <c r="P280" s="16" t="s">
        <v>2664</v>
      </c>
      <c r="Q280" s="6" t="s">
        <v>2665</v>
      </c>
      <c r="R280" s="6" t="s">
        <v>2665</v>
      </c>
      <c r="S280" s="14" t="s">
        <v>255</v>
      </c>
      <c r="T280" s="14" t="s">
        <v>235</v>
      </c>
      <c r="U280" s="14" t="s">
        <v>236</v>
      </c>
      <c r="V280" s="14" t="s">
        <v>256</v>
      </c>
      <c r="W280" s="14" t="s">
        <v>332</v>
      </c>
      <c r="X280" s="14" t="s">
        <v>333</v>
      </c>
      <c r="Y280" s="15" t="n">
        <v>114294</v>
      </c>
      <c r="Z280" s="15" t="n">
        <v>53</v>
      </c>
      <c r="AA280" s="14" t="n">
        <v>35</v>
      </c>
      <c r="AB280" s="14"/>
      <c r="AC280" s="17" t="n">
        <v>0.000769944179047019</v>
      </c>
      <c r="AD280" s="18" t="n">
        <v>18.34</v>
      </c>
      <c r="AE280" s="18" t="n">
        <f aca="false">IF(AD280="","",MIN(AD280,100))</f>
        <v>18.34</v>
      </c>
      <c r="AF280" s="14" t="n">
        <v>98.4</v>
      </c>
      <c r="AG280" s="14" t="s">
        <v>224</v>
      </c>
      <c r="AH280" s="14" t="n">
        <v>3.5</v>
      </c>
      <c r="AI280" s="14" t="s">
        <v>224</v>
      </c>
      <c r="AJ280" s="14" t="s">
        <v>223</v>
      </c>
      <c r="AK280" s="14" t="s">
        <v>490</v>
      </c>
      <c r="AL280" s="19" t="n">
        <f aca="false">ROUND('Start Here'!$B$29*AH280+'Start Here'!$B$30*MIN(IF(AD280="",0,AD280),50)/5+IF(M280&lt;=30000,'Start Here'!$B$31,IF(M280&lt;=60000,'Start Here'!$B$32,0)),1)</f>
        <v>4.9</v>
      </c>
      <c r="AM280" s="6" t="s">
        <v>2666</v>
      </c>
      <c r="AN280" s="6" t="s">
        <v>2667</v>
      </c>
      <c r="AO280" s="6" t="s">
        <v>2668</v>
      </c>
      <c r="AP280" s="14" t="s">
        <v>2669</v>
      </c>
      <c r="AQ280" s="14" t="s">
        <v>538</v>
      </c>
      <c r="AR280" s="20" t="s">
        <v>246</v>
      </c>
      <c r="AS280" s="20"/>
    </row>
    <row r="281" customFormat="false" ht="60" hidden="false" customHeight="true" outlineLevel="0" collapsed="false">
      <c r="A281" s="14" t="n">
        <v>280</v>
      </c>
      <c r="B281" s="14" t="s">
        <v>374</v>
      </c>
      <c r="C281" s="14" t="s">
        <v>221</v>
      </c>
      <c r="D281" s="14" t="s">
        <v>222</v>
      </c>
      <c r="E281" s="14" t="s">
        <v>38</v>
      </c>
      <c r="F281" s="14" t="s">
        <v>224</v>
      </c>
      <c r="G281" s="14" t="s">
        <v>224</v>
      </c>
      <c r="H281" s="14" t="s">
        <v>223</v>
      </c>
      <c r="I281" s="14" t="s">
        <v>225</v>
      </c>
      <c r="J281" s="14" t="s">
        <v>2670</v>
      </c>
      <c r="K281" s="14" t="s">
        <v>2671</v>
      </c>
      <c r="L281" s="14" t="s">
        <v>2672</v>
      </c>
      <c r="M281" s="15" t="n">
        <v>58205</v>
      </c>
      <c r="N281" s="14" t="s">
        <v>400</v>
      </c>
      <c r="O281" s="14" t="s">
        <v>2673</v>
      </c>
      <c r="P281" s="16" t="s">
        <v>2674</v>
      </c>
      <c r="Q281" s="6" t="s">
        <v>2675</v>
      </c>
      <c r="R281" s="6" t="s">
        <v>2676</v>
      </c>
      <c r="S281" s="14" t="s">
        <v>234</v>
      </c>
      <c r="T281" s="14" t="s">
        <v>235</v>
      </c>
      <c r="U281" s="14" t="s">
        <v>236</v>
      </c>
      <c r="V281" s="14" t="s">
        <v>331</v>
      </c>
      <c r="W281" s="14" t="s">
        <v>238</v>
      </c>
      <c r="X281" s="14" t="s">
        <v>258</v>
      </c>
      <c r="Y281" s="15"/>
      <c r="Z281" s="15" t="n">
        <v>1085</v>
      </c>
      <c r="AA281" s="14" t="n">
        <v>214</v>
      </c>
      <c r="AB281" s="14" t="n">
        <v>52</v>
      </c>
      <c r="AC281" s="17" t="n">
        <v>0.0232110643415514</v>
      </c>
      <c r="AD281" s="18" t="n">
        <v>5.8</v>
      </c>
      <c r="AE281" s="18" t="n">
        <f aca="false">IF(AD281="","",MIN(AD281,100))</f>
        <v>5.8</v>
      </c>
      <c r="AF281" s="14" t="n">
        <v>100</v>
      </c>
      <c r="AG281" s="14" t="s">
        <v>224</v>
      </c>
      <c r="AH281" s="14" t="n">
        <v>7</v>
      </c>
      <c r="AI281" s="14" t="s">
        <v>224</v>
      </c>
      <c r="AJ281" s="14" t="s">
        <v>224</v>
      </c>
      <c r="AK281" s="14" t="s">
        <v>240</v>
      </c>
      <c r="AL281" s="19" t="n">
        <f aca="false">ROUND('Start Here'!$B$29*AH281+'Start Here'!$B$30*MIN(IF(AD281="",0,AD281),50)/5+IF(M281&lt;=30000,'Start Here'!$B$31,IF(M281&lt;=60000,'Start Here'!$B$32,0)),1)</f>
        <v>4.8</v>
      </c>
      <c r="AM281" s="6" t="s">
        <v>503</v>
      </c>
      <c r="AN281" s="6" t="s">
        <v>242</v>
      </c>
      <c r="AO281" s="6" t="s">
        <v>2677</v>
      </c>
      <c r="AP281" s="14" t="s">
        <v>2678</v>
      </c>
      <c r="AQ281" s="14" t="s">
        <v>1672</v>
      </c>
      <c r="AR281" s="20" t="s">
        <v>246</v>
      </c>
      <c r="AS281" s="20"/>
    </row>
    <row r="282" customFormat="false" ht="60" hidden="false" customHeight="true" outlineLevel="0" collapsed="false">
      <c r="A282" s="14" t="n">
        <v>281</v>
      </c>
      <c r="B282" s="14" t="s">
        <v>220</v>
      </c>
      <c r="C282" s="14" t="s">
        <v>221</v>
      </c>
      <c r="D282" s="14" t="s">
        <v>222</v>
      </c>
      <c r="E282" s="14" t="s">
        <v>36</v>
      </c>
      <c r="F282" s="14" t="s">
        <v>224</v>
      </c>
      <c r="G282" s="14" t="s">
        <v>223</v>
      </c>
      <c r="H282" s="14" t="s">
        <v>224</v>
      </c>
      <c r="I282" s="14" t="s">
        <v>322</v>
      </c>
      <c r="J282" s="14" t="s">
        <v>636</v>
      </c>
      <c r="K282" s="14" t="s">
        <v>588</v>
      </c>
      <c r="L282" s="14" t="s">
        <v>589</v>
      </c>
      <c r="M282" s="15" t="n">
        <v>6256</v>
      </c>
      <c r="N282" s="14" t="s">
        <v>283</v>
      </c>
      <c r="O282" s="14" t="s">
        <v>2679</v>
      </c>
      <c r="P282" s="16" t="s">
        <v>2680</v>
      </c>
      <c r="Q282" s="6" t="s">
        <v>2681</v>
      </c>
      <c r="R282" s="6" t="s">
        <v>2682</v>
      </c>
      <c r="S282" s="14" t="s">
        <v>685</v>
      </c>
      <c r="T282" s="14" t="s">
        <v>273</v>
      </c>
      <c r="U282" s="14" t="s">
        <v>274</v>
      </c>
      <c r="V282" s="14" t="s">
        <v>237</v>
      </c>
      <c r="W282" s="14" t="s">
        <v>257</v>
      </c>
      <c r="X282" s="14" t="s">
        <v>258</v>
      </c>
      <c r="Y282" s="15" t="n">
        <v>9861</v>
      </c>
      <c r="Z282" s="15" t="n">
        <v>174</v>
      </c>
      <c r="AA282" s="14" t="n">
        <v>29</v>
      </c>
      <c r="AB282" s="14" t="n">
        <v>14</v>
      </c>
      <c r="AC282" s="17" t="n">
        <v>0.0220058817564142</v>
      </c>
      <c r="AD282" s="18" t="n">
        <v>9.75</v>
      </c>
      <c r="AE282" s="18" t="n">
        <f aca="false">IF(AD282="","",MIN(AD282,100))</f>
        <v>9.75</v>
      </c>
      <c r="AF282" s="14" t="n">
        <v>97.9</v>
      </c>
      <c r="AG282" s="14" t="s">
        <v>224</v>
      </c>
      <c r="AH282" s="14" t="n">
        <v>4.5</v>
      </c>
      <c r="AI282" s="14" t="s">
        <v>224</v>
      </c>
      <c r="AJ282" s="14" t="s">
        <v>223</v>
      </c>
      <c r="AK282" s="14" t="s">
        <v>490</v>
      </c>
      <c r="AL282" s="19" t="n">
        <f aca="false">ROUND('Start Here'!$B$29*AH282+'Start Here'!$B$30*MIN(IF(AD282="",0,AD282),50)/5+IF(M282&lt;=30000,'Start Here'!$B$31,IF(M282&lt;=60000,'Start Here'!$B$32,0)),1)</f>
        <v>4.8</v>
      </c>
      <c r="AM282" s="6" t="s">
        <v>2420</v>
      </c>
      <c r="AN282" s="6" t="s">
        <v>2683</v>
      </c>
      <c r="AO282" s="6" t="s">
        <v>2684</v>
      </c>
      <c r="AP282" s="14" t="s">
        <v>2685</v>
      </c>
      <c r="AQ282" s="14" t="s">
        <v>2686</v>
      </c>
      <c r="AR282" s="20" t="s">
        <v>246</v>
      </c>
      <c r="AS282" s="20"/>
    </row>
    <row r="283" customFormat="false" ht="60" hidden="false" customHeight="true" outlineLevel="0" collapsed="false">
      <c r="A283" s="14" t="n">
        <v>282</v>
      </c>
      <c r="B283" s="14" t="s">
        <v>220</v>
      </c>
      <c r="C283" s="14" t="s">
        <v>221</v>
      </c>
      <c r="D283" s="14" t="s">
        <v>222</v>
      </c>
      <c r="E283" s="14" t="s">
        <v>36</v>
      </c>
      <c r="F283" s="14" t="s">
        <v>223</v>
      </c>
      <c r="G283" s="14" t="s">
        <v>223</v>
      </c>
      <c r="H283" s="14" t="s">
        <v>224</v>
      </c>
      <c r="I283" s="14" t="s">
        <v>322</v>
      </c>
      <c r="J283" s="14" t="s">
        <v>586</v>
      </c>
      <c r="K283" s="14" t="s">
        <v>2687</v>
      </c>
      <c r="L283" s="14" t="s">
        <v>2688</v>
      </c>
      <c r="M283" s="15" t="n">
        <v>5775</v>
      </c>
      <c r="N283" s="14" t="s">
        <v>283</v>
      </c>
      <c r="O283" s="14" t="s">
        <v>2689</v>
      </c>
      <c r="P283" s="16" t="s">
        <v>2690</v>
      </c>
      <c r="Q283" s="6" t="s">
        <v>2691</v>
      </c>
      <c r="R283" s="6" t="s">
        <v>2692</v>
      </c>
      <c r="S283" s="14" t="s">
        <v>685</v>
      </c>
      <c r="T283" s="14" t="s">
        <v>235</v>
      </c>
      <c r="U283" s="14" t="s">
        <v>686</v>
      </c>
      <c r="V283" s="14" t="s">
        <v>237</v>
      </c>
      <c r="W283" s="14" t="s">
        <v>238</v>
      </c>
      <c r="X283" s="14" t="s">
        <v>688</v>
      </c>
      <c r="Y283" s="15" t="n">
        <v>39108</v>
      </c>
      <c r="Z283" s="15" t="n">
        <v>218</v>
      </c>
      <c r="AA283" s="14" t="n">
        <v>16</v>
      </c>
      <c r="AB283" s="14" t="n">
        <v>9</v>
      </c>
      <c r="AC283" s="17" t="n">
        <v>0.00621356244246701</v>
      </c>
      <c r="AD283" s="18" t="n">
        <v>13.81</v>
      </c>
      <c r="AE283" s="18" t="n">
        <f aca="false">IF(AD283="","",MIN(AD283,100))</f>
        <v>13.81</v>
      </c>
      <c r="AF283" s="14" t="n">
        <v>97.3</v>
      </c>
      <c r="AG283" s="14" t="s">
        <v>224</v>
      </c>
      <c r="AH283" s="14" t="n">
        <v>4</v>
      </c>
      <c r="AI283" s="14" t="s">
        <v>224</v>
      </c>
      <c r="AJ283" s="14" t="s">
        <v>224</v>
      </c>
      <c r="AK283" s="14" t="s">
        <v>240</v>
      </c>
      <c r="AL283" s="19" t="n">
        <f aca="false">ROUND('Start Here'!$B$29*AH283+'Start Here'!$B$30*MIN(IF(AD283="",0,AD283),50)/5+IF(M283&lt;=30000,'Start Here'!$B$31,IF(M283&lt;=60000,'Start Here'!$B$32,0)),1)</f>
        <v>4.8</v>
      </c>
      <c r="AM283" s="6" t="s">
        <v>726</v>
      </c>
      <c r="AN283" s="6" t="s">
        <v>727</v>
      </c>
      <c r="AO283" s="6" t="s">
        <v>2693</v>
      </c>
      <c r="AP283" s="14" t="s">
        <v>2694</v>
      </c>
      <c r="AQ283" s="14" t="s">
        <v>1120</v>
      </c>
      <c r="AR283" s="20" t="s">
        <v>246</v>
      </c>
      <c r="AS283" s="20"/>
    </row>
    <row r="284" customFormat="false" ht="60" hidden="false" customHeight="true" outlineLevel="0" collapsed="false">
      <c r="A284" s="14" t="n">
        <v>283</v>
      </c>
      <c r="B284" s="14" t="s">
        <v>374</v>
      </c>
      <c r="C284" s="14" t="s">
        <v>221</v>
      </c>
      <c r="D284" s="14" t="s">
        <v>222</v>
      </c>
      <c r="E284" s="14" t="s">
        <v>34</v>
      </c>
      <c r="F284" s="14" t="s">
        <v>223</v>
      </c>
      <c r="G284" s="14" t="s">
        <v>224</v>
      </c>
      <c r="H284" s="14" t="s">
        <v>223</v>
      </c>
      <c r="I284" s="14" t="s">
        <v>225</v>
      </c>
      <c r="J284" s="14" t="s">
        <v>375</v>
      </c>
      <c r="K284" s="14" t="s">
        <v>2695</v>
      </c>
      <c r="L284" s="14" t="s">
        <v>2696</v>
      </c>
      <c r="M284" s="15" t="n">
        <v>46893</v>
      </c>
      <c r="N284" s="14" t="s">
        <v>462</v>
      </c>
      <c r="O284" s="14" t="s">
        <v>299</v>
      </c>
      <c r="P284" s="16" t="s">
        <v>2697</v>
      </c>
      <c r="Q284" s="6" t="s">
        <v>2698</v>
      </c>
      <c r="R284" s="6" t="s">
        <v>2698</v>
      </c>
      <c r="S284" s="14" t="s">
        <v>255</v>
      </c>
      <c r="T284" s="14" t="s">
        <v>235</v>
      </c>
      <c r="U284" s="14" t="s">
        <v>236</v>
      </c>
      <c r="V284" s="14" t="s">
        <v>331</v>
      </c>
      <c r="W284" s="14" t="s">
        <v>238</v>
      </c>
      <c r="X284" s="14" t="s">
        <v>239</v>
      </c>
      <c r="Y284" s="15"/>
      <c r="Z284" s="15" t="n">
        <v>1172</v>
      </c>
      <c r="AA284" s="14" t="n">
        <v>70</v>
      </c>
      <c r="AB284" s="14" t="n">
        <v>5</v>
      </c>
      <c r="AC284" s="17" t="n">
        <v>0.0277049544545657</v>
      </c>
      <c r="AD284" s="18" t="n">
        <v>13.72</v>
      </c>
      <c r="AE284" s="18" t="n">
        <f aca="false">IF(AD284="","",MIN(AD284,100))</f>
        <v>13.72</v>
      </c>
      <c r="AF284" s="14" t="n">
        <v>97.3</v>
      </c>
      <c r="AG284" s="14" t="s">
        <v>224</v>
      </c>
      <c r="AH284" s="14" t="n">
        <v>6</v>
      </c>
      <c r="AI284" s="14" t="s">
        <v>224</v>
      </c>
      <c r="AJ284" s="14" t="s">
        <v>224</v>
      </c>
      <c r="AK284" s="14" t="s">
        <v>240</v>
      </c>
      <c r="AL284" s="19" t="n">
        <f aca="false">ROUND('Start Here'!$B$29*AH284+'Start Here'!$B$30*MIN(IF(AD284="",0,AD284),50)/5+IF(M284&lt;=30000,'Start Here'!$B$31,IF(M284&lt;=60000,'Start Here'!$B$32,0)),1)</f>
        <v>4.8</v>
      </c>
      <c r="AM284" s="6" t="s">
        <v>534</v>
      </c>
      <c r="AN284" s="6" t="s">
        <v>674</v>
      </c>
      <c r="AO284" s="6" t="s">
        <v>2699</v>
      </c>
      <c r="AP284" s="14" t="s">
        <v>2700</v>
      </c>
      <c r="AQ284" s="14" t="s">
        <v>718</v>
      </c>
      <c r="AR284" s="20" t="s">
        <v>246</v>
      </c>
      <c r="AS284" s="20"/>
    </row>
    <row r="285" customFormat="false" ht="60" hidden="false" customHeight="true" outlineLevel="0" collapsed="false">
      <c r="A285" s="14" t="n">
        <v>284</v>
      </c>
      <c r="B285" s="14" t="s">
        <v>247</v>
      </c>
      <c r="C285" s="14" t="s">
        <v>221</v>
      </c>
      <c r="D285" s="14" t="s">
        <v>443</v>
      </c>
      <c r="E285" s="14" t="s">
        <v>34</v>
      </c>
      <c r="F285" s="14" t="s">
        <v>223</v>
      </c>
      <c r="G285" s="14" t="s">
        <v>224</v>
      </c>
      <c r="H285" s="14" t="s">
        <v>223</v>
      </c>
      <c r="I285" s="14" t="s">
        <v>225</v>
      </c>
      <c r="J285" s="14"/>
      <c r="K285" s="14" t="s">
        <v>2701</v>
      </c>
      <c r="L285" s="14" t="s">
        <v>2702</v>
      </c>
      <c r="M285" s="15" t="n">
        <v>35300</v>
      </c>
      <c r="N285" s="14" t="s">
        <v>462</v>
      </c>
      <c r="O285" s="14" t="s">
        <v>447</v>
      </c>
      <c r="P285" s="16" t="s">
        <v>2703</v>
      </c>
      <c r="Q285" s="6" t="s">
        <v>2704</v>
      </c>
      <c r="R285" s="6" t="s">
        <v>2705</v>
      </c>
      <c r="S285" s="14" t="s">
        <v>330</v>
      </c>
      <c r="T285" s="14" t="s">
        <v>235</v>
      </c>
      <c r="U285" s="14" t="s">
        <v>236</v>
      </c>
      <c r="V285" s="14" t="s">
        <v>2706</v>
      </c>
      <c r="W285" s="14" t="s">
        <v>452</v>
      </c>
      <c r="X285" s="14"/>
      <c r="Y285" s="15" t="n">
        <v>577400</v>
      </c>
      <c r="Z285" s="15"/>
      <c r="AA285" s="14"/>
      <c r="AB285" s="14"/>
      <c r="AC285" s="17"/>
      <c r="AD285" s="18" t="n">
        <v>38.7</v>
      </c>
      <c r="AE285" s="18" t="n">
        <f aca="false">IF(AD285="","",MIN(AD285,100))</f>
        <v>38.7</v>
      </c>
      <c r="AF285" s="14"/>
      <c r="AG285" s="14" t="s">
        <v>224</v>
      </c>
      <c r="AH285" s="14" t="n">
        <v>3</v>
      </c>
      <c r="AI285" s="14" t="s">
        <v>224</v>
      </c>
      <c r="AJ285" s="14" t="s">
        <v>224</v>
      </c>
      <c r="AK285" s="14" t="s">
        <v>240</v>
      </c>
      <c r="AL285" s="19" t="n">
        <f aca="false">ROUND('Start Here'!$B$29*AH285+'Start Here'!$B$30*MIN(IF(AD285="",0,AD285),50)/5+IF(M285&lt;=30000,'Start Here'!$B$31,IF(M285&lt;=60000,'Start Here'!$B$32,0)),1)</f>
        <v>4.8</v>
      </c>
      <c r="AM285" s="6" t="s">
        <v>2707</v>
      </c>
      <c r="AN285" s="6" t="s">
        <v>975</v>
      </c>
      <c r="AO285" s="6" t="s">
        <v>2708</v>
      </c>
      <c r="AP285" s="14" t="s">
        <v>561</v>
      </c>
      <c r="AQ285" s="14" t="s">
        <v>1640</v>
      </c>
      <c r="AR285" s="20" t="s">
        <v>246</v>
      </c>
      <c r="AS285" s="20"/>
    </row>
    <row r="286" customFormat="false" ht="60" hidden="false" customHeight="true" outlineLevel="0" collapsed="false">
      <c r="A286" s="14" t="n">
        <v>285</v>
      </c>
      <c r="B286" s="14" t="s">
        <v>220</v>
      </c>
      <c r="C286" s="14" t="s">
        <v>221</v>
      </c>
      <c r="D286" s="14" t="s">
        <v>222</v>
      </c>
      <c r="E286" s="14" t="s">
        <v>34</v>
      </c>
      <c r="F286" s="14" t="s">
        <v>223</v>
      </c>
      <c r="G286" s="14" t="s">
        <v>224</v>
      </c>
      <c r="H286" s="14" t="s">
        <v>223</v>
      </c>
      <c r="I286" s="14" t="s">
        <v>308</v>
      </c>
      <c r="J286" s="14" t="s">
        <v>1566</v>
      </c>
      <c r="K286" s="14" t="s">
        <v>2709</v>
      </c>
      <c r="L286" s="14" t="s">
        <v>2710</v>
      </c>
      <c r="M286" s="15" t="n">
        <v>35840</v>
      </c>
      <c r="N286" s="14" t="s">
        <v>462</v>
      </c>
      <c r="O286" s="14" t="s">
        <v>1810</v>
      </c>
      <c r="P286" s="16" t="s">
        <v>2711</v>
      </c>
      <c r="Q286" s="6" t="s">
        <v>2712</v>
      </c>
      <c r="R286" s="6" t="s">
        <v>2713</v>
      </c>
      <c r="S286" s="14" t="s">
        <v>255</v>
      </c>
      <c r="T286" s="14" t="s">
        <v>235</v>
      </c>
      <c r="U286" s="14" t="s">
        <v>236</v>
      </c>
      <c r="V286" s="14" t="s">
        <v>237</v>
      </c>
      <c r="W286" s="14" t="s">
        <v>332</v>
      </c>
      <c r="X286" s="14" t="s">
        <v>239</v>
      </c>
      <c r="Y286" s="15" t="n">
        <v>50155</v>
      </c>
      <c r="Z286" s="15" t="n">
        <v>3907</v>
      </c>
      <c r="AA286" s="14" t="n">
        <v>13</v>
      </c>
      <c r="AB286" s="14" t="n">
        <v>260</v>
      </c>
      <c r="AC286" s="17" t="n">
        <v>0.0833416409131692</v>
      </c>
      <c r="AD286" s="18" t="n">
        <v>21.94</v>
      </c>
      <c r="AE286" s="18" t="n">
        <f aca="false">IF(AD286="","",MIN(AD286,100))</f>
        <v>21.94</v>
      </c>
      <c r="AF286" s="14" t="n">
        <v>95.5</v>
      </c>
      <c r="AG286" s="14" t="s">
        <v>224</v>
      </c>
      <c r="AH286" s="14" t="n">
        <v>5</v>
      </c>
      <c r="AI286" s="14" t="s">
        <v>224</v>
      </c>
      <c r="AJ286" s="14" t="s">
        <v>224</v>
      </c>
      <c r="AK286" s="14" t="s">
        <v>240</v>
      </c>
      <c r="AL286" s="19" t="n">
        <f aca="false">ROUND('Start Here'!$B$29*AH286+'Start Here'!$B$30*MIN(IF(AD286="",0,AD286),50)/5+IF(M286&lt;=30000,'Start Here'!$B$31,IF(M286&lt;=60000,'Start Here'!$B$32,0)),1)</f>
        <v>4.8</v>
      </c>
      <c r="AM286" s="6" t="s">
        <v>534</v>
      </c>
      <c r="AN286" s="6" t="s">
        <v>840</v>
      </c>
      <c r="AO286" s="6" t="s">
        <v>2714</v>
      </c>
      <c r="AP286" s="14" t="s">
        <v>2715</v>
      </c>
      <c r="AQ286" s="14" t="s">
        <v>677</v>
      </c>
      <c r="AR286" s="20" t="s">
        <v>246</v>
      </c>
      <c r="AS286" s="20"/>
    </row>
    <row r="287" customFormat="false" ht="60" hidden="false" customHeight="true" outlineLevel="0" collapsed="false">
      <c r="A287" s="14" t="n">
        <v>286</v>
      </c>
      <c r="B287" s="14" t="s">
        <v>374</v>
      </c>
      <c r="C287" s="14" t="s">
        <v>221</v>
      </c>
      <c r="D287" s="14" t="s">
        <v>222</v>
      </c>
      <c r="E287" s="14" t="s">
        <v>34</v>
      </c>
      <c r="F287" s="14" t="s">
        <v>223</v>
      </c>
      <c r="G287" s="14" t="s">
        <v>224</v>
      </c>
      <c r="H287" s="14" t="s">
        <v>223</v>
      </c>
      <c r="I287" s="14" t="s">
        <v>338</v>
      </c>
      <c r="J287" s="14" t="s">
        <v>2716</v>
      </c>
      <c r="K287" s="14" t="s">
        <v>2717</v>
      </c>
      <c r="L287" s="14" t="s">
        <v>2718</v>
      </c>
      <c r="M287" s="15" t="n">
        <v>98816</v>
      </c>
      <c r="N287" s="14" t="s">
        <v>400</v>
      </c>
      <c r="O287" s="14" t="s">
        <v>705</v>
      </c>
      <c r="P287" s="16" t="s">
        <v>2719</v>
      </c>
      <c r="Q287" s="6" t="s">
        <v>2720</v>
      </c>
      <c r="R287" s="6" t="s">
        <v>2721</v>
      </c>
      <c r="S287" s="14" t="s">
        <v>330</v>
      </c>
      <c r="T287" s="14" t="s">
        <v>235</v>
      </c>
      <c r="U287" s="14" t="s">
        <v>236</v>
      </c>
      <c r="V287" s="14" t="s">
        <v>383</v>
      </c>
      <c r="W287" s="14"/>
      <c r="X287" s="14"/>
      <c r="Y287" s="15"/>
      <c r="Z287" s="15" t="n">
        <v>3705</v>
      </c>
      <c r="AA287" s="14" t="n">
        <v>203</v>
      </c>
      <c r="AB287" s="14" t="n">
        <v>27</v>
      </c>
      <c r="AC287" s="17" t="n">
        <v>0.0398214863989637</v>
      </c>
      <c r="AD287" s="18" t="n">
        <v>46.9</v>
      </c>
      <c r="AE287" s="18" t="n">
        <f aca="false">IF(AD287="","",MIN(AD287,100))</f>
        <v>46.9</v>
      </c>
      <c r="AF287" s="14" t="n">
        <v>100</v>
      </c>
      <c r="AG287" s="14" t="s">
        <v>224</v>
      </c>
      <c r="AH287" s="14" t="n">
        <v>4</v>
      </c>
      <c r="AI287" s="14" t="s">
        <v>224</v>
      </c>
      <c r="AJ287" s="14" t="s">
        <v>224</v>
      </c>
      <c r="AK287" s="14" t="s">
        <v>453</v>
      </c>
      <c r="AL287" s="19" t="n">
        <f aca="false">ROUND('Start Here'!$B$29*AH287+'Start Here'!$B$30*MIN(IF(AD287="",0,AD287),50)/5+IF(M287&lt;=30000,'Start Here'!$B$31,IF(M287&lt;=60000,'Start Here'!$B$32,0)),1)</f>
        <v>4.8</v>
      </c>
      <c r="AM287" s="6" t="s">
        <v>334</v>
      </c>
      <c r="AN287" s="6" t="s">
        <v>2722</v>
      </c>
      <c r="AO287" s="6"/>
      <c r="AP287" s="14"/>
      <c r="AQ287" s="14" t="s">
        <v>677</v>
      </c>
      <c r="AR287" s="20" t="s">
        <v>246</v>
      </c>
      <c r="AS287" s="20"/>
    </row>
    <row r="288" customFormat="false" ht="60" hidden="false" customHeight="true" outlineLevel="0" collapsed="false">
      <c r="A288" s="14" t="n">
        <v>287</v>
      </c>
      <c r="B288" s="14" t="s">
        <v>374</v>
      </c>
      <c r="C288" s="14" t="s">
        <v>221</v>
      </c>
      <c r="D288" s="14" t="s">
        <v>222</v>
      </c>
      <c r="E288" s="14" t="s">
        <v>34</v>
      </c>
      <c r="F288" s="14" t="s">
        <v>223</v>
      </c>
      <c r="G288" s="14" t="s">
        <v>224</v>
      </c>
      <c r="H288" s="14" t="s">
        <v>224</v>
      </c>
      <c r="I288" s="14" t="s">
        <v>225</v>
      </c>
      <c r="J288" s="14" t="s">
        <v>2723</v>
      </c>
      <c r="K288" s="14" t="s">
        <v>2007</v>
      </c>
      <c r="L288" s="14" t="s">
        <v>2008</v>
      </c>
      <c r="M288" s="15" t="n">
        <v>100285</v>
      </c>
      <c r="N288" s="14" t="s">
        <v>2009</v>
      </c>
      <c r="O288" s="14" t="s">
        <v>1476</v>
      </c>
      <c r="P288" s="16" t="s">
        <v>2724</v>
      </c>
      <c r="Q288" s="6" t="s">
        <v>2012</v>
      </c>
      <c r="R288" s="6" t="s">
        <v>2120</v>
      </c>
      <c r="S288" s="14" t="s">
        <v>330</v>
      </c>
      <c r="T288" s="14" t="s">
        <v>273</v>
      </c>
      <c r="U288" s="14" t="s">
        <v>274</v>
      </c>
      <c r="V288" s="14" t="s">
        <v>331</v>
      </c>
      <c r="W288" s="14" t="s">
        <v>257</v>
      </c>
      <c r="X288" s="14" t="s">
        <v>258</v>
      </c>
      <c r="Y288" s="15"/>
      <c r="Z288" s="15" t="n">
        <v>805</v>
      </c>
      <c r="AA288" s="14" t="n">
        <v>1388</v>
      </c>
      <c r="AB288" s="14" t="n">
        <v>28</v>
      </c>
      <c r="AC288" s="17" t="n">
        <v>0.0223162252321048</v>
      </c>
      <c r="AD288" s="18" t="n">
        <v>16.89</v>
      </c>
      <c r="AE288" s="18" t="n">
        <f aca="false">IF(AD288="","",MIN(AD288,100))</f>
        <v>16.89</v>
      </c>
      <c r="AF288" s="14" t="n">
        <v>97.6</v>
      </c>
      <c r="AG288" s="14" t="s">
        <v>224</v>
      </c>
      <c r="AH288" s="14" t="n">
        <v>7.6</v>
      </c>
      <c r="AI288" s="14" t="s">
        <v>223</v>
      </c>
      <c r="AJ288" s="14" t="s">
        <v>224</v>
      </c>
      <c r="AK288" s="14" t="s">
        <v>240</v>
      </c>
      <c r="AL288" s="19" t="n">
        <f aca="false">ROUND('Start Here'!$B$29*AH288+'Start Here'!$B$30*MIN(IF(AD288="",0,AD288),50)/5+IF(M288&lt;=30000,'Start Here'!$B$31,IF(M288&lt;=60000,'Start Here'!$B$32,0)),1)</f>
        <v>4.8</v>
      </c>
      <c r="AM288" s="6" t="s">
        <v>2014</v>
      </c>
      <c r="AN288" s="6" t="s">
        <v>416</v>
      </c>
      <c r="AO288" s="6" t="s">
        <v>2725</v>
      </c>
      <c r="AP288" s="14" t="s">
        <v>2726</v>
      </c>
      <c r="AQ288" s="14" t="s">
        <v>2015</v>
      </c>
      <c r="AR288" s="20" t="s">
        <v>246</v>
      </c>
      <c r="AS288" s="20"/>
    </row>
    <row r="289" customFormat="false" ht="60" hidden="false" customHeight="true" outlineLevel="0" collapsed="false">
      <c r="A289" s="14" t="n">
        <v>288</v>
      </c>
      <c r="B289" s="14" t="s">
        <v>220</v>
      </c>
      <c r="C289" s="14" t="s">
        <v>221</v>
      </c>
      <c r="D289" s="14" t="s">
        <v>222</v>
      </c>
      <c r="E289" s="14" t="s">
        <v>36</v>
      </c>
      <c r="F289" s="14" t="s">
        <v>224</v>
      </c>
      <c r="G289" s="14" t="s">
        <v>223</v>
      </c>
      <c r="H289" s="14" t="s">
        <v>224</v>
      </c>
      <c r="I289" s="14" t="s">
        <v>225</v>
      </c>
      <c r="J289" s="14" t="s">
        <v>1705</v>
      </c>
      <c r="K289" s="14" t="s">
        <v>2727</v>
      </c>
      <c r="L289" s="14" t="s">
        <v>2728</v>
      </c>
      <c r="M289" s="15" t="n">
        <v>16371</v>
      </c>
      <c r="N289" s="14" t="s">
        <v>229</v>
      </c>
      <c r="O289" s="14" t="s">
        <v>1483</v>
      </c>
      <c r="P289" s="16" t="s">
        <v>2729</v>
      </c>
      <c r="Q289" s="6" t="s">
        <v>2730</v>
      </c>
      <c r="R289" s="6" t="s">
        <v>2731</v>
      </c>
      <c r="S289" s="14" t="s">
        <v>255</v>
      </c>
      <c r="T289" s="14" t="s">
        <v>235</v>
      </c>
      <c r="U289" s="14" t="s">
        <v>236</v>
      </c>
      <c r="V289" s="14" t="s">
        <v>725</v>
      </c>
      <c r="W289" s="14"/>
      <c r="X289" s="14"/>
      <c r="Y289" s="15" t="n">
        <v>51646</v>
      </c>
      <c r="Z289" s="15" t="n">
        <v>47</v>
      </c>
      <c r="AA289" s="14" t="n">
        <v>14</v>
      </c>
      <c r="AB289" s="14" t="n">
        <v>30</v>
      </c>
      <c r="AC289" s="17" t="n">
        <v>0.0017619951206289</v>
      </c>
      <c r="AD289" s="18" t="n">
        <v>5.15</v>
      </c>
      <c r="AE289" s="18" t="n">
        <f aca="false">IF(AD289="","",MIN(AD289,100))</f>
        <v>5.15</v>
      </c>
      <c r="AF289" s="14" t="n">
        <v>88.3</v>
      </c>
      <c r="AG289" s="14" t="s">
        <v>224</v>
      </c>
      <c r="AH289" s="14" t="n">
        <v>5</v>
      </c>
      <c r="AI289" s="14" t="s">
        <v>224</v>
      </c>
      <c r="AJ289" s="14" t="s">
        <v>224</v>
      </c>
      <c r="AK289" s="14" t="s">
        <v>240</v>
      </c>
      <c r="AL289" s="19" t="n">
        <f aca="false">ROUND('Start Here'!$B$29*AH289+'Start Here'!$B$30*MIN(IF(AD289="",0,AD289),50)/5+IF(M289&lt;=30000,'Start Here'!$B$31,IF(M289&lt;=60000,'Start Here'!$B$32,0)),1)</f>
        <v>4.8</v>
      </c>
      <c r="AM289" s="6" t="s">
        <v>491</v>
      </c>
      <c r="AN289" s="6" t="s">
        <v>674</v>
      </c>
      <c r="AO289" s="6"/>
      <c r="AP289" s="14"/>
      <c r="AQ289" s="14" t="s">
        <v>373</v>
      </c>
      <c r="AR289" s="20" t="s">
        <v>246</v>
      </c>
      <c r="AS289" s="20"/>
    </row>
    <row r="290" customFormat="false" ht="60" hidden="false" customHeight="true" outlineLevel="0" collapsed="false">
      <c r="A290" s="14" t="n">
        <v>289</v>
      </c>
      <c r="B290" s="14" t="s">
        <v>220</v>
      </c>
      <c r="C290" s="14" t="s">
        <v>221</v>
      </c>
      <c r="D290" s="14" t="s">
        <v>222</v>
      </c>
      <c r="E290" s="14" t="s">
        <v>36</v>
      </c>
      <c r="F290" s="14" t="s">
        <v>224</v>
      </c>
      <c r="G290" s="14" t="s">
        <v>223</v>
      </c>
      <c r="H290" s="14" t="s">
        <v>224</v>
      </c>
      <c r="I290" s="14" t="s">
        <v>225</v>
      </c>
      <c r="J290" s="14" t="s">
        <v>322</v>
      </c>
      <c r="K290" s="14" t="s">
        <v>2732</v>
      </c>
      <c r="L290" s="14" t="s">
        <v>2733</v>
      </c>
      <c r="M290" s="15" t="n">
        <v>29648</v>
      </c>
      <c r="N290" s="14" t="s">
        <v>298</v>
      </c>
      <c r="O290" s="14" t="s">
        <v>2734</v>
      </c>
      <c r="P290" s="16" t="s">
        <v>2735</v>
      </c>
      <c r="Q290" s="6" t="s">
        <v>2736</v>
      </c>
      <c r="R290" s="6" t="s">
        <v>2737</v>
      </c>
      <c r="S290" s="14" t="s">
        <v>330</v>
      </c>
      <c r="T290" s="14" t="s">
        <v>235</v>
      </c>
      <c r="U290" s="14" t="s">
        <v>236</v>
      </c>
      <c r="V290" s="14" t="s">
        <v>237</v>
      </c>
      <c r="W290" s="14" t="s">
        <v>332</v>
      </c>
      <c r="X290" s="14" t="s">
        <v>333</v>
      </c>
      <c r="Y290" s="15" t="n">
        <v>85938</v>
      </c>
      <c r="Z290" s="15" t="n">
        <v>1038</v>
      </c>
      <c r="AA290" s="14" t="n">
        <v>38</v>
      </c>
      <c r="AB290" s="14" t="n">
        <v>31</v>
      </c>
      <c r="AC290" s="17" t="n">
        <v>0.012881379599246</v>
      </c>
      <c r="AD290" s="18" t="n">
        <v>5.03</v>
      </c>
      <c r="AE290" s="18" t="n">
        <f aca="false">IF(AD290="","",MIN(AD290,100))</f>
        <v>5.03</v>
      </c>
      <c r="AF290" s="14" t="n">
        <v>95.7</v>
      </c>
      <c r="AG290" s="14" t="s">
        <v>224</v>
      </c>
      <c r="AH290" s="14" t="n">
        <v>5</v>
      </c>
      <c r="AI290" s="14" t="s">
        <v>224</v>
      </c>
      <c r="AJ290" s="14" t="s">
        <v>224</v>
      </c>
      <c r="AK290" s="14" t="s">
        <v>240</v>
      </c>
      <c r="AL290" s="19" t="n">
        <f aca="false">ROUND('Start Here'!$B$29*AH290+'Start Here'!$B$30*MIN(IF(AD290="",0,AD290),50)/5+IF(M290&lt;=30000,'Start Here'!$B$31,IF(M290&lt;=60000,'Start Here'!$B$32,0)),1)</f>
        <v>4.8</v>
      </c>
      <c r="AM290" s="6" t="s">
        <v>1117</v>
      </c>
      <c r="AN290" s="6" t="s">
        <v>416</v>
      </c>
      <c r="AO290" s="6" t="s">
        <v>2738</v>
      </c>
      <c r="AP290" s="14" t="s">
        <v>2739</v>
      </c>
      <c r="AQ290" s="14" t="s">
        <v>1120</v>
      </c>
      <c r="AR290" s="20" t="s">
        <v>246</v>
      </c>
      <c r="AS290" s="20"/>
    </row>
    <row r="291" customFormat="false" ht="60" hidden="false" customHeight="true" outlineLevel="0" collapsed="false">
      <c r="A291" s="14" t="n">
        <v>290</v>
      </c>
      <c r="B291" s="14" t="s">
        <v>374</v>
      </c>
      <c r="C291" s="14" t="s">
        <v>221</v>
      </c>
      <c r="D291" s="14" t="s">
        <v>222</v>
      </c>
      <c r="E291" s="14" t="s">
        <v>34</v>
      </c>
      <c r="F291" s="14" t="s">
        <v>223</v>
      </c>
      <c r="G291" s="14" t="s">
        <v>224</v>
      </c>
      <c r="H291" s="14" t="s">
        <v>223</v>
      </c>
      <c r="I291" s="14" t="s">
        <v>225</v>
      </c>
      <c r="J291" s="14" t="s">
        <v>2740</v>
      </c>
      <c r="K291" s="14" t="s">
        <v>2741</v>
      </c>
      <c r="L291" s="14" t="s">
        <v>2742</v>
      </c>
      <c r="M291" s="15" t="n">
        <v>52478</v>
      </c>
      <c r="N291" s="14" t="s">
        <v>400</v>
      </c>
      <c r="O291" s="14" t="s">
        <v>2144</v>
      </c>
      <c r="P291" s="16" t="s">
        <v>2743</v>
      </c>
      <c r="Q291" s="6" t="s">
        <v>2744</v>
      </c>
      <c r="R291" s="6" t="s">
        <v>2745</v>
      </c>
      <c r="S291" s="14" t="s">
        <v>234</v>
      </c>
      <c r="T291" s="14" t="s">
        <v>235</v>
      </c>
      <c r="U291" s="14" t="s">
        <v>236</v>
      </c>
      <c r="V291" s="14" t="s">
        <v>383</v>
      </c>
      <c r="W291" s="14"/>
      <c r="X291" s="14"/>
      <c r="Y291" s="15"/>
      <c r="Z291" s="15" t="n">
        <v>1483</v>
      </c>
      <c r="AA291" s="14" t="n">
        <v>130</v>
      </c>
      <c r="AB291" s="14" t="n">
        <v>23</v>
      </c>
      <c r="AC291" s="17" t="n">
        <v>0.0321319846803496</v>
      </c>
      <c r="AD291" s="18" t="n">
        <v>13.12</v>
      </c>
      <c r="AE291" s="18" t="n">
        <f aca="false">IF(AD291="","",MIN(AD291,100))</f>
        <v>13.12</v>
      </c>
      <c r="AF291" s="14" t="n">
        <v>94.5</v>
      </c>
      <c r="AG291" s="14" t="s">
        <v>224</v>
      </c>
      <c r="AH291" s="14" t="n">
        <v>6</v>
      </c>
      <c r="AI291" s="14" t="s">
        <v>224</v>
      </c>
      <c r="AJ291" s="14" t="s">
        <v>224</v>
      </c>
      <c r="AK291" s="14" t="s">
        <v>240</v>
      </c>
      <c r="AL291" s="19" t="n">
        <f aca="false">ROUND('Start Here'!$B$29*AH291+'Start Here'!$B$30*MIN(IF(AD291="",0,AD291),50)/5+IF(M291&lt;=30000,'Start Here'!$B$31,IF(M291&lt;=60000,'Start Here'!$B$32,0)),1)</f>
        <v>4.8</v>
      </c>
      <c r="AM291" s="6" t="s">
        <v>503</v>
      </c>
      <c r="AN291" s="6" t="s">
        <v>242</v>
      </c>
      <c r="AO291" s="6"/>
      <c r="AP291" s="14"/>
      <c r="AQ291" s="14" t="s">
        <v>1672</v>
      </c>
      <c r="AR291" s="20" t="s">
        <v>246</v>
      </c>
      <c r="AS291" s="20"/>
    </row>
    <row r="292" customFormat="false" ht="60" hidden="false" customHeight="true" outlineLevel="0" collapsed="false">
      <c r="A292" s="14" t="n">
        <v>291</v>
      </c>
      <c r="B292" s="14" t="s">
        <v>247</v>
      </c>
      <c r="C292" s="14" t="s">
        <v>221</v>
      </c>
      <c r="D292" s="14" t="s">
        <v>443</v>
      </c>
      <c r="E292" s="14" t="s">
        <v>34</v>
      </c>
      <c r="F292" s="14" t="s">
        <v>223</v>
      </c>
      <c r="G292" s="14" t="s">
        <v>224</v>
      </c>
      <c r="H292" s="14" t="s">
        <v>224</v>
      </c>
      <c r="I292" s="14" t="s">
        <v>338</v>
      </c>
      <c r="J292" s="14" t="s">
        <v>264</v>
      </c>
      <c r="K292" s="14" t="s">
        <v>2746</v>
      </c>
      <c r="L292" s="14" t="s">
        <v>2747</v>
      </c>
      <c r="M292" s="15" t="n">
        <v>51100</v>
      </c>
      <c r="N292" s="14" t="s">
        <v>400</v>
      </c>
      <c r="O292" s="14" t="s">
        <v>447</v>
      </c>
      <c r="P292" s="16" t="s">
        <v>2748</v>
      </c>
      <c r="Q292" s="6" t="s">
        <v>2749</v>
      </c>
      <c r="R292" s="6" t="s">
        <v>2750</v>
      </c>
      <c r="S292" s="14" t="s">
        <v>685</v>
      </c>
      <c r="T292" s="14" t="s">
        <v>235</v>
      </c>
      <c r="U292" s="14" t="s">
        <v>686</v>
      </c>
      <c r="V292" s="14" t="s">
        <v>930</v>
      </c>
      <c r="W292" s="14" t="s">
        <v>452</v>
      </c>
      <c r="X292" s="14"/>
      <c r="Y292" s="15" t="n">
        <v>95200</v>
      </c>
      <c r="Z292" s="15"/>
      <c r="AA292" s="14"/>
      <c r="AB292" s="14"/>
      <c r="AC292" s="17"/>
      <c r="AD292" s="18" t="n">
        <v>29.7</v>
      </c>
      <c r="AE292" s="18" t="n">
        <f aca="false">IF(AD292="","",MIN(AD292,100))</f>
        <v>29.7</v>
      </c>
      <c r="AF292" s="14"/>
      <c r="AG292" s="14" t="s">
        <v>224</v>
      </c>
      <c r="AH292" s="14" t="n">
        <v>4</v>
      </c>
      <c r="AI292" s="14" t="s">
        <v>224</v>
      </c>
      <c r="AJ292" s="14" t="s">
        <v>224</v>
      </c>
      <c r="AK292" s="14" t="s">
        <v>240</v>
      </c>
      <c r="AL292" s="19" t="n">
        <f aca="false">ROUND('Start Here'!$B$29*AH292+'Start Here'!$B$30*MIN(IF(AD292="",0,AD292),50)/5+IF(M292&lt;=30000,'Start Here'!$B$31,IF(M292&lt;=60000,'Start Here'!$B$32,0)),1)</f>
        <v>4.8</v>
      </c>
      <c r="AM292" s="6" t="s">
        <v>2751</v>
      </c>
      <c r="AN292" s="6" t="s">
        <v>1268</v>
      </c>
      <c r="AO292" s="6" t="s">
        <v>2752</v>
      </c>
      <c r="AP292" s="14" t="s">
        <v>922</v>
      </c>
      <c r="AQ292" s="14" t="s">
        <v>747</v>
      </c>
      <c r="AR292" s="20" t="s">
        <v>246</v>
      </c>
      <c r="AS292" s="20"/>
    </row>
    <row r="293" customFormat="false" ht="60" hidden="false" customHeight="true" outlineLevel="0" collapsed="false">
      <c r="A293" s="14" t="n">
        <v>292</v>
      </c>
      <c r="B293" s="14" t="s">
        <v>220</v>
      </c>
      <c r="C293" s="14" t="s">
        <v>221</v>
      </c>
      <c r="D293" s="14" t="s">
        <v>222</v>
      </c>
      <c r="E293" s="14" t="s">
        <v>40</v>
      </c>
      <c r="F293" s="14" t="s">
        <v>224</v>
      </c>
      <c r="G293" s="14" t="s">
        <v>224</v>
      </c>
      <c r="H293" s="14" t="s">
        <v>224</v>
      </c>
      <c r="I293" s="14" t="s">
        <v>322</v>
      </c>
      <c r="J293" s="14" t="s">
        <v>2753</v>
      </c>
      <c r="K293" s="14" t="s">
        <v>2754</v>
      </c>
      <c r="L293" s="14" t="s">
        <v>2755</v>
      </c>
      <c r="M293" s="15" t="n">
        <v>76503</v>
      </c>
      <c r="N293" s="14" t="s">
        <v>400</v>
      </c>
      <c r="O293" s="14" t="s">
        <v>1227</v>
      </c>
      <c r="P293" s="16" t="s">
        <v>2756</v>
      </c>
      <c r="Q293" s="6" t="s">
        <v>2757</v>
      </c>
      <c r="R293" s="6" t="s">
        <v>2758</v>
      </c>
      <c r="S293" s="14" t="s">
        <v>330</v>
      </c>
      <c r="T293" s="14" t="s">
        <v>235</v>
      </c>
      <c r="U293" s="14" t="s">
        <v>236</v>
      </c>
      <c r="V293" s="14" t="s">
        <v>237</v>
      </c>
      <c r="W293" s="14" t="s">
        <v>238</v>
      </c>
      <c r="X293" s="14" t="s">
        <v>688</v>
      </c>
      <c r="Y293" s="15" t="n">
        <v>20500</v>
      </c>
      <c r="Z293" s="15" t="n">
        <v>87</v>
      </c>
      <c r="AA293" s="14" t="n">
        <v>3</v>
      </c>
      <c r="AB293" s="14" t="n">
        <v>4</v>
      </c>
      <c r="AC293" s="17" t="n">
        <v>0.00458536585365854</v>
      </c>
      <c r="AD293" s="18" t="n">
        <v>4.5</v>
      </c>
      <c r="AE293" s="18" t="n">
        <f aca="false">IF(AD293="","",MIN(AD293,100))</f>
        <v>4.5</v>
      </c>
      <c r="AF293" s="14" t="n">
        <v>88.9</v>
      </c>
      <c r="AG293" s="14" t="s">
        <v>224</v>
      </c>
      <c r="AH293" s="14" t="n">
        <v>9</v>
      </c>
      <c r="AI293" s="14" t="s">
        <v>224</v>
      </c>
      <c r="AJ293" s="14" t="s">
        <v>224</v>
      </c>
      <c r="AK293" s="14" t="s">
        <v>240</v>
      </c>
      <c r="AL293" s="19" t="n">
        <f aca="false">ROUND('Start Here'!$B$29*AH293+'Start Here'!$B$30*MIN(IF(AD293="",0,AD293),50)/5+IF(M293&lt;=30000,'Start Here'!$B$31,IF(M293&lt;=60000,'Start Here'!$B$32,0)),1)</f>
        <v>4.8</v>
      </c>
      <c r="AM293" s="6" t="s">
        <v>1117</v>
      </c>
      <c r="AN293" s="6" t="s">
        <v>335</v>
      </c>
      <c r="AO293" s="6" t="s">
        <v>2759</v>
      </c>
      <c r="AP293" s="14" t="s">
        <v>2760</v>
      </c>
      <c r="AQ293" s="14" t="s">
        <v>386</v>
      </c>
      <c r="AR293" s="20" t="s">
        <v>246</v>
      </c>
      <c r="AS293" s="20"/>
    </row>
    <row r="294" customFormat="false" ht="60" hidden="false" customHeight="true" outlineLevel="0" collapsed="false">
      <c r="A294" s="14" t="n">
        <v>293</v>
      </c>
      <c r="B294" s="14" t="s">
        <v>374</v>
      </c>
      <c r="C294" s="14" t="s">
        <v>221</v>
      </c>
      <c r="D294" s="14" t="s">
        <v>222</v>
      </c>
      <c r="E294" s="14" t="s">
        <v>34</v>
      </c>
      <c r="F294" s="14" t="s">
        <v>223</v>
      </c>
      <c r="G294" s="14" t="s">
        <v>224</v>
      </c>
      <c r="H294" s="14" t="s">
        <v>223</v>
      </c>
      <c r="I294" s="14" t="s">
        <v>586</v>
      </c>
      <c r="J294" s="14" t="s">
        <v>2041</v>
      </c>
      <c r="K294" s="14" t="s">
        <v>2400</v>
      </c>
      <c r="L294" s="14" t="s">
        <v>2401</v>
      </c>
      <c r="M294" s="15" t="n">
        <v>81925</v>
      </c>
      <c r="N294" s="14" t="s">
        <v>400</v>
      </c>
      <c r="O294" s="14" t="s">
        <v>1399</v>
      </c>
      <c r="P294" s="16" t="s">
        <v>2761</v>
      </c>
      <c r="Q294" s="6" t="s">
        <v>2403</v>
      </c>
      <c r="R294" s="6" t="s">
        <v>2404</v>
      </c>
      <c r="S294" s="14" t="s">
        <v>741</v>
      </c>
      <c r="T294" s="14" t="s">
        <v>235</v>
      </c>
      <c r="U294" s="14" t="s">
        <v>236</v>
      </c>
      <c r="V294" s="14" t="s">
        <v>331</v>
      </c>
      <c r="W294" s="14" t="s">
        <v>238</v>
      </c>
      <c r="X294" s="14" t="s">
        <v>333</v>
      </c>
      <c r="Y294" s="15"/>
      <c r="Z294" s="15" t="n">
        <v>3763</v>
      </c>
      <c r="AA294" s="14" t="n">
        <v>224</v>
      </c>
      <c r="AB294" s="14" t="n">
        <v>184</v>
      </c>
      <c r="AC294" s="17" t="n">
        <v>0.0509124198962466</v>
      </c>
      <c r="AD294" s="18" t="n">
        <v>20.62</v>
      </c>
      <c r="AE294" s="18" t="n">
        <f aca="false">IF(AD294="","",MIN(AD294,100))</f>
        <v>20.62</v>
      </c>
      <c r="AF294" s="14" t="n">
        <v>99.5</v>
      </c>
      <c r="AG294" s="14" t="s">
        <v>224</v>
      </c>
      <c r="AH294" s="14" t="n">
        <v>7</v>
      </c>
      <c r="AI294" s="14" t="s">
        <v>224</v>
      </c>
      <c r="AJ294" s="14" t="s">
        <v>224</v>
      </c>
      <c r="AK294" s="14" t="s">
        <v>240</v>
      </c>
      <c r="AL294" s="19" t="n">
        <f aca="false">ROUND('Start Here'!$B$29*AH294+'Start Here'!$B$30*MIN(IF(AD294="",0,AD294),50)/5+IF(M294&lt;=30000,'Start Here'!$B$31,IF(M294&lt;=60000,'Start Here'!$B$32,0)),1)</f>
        <v>4.7</v>
      </c>
      <c r="AM294" s="6" t="s">
        <v>2405</v>
      </c>
      <c r="AN294" s="6" t="s">
        <v>2406</v>
      </c>
      <c r="AO294" s="6" t="s">
        <v>2762</v>
      </c>
      <c r="AP294" s="14" t="s">
        <v>2763</v>
      </c>
      <c r="AQ294" s="14" t="s">
        <v>1672</v>
      </c>
      <c r="AR294" s="20" t="s">
        <v>246</v>
      </c>
      <c r="AS294" s="20"/>
    </row>
    <row r="295" customFormat="false" ht="60" hidden="false" customHeight="true" outlineLevel="0" collapsed="false">
      <c r="A295" s="14" t="n">
        <v>294</v>
      </c>
      <c r="B295" s="14" t="s">
        <v>374</v>
      </c>
      <c r="C295" s="14" t="s">
        <v>221</v>
      </c>
      <c r="D295" s="14" t="s">
        <v>222</v>
      </c>
      <c r="E295" s="14" t="s">
        <v>40</v>
      </c>
      <c r="F295" s="14" t="s">
        <v>224</v>
      </c>
      <c r="G295" s="14" t="s">
        <v>224</v>
      </c>
      <c r="H295" s="14" t="s">
        <v>224</v>
      </c>
      <c r="I295" s="14" t="s">
        <v>322</v>
      </c>
      <c r="J295" s="14" t="s">
        <v>1566</v>
      </c>
      <c r="K295" s="14" t="s">
        <v>2764</v>
      </c>
      <c r="L295" s="14" t="s">
        <v>2765</v>
      </c>
      <c r="M295" s="15" t="n">
        <v>56288</v>
      </c>
      <c r="N295" s="14" t="s">
        <v>400</v>
      </c>
      <c r="O295" s="14" t="s">
        <v>1124</v>
      </c>
      <c r="P295" s="16" t="s">
        <v>2766</v>
      </c>
      <c r="Q295" s="6" t="s">
        <v>2767</v>
      </c>
      <c r="R295" s="6" t="s">
        <v>2768</v>
      </c>
      <c r="S295" s="14" t="s">
        <v>234</v>
      </c>
      <c r="T295" s="14" t="s">
        <v>235</v>
      </c>
      <c r="U295" s="14" t="s">
        <v>236</v>
      </c>
      <c r="V295" s="14" t="s">
        <v>331</v>
      </c>
      <c r="W295" s="14" t="s">
        <v>238</v>
      </c>
      <c r="X295" s="14" t="s">
        <v>239</v>
      </c>
      <c r="Y295" s="15"/>
      <c r="Z295" s="15" t="n">
        <v>791</v>
      </c>
      <c r="AA295" s="14" t="n">
        <v>93</v>
      </c>
      <c r="AB295" s="14" t="n">
        <v>12</v>
      </c>
      <c r="AC295" s="17" t="n">
        <v>0.0159181353041501</v>
      </c>
      <c r="AD295" s="18" t="n">
        <v>3.7</v>
      </c>
      <c r="AE295" s="18" t="n">
        <f aca="false">IF(AD295="","",MIN(AD295,100))</f>
        <v>3.7</v>
      </c>
      <c r="AF295" s="14" t="n">
        <v>93.9</v>
      </c>
      <c r="AG295" s="14" t="s">
        <v>224</v>
      </c>
      <c r="AH295" s="14" t="n">
        <v>7</v>
      </c>
      <c r="AI295" s="14" t="s">
        <v>224</v>
      </c>
      <c r="AJ295" s="14" t="s">
        <v>224</v>
      </c>
      <c r="AK295" s="14" t="s">
        <v>453</v>
      </c>
      <c r="AL295" s="19" t="n">
        <f aca="false">ROUND('Start Here'!$B$29*AH295+'Start Here'!$B$30*MIN(IF(AD295="",0,AD295),50)/5+IF(M295&lt;=30000,'Start Here'!$B$31,IF(M295&lt;=60000,'Start Here'!$B$32,0)),1)</f>
        <v>4.7</v>
      </c>
      <c r="AM295" s="6" t="s">
        <v>958</v>
      </c>
      <c r="AN295" s="6" t="s">
        <v>2769</v>
      </c>
      <c r="AO295" s="6" t="s">
        <v>2770</v>
      </c>
      <c r="AP295" s="14" t="s">
        <v>2771</v>
      </c>
      <c r="AQ295" s="14" t="s">
        <v>2772</v>
      </c>
      <c r="AR295" s="20" t="s">
        <v>246</v>
      </c>
      <c r="AS295" s="20"/>
    </row>
    <row r="296" customFormat="false" ht="60" hidden="false" customHeight="true" outlineLevel="0" collapsed="false">
      <c r="A296" s="14" t="n">
        <v>295</v>
      </c>
      <c r="B296" s="14" t="s">
        <v>374</v>
      </c>
      <c r="C296" s="14" t="s">
        <v>221</v>
      </c>
      <c r="D296" s="14" t="s">
        <v>222</v>
      </c>
      <c r="E296" s="14" t="s">
        <v>34</v>
      </c>
      <c r="F296" s="14" t="s">
        <v>223</v>
      </c>
      <c r="G296" s="14" t="s">
        <v>224</v>
      </c>
      <c r="H296" s="14" t="s">
        <v>224</v>
      </c>
      <c r="I296" s="14" t="s">
        <v>322</v>
      </c>
      <c r="J296" s="14" t="s">
        <v>2773</v>
      </c>
      <c r="K296" s="14" t="s">
        <v>2774</v>
      </c>
      <c r="L296" s="14" t="s">
        <v>2775</v>
      </c>
      <c r="M296" s="15" t="n">
        <v>47055</v>
      </c>
      <c r="N296" s="14" t="s">
        <v>462</v>
      </c>
      <c r="O296" s="14" t="s">
        <v>2776</v>
      </c>
      <c r="P296" s="16" t="s">
        <v>2777</v>
      </c>
      <c r="Q296" s="6" t="s">
        <v>2778</v>
      </c>
      <c r="R296" s="6" t="s">
        <v>2779</v>
      </c>
      <c r="S296" s="14" t="s">
        <v>255</v>
      </c>
      <c r="T296" s="14" t="s">
        <v>235</v>
      </c>
      <c r="U296" s="14" t="s">
        <v>236</v>
      </c>
      <c r="V296" s="14" t="s">
        <v>383</v>
      </c>
      <c r="W296" s="14"/>
      <c r="X296" s="14"/>
      <c r="Y296" s="15"/>
      <c r="Z296" s="15" t="n">
        <v>986</v>
      </c>
      <c r="AA296" s="14" t="n">
        <v>117</v>
      </c>
      <c r="AB296" s="14" t="n">
        <v>7</v>
      </c>
      <c r="AC296" s="17" t="n">
        <v>0.023589416640102</v>
      </c>
      <c r="AD296" s="18" t="n">
        <v>19.92</v>
      </c>
      <c r="AE296" s="18" t="n">
        <f aca="false">IF(AD296="","",MIN(AD296,100))</f>
        <v>19.92</v>
      </c>
      <c r="AF296" s="14" t="n">
        <v>95.1</v>
      </c>
      <c r="AG296" s="14" t="s">
        <v>224</v>
      </c>
      <c r="AH296" s="14" t="n">
        <v>5</v>
      </c>
      <c r="AI296" s="14" t="s">
        <v>224</v>
      </c>
      <c r="AJ296" s="14" t="s">
        <v>224</v>
      </c>
      <c r="AK296" s="14" t="s">
        <v>240</v>
      </c>
      <c r="AL296" s="19" t="n">
        <f aca="false">ROUND('Start Here'!$B$29*AH296+'Start Here'!$B$30*MIN(IF(AD296="",0,AD296),50)/5+IF(M296&lt;=30000,'Start Here'!$B$31,IF(M296&lt;=60000,'Start Here'!$B$32,0)),1)</f>
        <v>4.7</v>
      </c>
      <c r="AM296" s="6" t="s">
        <v>534</v>
      </c>
      <c r="AN296" s="6" t="s">
        <v>1969</v>
      </c>
      <c r="AO296" s="6"/>
      <c r="AP296" s="14"/>
      <c r="AQ296" s="14" t="s">
        <v>718</v>
      </c>
      <c r="AR296" s="20" t="s">
        <v>246</v>
      </c>
      <c r="AS296" s="20"/>
    </row>
    <row r="297" customFormat="false" ht="60" hidden="false" customHeight="true" outlineLevel="0" collapsed="false">
      <c r="A297" s="14" t="n">
        <v>296</v>
      </c>
      <c r="B297" s="14" t="s">
        <v>247</v>
      </c>
      <c r="C297" s="14" t="s">
        <v>221</v>
      </c>
      <c r="D297" s="14" t="s">
        <v>222</v>
      </c>
      <c r="E297" s="14" t="s">
        <v>34</v>
      </c>
      <c r="F297" s="14" t="s">
        <v>223</v>
      </c>
      <c r="G297" s="14" t="s">
        <v>224</v>
      </c>
      <c r="H297" s="14" t="s">
        <v>223</v>
      </c>
      <c r="I297" s="14" t="s">
        <v>264</v>
      </c>
      <c r="J297" s="14" t="s">
        <v>225</v>
      </c>
      <c r="K297" s="14" t="s">
        <v>2780</v>
      </c>
      <c r="L297" s="14" t="s">
        <v>2781</v>
      </c>
      <c r="M297" s="15" t="n">
        <v>77954</v>
      </c>
      <c r="N297" s="14" t="s">
        <v>400</v>
      </c>
      <c r="O297" s="14" t="s">
        <v>2782</v>
      </c>
      <c r="P297" s="16" t="s">
        <v>2783</v>
      </c>
      <c r="Q297" s="6" t="s">
        <v>2784</v>
      </c>
      <c r="R297" s="6" t="s">
        <v>2785</v>
      </c>
      <c r="S297" s="14" t="s">
        <v>272</v>
      </c>
      <c r="T297" s="14" t="s">
        <v>273</v>
      </c>
      <c r="U297" s="14" t="s">
        <v>274</v>
      </c>
      <c r="V297" s="14" t="s">
        <v>256</v>
      </c>
      <c r="W297" s="14" t="s">
        <v>238</v>
      </c>
      <c r="X297" s="14" t="s">
        <v>239</v>
      </c>
      <c r="Y297" s="15" t="n">
        <v>931437</v>
      </c>
      <c r="Z297" s="15" t="n">
        <v>39912</v>
      </c>
      <c r="AA297" s="14" t="n">
        <v>230</v>
      </c>
      <c r="AB297" s="14"/>
      <c r="AC297" s="17" t="n">
        <v>0.0430968492769774</v>
      </c>
      <c r="AD297" s="18" t="n">
        <v>44.89</v>
      </c>
      <c r="AE297" s="18" t="n">
        <f aca="false">IF(AD297="","",MIN(AD297,100))</f>
        <v>44.89</v>
      </c>
      <c r="AF297" s="14" t="n">
        <v>98.2</v>
      </c>
      <c r="AG297" s="14" t="s">
        <v>224</v>
      </c>
      <c r="AH297" s="14" t="n">
        <v>4</v>
      </c>
      <c r="AI297" s="14" t="s">
        <v>224</v>
      </c>
      <c r="AJ297" s="14" t="s">
        <v>224</v>
      </c>
      <c r="AK297" s="14" t="s">
        <v>453</v>
      </c>
      <c r="AL297" s="19" t="n">
        <f aca="false">ROUND('Start Here'!$B$29*AH297+'Start Here'!$B$30*MIN(IF(AD297="",0,AD297),50)/5+IF(M297&lt;=30000,'Start Here'!$B$31,IF(M297&lt;=60000,'Start Here'!$B$32,0)),1)</f>
        <v>4.7</v>
      </c>
      <c r="AM297" s="6" t="s">
        <v>303</v>
      </c>
      <c r="AN297" s="6" t="s">
        <v>2786</v>
      </c>
      <c r="AO297" s="6" t="s">
        <v>2787</v>
      </c>
      <c r="AP297" s="14" t="s">
        <v>2788</v>
      </c>
      <c r="AQ297" s="14" t="s">
        <v>1203</v>
      </c>
      <c r="AR297" s="20" t="s">
        <v>246</v>
      </c>
      <c r="AS297" s="20"/>
    </row>
    <row r="298" customFormat="false" ht="60" hidden="false" customHeight="true" outlineLevel="0" collapsed="false">
      <c r="A298" s="14" t="n">
        <v>297</v>
      </c>
      <c r="B298" s="14" t="s">
        <v>374</v>
      </c>
      <c r="C298" s="14" t="s">
        <v>221</v>
      </c>
      <c r="D298" s="14" t="s">
        <v>222</v>
      </c>
      <c r="E298" s="14" t="s">
        <v>40</v>
      </c>
      <c r="F298" s="14" t="s">
        <v>224</v>
      </c>
      <c r="G298" s="14" t="s">
        <v>224</v>
      </c>
      <c r="H298" s="14" t="s">
        <v>224</v>
      </c>
      <c r="I298" s="14" t="s">
        <v>225</v>
      </c>
      <c r="J298" s="14" t="s">
        <v>1061</v>
      </c>
      <c r="K298" s="14" t="s">
        <v>2789</v>
      </c>
      <c r="L298" s="14" t="s">
        <v>2790</v>
      </c>
      <c r="M298" s="15" t="n">
        <v>48696</v>
      </c>
      <c r="N298" s="14" t="s">
        <v>462</v>
      </c>
      <c r="O298" s="14" t="s">
        <v>1698</v>
      </c>
      <c r="P298" s="16" t="s">
        <v>2791</v>
      </c>
      <c r="Q298" s="6" t="s">
        <v>2792</v>
      </c>
      <c r="R298" s="6" t="s">
        <v>2793</v>
      </c>
      <c r="S298" s="14" t="s">
        <v>255</v>
      </c>
      <c r="T298" s="14" t="s">
        <v>235</v>
      </c>
      <c r="U298" s="14" t="s">
        <v>236</v>
      </c>
      <c r="V298" s="14" t="s">
        <v>237</v>
      </c>
      <c r="W298" s="14" t="s">
        <v>238</v>
      </c>
      <c r="X298" s="14" t="s">
        <v>239</v>
      </c>
      <c r="Y298" s="15"/>
      <c r="Z298" s="15" t="n">
        <v>54</v>
      </c>
      <c r="AA298" s="14" t="n">
        <v>5</v>
      </c>
      <c r="AB298" s="14" t="n">
        <v>0</v>
      </c>
      <c r="AC298" s="17" t="n">
        <v>0.00121159848858223</v>
      </c>
      <c r="AD298" s="18" t="n">
        <v>3.18</v>
      </c>
      <c r="AE298" s="18" t="n">
        <f aca="false">IF(AD298="","",MIN(AD298,100))</f>
        <v>3.18</v>
      </c>
      <c r="AF298" s="14" t="n">
        <v>52.5</v>
      </c>
      <c r="AG298" s="14" t="s">
        <v>224</v>
      </c>
      <c r="AH298" s="14" t="n">
        <v>7</v>
      </c>
      <c r="AI298" s="14" t="s">
        <v>224</v>
      </c>
      <c r="AJ298" s="14" t="s">
        <v>224</v>
      </c>
      <c r="AK298" s="14" t="s">
        <v>240</v>
      </c>
      <c r="AL298" s="19" t="n">
        <f aca="false">ROUND('Start Here'!$B$29*AH298+'Start Here'!$B$30*MIN(IF(AD298="",0,AD298),50)/5+IF(M298&lt;=30000,'Start Here'!$B$31,IF(M298&lt;=60000,'Start Here'!$B$32,0)),1)</f>
        <v>4.7</v>
      </c>
      <c r="AM298" s="6" t="s">
        <v>534</v>
      </c>
      <c r="AN298" s="6" t="s">
        <v>674</v>
      </c>
      <c r="AO298" s="6" t="s">
        <v>2794</v>
      </c>
      <c r="AP298" s="14" t="s">
        <v>2795</v>
      </c>
      <c r="AQ298" s="14" t="s">
        <v>1184</v>
      </c>
      <c r="AR298" s="20" t="s">
        <v>246</v>
      </c>
      <c r="AS298" s="20"/>
    </row>
    <row r="299" customFormat="false" ht="60" hidden="false" customHeight="true" outlineLevel="0" collapsed="false">
      <c r="A299" s="14" t="n">
        <v>298</v>
      </c>
      <c r="B299" s="14" t="s">
        <v>247</v>
      </c>
      <c r="C299" s="14" t="s">
        <v>221</v>
      </c>
      <c r="D299" s="14" t="s">
        <v>443</v>
      </c>
      <c r="E299" s="14" t="s">
        <v>34</v>
      </c>
      <c r="F299" s="14" t="s">
        <v>223</v>
      </c>
      <c r="G299" s="14" t="s">
        <v>224</v>
      </c>
      <c r="H299" s="14" t="s">
        <v>224</v>
      </c>
      <c r="I299" s="14" t="s">
        <v>322</v>
      </c>
      <c r="J299" s="14" t="s">
        <v>636</v>
      </c>
      <c r="K299" s="14" t="s">
        <v>2796</v>
      </c>
      <c r="L299" s="14" t="s">
        <v>2797</v>
      </c>
      <c r="M299" s="15" t="n">
        <v>31600</v>
      </c>
      <c r="N299" s="14" t="s">
        <v>462</v>
      </c>
      <c r="O299" s="14" t="s">
        <v>447</v>
      </c>
      <c r="P299" s="16" t="s">
        <v>2798</v>
      </c>
      <c r="Q299" s="6" t="s">
        <v>2799</v>
      </c>
      <c r="R299" s="6" t="s">
        <v>2800</v>
      </c>
      <c r="S299" s="14" t="s">
        <v>255</v>
      </c>
      <c r="T299" s="14" t="s">
        <v>235</v>
      </c>
      <c r="U299" s="14" t="s">
        <v>236</v>
      </c>
      <c r="V299" s="14" t="s">
        <v>2801</v>
      </c>
      <c r="W299" s="14" t="s">
        <v>452</v>
      </c>
      <c r="X299" s="14"/>
      <c r="Y299" s="15" t="n">
        <v>48900</v>
      </c>
      <c r="Z299" s="15"/>
      <c r="AA299" s="14"/>
      <c r="AB299" s="14"/>
      <c r="AC299" s="17"/>
      <c r="AD299" s="18" t="n">
        <v>19.2</v>
      </c>
      <c r="AE299" s="18" t="n">
        <f aca="false">IF(AD299="","",MIN(AD299,100))</f>
        <v>19.2</v>
      </c>
      <c r="AF299" s="14"/>
      <c r="AG299" s="14" t="s">
        <v>224</v>
      </c>
      <c r="AH299" s="14" t="n">
        <v>5</v>
      </c>
      <c r="AI299" s="14" t="s">
        <v>224</v>
      </c>
      <c r="AJ299" s="14" t="s">
        <v>224</v>
      </c>
      <c r="AK299" s="14" t="s">
        <v>240</v>
      </c>
      <c r="AL299" s="19" t="n">
        <f aca="false">ROUND('Start Here'!$B$29*AH299+'Start Here'!$B$30*MIN(IF(AD299="",0,AD299),50)/5+IF(M299&lt;=30000,'Start Here'!$B$31,IF(M299&lt;=60000,'Start Here'!$B$32,0)),1)</f>
        <v>4.7</v>
      </c>
      <c r="AM299" s="6" t="s">
        <v>2802</v>
      </c>
      <c r="AN299" s="6" t="s">
        <v>1504</v>
      </c>
      <c r="AO299" s="6" t="s">
        <v>2803</v>
      </c>
      <c r="AP299" s="14" t="s">
        <v>457</v>
      </c>
      <c r="AQ299" s="14" t="s">
        <v>1640</v>
      </c>
      <c r="AR299" s="20" t="s">
        <v>246</v>
      </c>
      <c r="AS299" s="20"/>
    </row>
    <row r="300" customFormat="false" ht="60" hidden="false" customHeight="true" outlineLevel="0" collapsed="false">
      <c r="A300" s="14" t="n">
        <v>299</v>
      </c>
      <c r="B300" s="14" t="s">
        <v>220</v>
      </c>
      <c r="C300" s="14" t="s">
        <v>221</v>
      </c>
      <c r="D300" s="14" t="s">
        <v>222</v>
      </c>
      <c r="E300" s="14" t="s">
        <v>34</v>
      </c>
      <c r="F300" s="14" t="s">
        <v>223</v>
      </c>
      <c r="G300" s="14" t="s">
        <v>224</v>
      </c>
      <c r="H300" s="14" t="s">
        <v>224</v>
      </c>
      <c r="I300" s="14" t="s">
        <v>322</v>
      </c>
      <c r="J300" s="14" t="s">
        <v>225</v>
      </c>
      <c r="K300" s="14" t="s">
        <v>2804</v>
      </c>
      <c r="L300" s="14" t="s">
        <v>2805</v>
      </c>
      <c r="M300" s="15" t="n">
        <v>40138</v>
      </c>
      <c r="N300" s="14" t="s">
        <v>462</v>
      </c>
      <c r="O300" s="14" t="s">
        <v>2806</v>
      </c>
      <c r="P300" s="16" t="s">
        <v>2807</v>
      </c>
      <c r="Q300" s="6" t="s">
        <v>2808</v>
      </c>
      <c r="R300" s="6" t="s">
        <v>2809</v>
      </c>
      <c r="S300" s="14" t="s">
        <v>255</v>
      </c>
      <c r="T300" s="14" t="s">
        <v>235</v>
      </c>
      <c r="U300" s="14" t="s">
        <v>236</v>
      </c>
      <c r="V300" s="14" t="s">
        <v>331</v>
      </c>
      <c r="W300" s="14" t="s">
        <v>332</v>
      </c>
      <c r="X300" s="14" t="s">
        <v>333</v>
      </c>
      <c r="Y300" s="15" t="n">
        <v>195477</v>
      </c>
      <c r="Z300" s="15" t="n">
        <v>1118</v>
      </c>
      <c r="AA300" s="14" t="n">
        <v>24</v>
      </c>
      <c r="AB300" s="14" t="n">
        <v>93</v>
      </c>
      <c r="AC300" s="17" t="n">
        <v>0.00631787882973444</v>
      </c>
      <c r="AD300" s="18" t="n">
        <v>27.27</v>
      </c>
      <c r="AE300" s="18" t="n">
        <f aca="false">IF(AD300="","",MIN(AD300,100))</f>
        <v>27.27</v>
      </c>
      <c r="AF300" s="14" t="n">
        <v>100</v>
      </c>
      <c r="AG300" s="14" t="s">
        <v>224</v>
      </c>
      <c r="AH300" s="14" t="n">
        <v>4</v>
      </c>
      <c r="AI300" s="14" t="s">
        <v>224</v>
      </c>
      <c r="AJ300" s="14" t="s">
        <v>224</v>
      </c>
      <c r="AK300" s="14" t="s">
        <v>453</v>
      </c>
      <c r="AL300" s="19" t="n">
        <f aca="false">ROUND('Start Here'!$B$29*AH300+'Start Here'!$B$30*MIN(IF(AD300="",0,AD300),50)/5+IF(M300&lt;=30000,'Start Here'!$B$31,IF(M300&lt;=60000,'Start Here'!$B$32,0)),1)</f>
        <v>4.6</v>
      </c>
      <c r="AM300" s="6" t="s">
        <v>534</v>
      </c>
      <c r="AN300" s="6" t="s">
        <v>1995</v>
      </c>
      <c r="AO300" s="6" t="s">
        <v>2810</v>
      </c>
      <c r="AP300" s="14" t="s">
        <v>2811</v>
      </c>
      <c r="AQ300" s="14" t="s">
        <v>1203</v>
      </c>
      <c r="AR300" s="20" t="s">
        <v>246</v>
      </c>
      <c r="AS300" s="20"/>
    </row>
    <row r="301" customFormat="false" ht="60" hidden="false" customHeight="true" outlineLevel="0" collapsed="false">
      <c r="A301" s="14" t="n">
        <v>300</v>
      </c>
      <c r="B301" s="14" t="s">
        <v>220</v>
      </c>
      <c r="C301" s="14" t="s">
        <v>221</v>
      </c>
      <c r="D301" s="14" t="s">
        <v>222</v>
      </c>
      <c r="E301" s="14" t="s">
        <v>40</v>
      </c>
      <c r="F301" s="14" t="s">
        <v>224</v>
      </c>
      <c r="G301" s="14" t="s">
        <v>224</v>
      </c>
      <c r="H301" s="14" t="s">
        <v>224</v>
      </c>
      <c r="I301" s="14" t="s">
        <v>322</v>
      </c>
      <c r="J301" s="14" t="s">
        <v>2812</v>
      </c>
      <c r="K301" s="14" t="s">
        <v>2433</v>
      </c>
      <c r="L301" s="14" t="s">
        <v>2434</v>
      </c>
      <c r="M301" s="15" t="n">
        <v>16742</v>
      </c>
      <c r="N301" s="14" t="s">
        <v>229</v>
      </c>
      <c r="O301" s="14" t="s">
        <v>2813</v>
      </c>
      <c r="P301" s="16" t="s">
        <v>2814</v>
      </c>
      <c r="Q301" s="6" t="s">
        <v>2815</v>
      </c>
      <c r="R301" s="6" t="s">
        <v>2816</v>
      </c>
      <c r="S301" s="14" t="s">
        <v>884</v>
      </c>
      <c r="T301" s="14" t="s">
        <v>235</v>
      </c>
      <c r="U301" s="14" t="s">
        <v>236</v>
      </c>
      <c r="V301" s="14" t="s">
        <v>725</v>
      </c>
      <c r="W301" s="14"/>
      <c r="X301" s="14"/>
      <c r="Y301" s="15" t="n">
        <v>111117</v>
      </c>
      <c r="Z301" s="15" t="n">
        <v>141</v>
      </c>
      <c r="AA301" s="14" t="n">
        <v>13</v>
      </c>
      <c r="AB301" s="14" t="n">
        <v>37</v>
      </c>
      <c r="AC301" s="17" t="n">
        <v>0.00171890889782842</v>
      </c>
      <c r="AD301" s="18" t="n">
        <v>3.08</v>
      </c>
      <c r="AE301" s="18" t="n">
        <f aca="false">IF(AD301="","",MIN(AD301,100))</f>
        <v>3.08</v>
      </c>
      <c r="AF301" s="14" t="n">
        <v>98.2</v>
      </c>
      <c r="AG301" s="14" t="s">
        <v>224</v>
      </c>
      <c r="AH301" s="14" t="n">
        <v>4.9</v>
      </c>
      <c r="AI301" s="14" t="s">
        <v>223</v>
      </c>
      <c r="AJ301" s="14" t="s">
        <v>224</v>
      </c>
      <c r="AK301" s="14" t="s">
        <v>240</v>
      </c>
      <c r="AL301" s="19" t="n">
        <f aca="false">ROUND('Start Here'!$B$29*AH301+'Start Here'!$B$30*MIN(IF(AD301="",0,AD301),50)/5+IF(M301&lt;=30000,'Start Here'!$B$31,IF(M301&lt;=60000,'Start Here'!$B$32,0)),1)</f>
        <v>4.6</v>
      </c>
      <c r="AM301" s="6" t="s">
        <v>885</v>
      </c>
      <c r="AN301" s="6" t="s">
        <v>1669</v>
      </c>
      <c r="AO301" s="6"/>
      <c r="AP301" s="14"/>
      <c r="AQ301" s="14" t="s">
        <v>409</v>
      </c>
      <c r="AR301" s="20" t="s">
        <v>246</v>
      </c>
      <c r="AS301" s="20"/>
    </row>
    <row r="302" customFormat="false" ht="60" hidden="false" customHeight="true" outlineLevel="0" collapsed="false">
      <c r="A302" s="14" t="n">
        <v>301</v>
      </c>
      <c r="B302" s="14" t="s">
        <v>247</v>
      </c>
      <c r="C302" s="14" t="s">
        <v>221</v>
      </c>
      <c r="D302" s="14" t="s">
        <v>222</v>
      </c>
      <c r="E302" s="14" t="s">
        <v>34</v>
      </c>
      <c r="F302" s="14" t="s">
        <v>223</v>
      </c>
      <c r="G302" s="14" t="s">
        <v>224</v>
      </c>
      <c r="H302" s="14" t="s">
        <v>223</v>
      </c>
      <c r="I302" s="14" t="s">
        <v>322</v>
      </c>
      <c r="J302" s="14" t="s">
        <v>264</v>
      </c>
      <c r="K302" s="14" t="s">
        <v>2817</v>
      </c>
      <c r="L302" s="14" t="s">
        <v>2818</v>
      </c>
      <c r="M302" s="15" t="n">
        <v>33656</v>
      </c>
      <c r="N302" s="14" t="s">
        <v>462</v>
      </c>
      <c r="O302" s="14" t="s">
        <v>2583</v>
      </c>
      <c r="P302" s="16" t="s">
        <v>2819</v>
      </c>
      <c r="Q302" s="6" t="s">
        <v>2820</v>
      </c>
      <c r="R302" s="6" t="s">
        <v>2821</v>
      </c>
      <c r="S302" s="14" t="s">
        <v>255</v>
      </c>
      <c r="T302" s="14" t="s">
        <v>235</v>
      </c>
      <c r="U302" s="14" t="s">
        <v>236</v>
      </c>
      <c r="V302" s="14" t="s">
        <v>810</v>
      </c>
      <c r="W302" s="14"/>
      <c r="X302" s="14"/>
      <c r="Y302" s="15" t="n">
        <v>2320056</v>
      </c>
      <c r="Z302" s="15" t="n">
        <v>209199</v>
      </c>
      <c r="AA302" s="14" t="n">
        <v>217</v>
      </c>
      <c r="AB302" s="14"/>
      <c r="AC302" s="17" t="n">
        <v>0.0902633384711404</v>
      </c>
      <c r="AD302" s="18" t="n">
        <v>35.52</v>
      </c>
      <c r="AE302" s="18" t="n">
        <f aca="false">IF(AD302="","",MIN(AD302,100))</f>
        <v>35.52</v>
      </c>
      <c r="AF302" s="14" t="n">
        <v>94.5</v>
      </c>
      <c r="AG302" s="14" t="s">
        <v>224</v>
      </c>
      <c r="AH302" s="14" t="n">
        <v>3</v>
      </c>
      <c r="AI302" s="14" t="s">
        <v>224</v>
      </c>
      <c r="AJ302" s="14" t="s">
        <v>224</v>
      </c>
      <c r="AK302" s="14" t="s">
        <v>453</v>
      </c>
      <c r="AL302" s="19" t="n">
        <f aca="false">ROUND('Start Here'!$B$29*AH302+'Start Here'!$B$30*MIN(IF(AD302="",0,AD302),50)/5+IF(M302&lt;=30000,'Start Here'!$B$31,IF(M302&lt;=60000,'Start Here'!$B$32,0)),1)</f>
        <v>4.6</v>
      </c>
      <c r="AM302" s="6" t="s">
        <v>534</v>
      </c>
      <c r="AN302" s="6" t="s">
        <v>2822</v>
      </c>
      <c r="AO302" s="6"/>
      <c r="AP302" s="14"/>
      <c r="AQ302" s="14" t="s">
        <v>1203</v>
      </c>
      <c r="AR302" s="20" t="s">
        <v>246</v>
      </c>
      <c r="AS302" s="20"/>
    </row>
    <row r="303" customFormat="false" ht="60" hidden="false" customHeight="true" outlineLevel="0" collapsed="false">
      <c r="A303" s="14" t="n">
        <v>302</v>
      </c>
      <c r="B303" s="14" t="s">
        <v>220</v>
      </c>
      <c r="C303" s="14" t="s">
        <v>221</v>
      </c>
      <c r="D303" s="14" t="s">
        <v>222</v>
      </c>
      <c r="E303" s="14" t="s">
        <v>36</v>
      </c>
      <c r="F303" s="14" t="s">
        <v>223</v>
      </c>
      <c r="G303" s="14" t="s">
        <v>223</v>
      </c>
      <c r="H303" s="14" t="s">
        <v>224</v>
      </c>
      <c r="I303" s="14" t="s">
        <v>322</v>
      </c>
      <c r="J303" s="14"/>
      <c r="K303" s="14" t="s">
        <v>1092</v>
      </c>
      <c r="L303" s="14" t="s">
        <v>1093</v>
      </c>
      <c r="M303" s="15" t="n">
        <v>17119</v>
      </c>
      <c r="N303" s="14" t="s">
        <v>229</v>
      </c>
      <c r="O303" s="14" t="s">
        <v>1460</v>
      </c>
      <c r="P303" s="16" t="s">
        <v>2823</v>
      </c>
      <c r="Q303" s="6" t="s">
        <v>2824</v>
      </c>
      <c r="R303" s="6" t="s">
        <v>2825</v>
      </c>
      <c r="S303" s="14" t="s">
        <v>330</v>
      </c>
      <c r="T303" s="14" t="s">
        <v>235</v>
      </c>
      <c r="U303" s="14" t="s">
        <v>236</v>
      </c>
      <c r="V303" s="14" t="s">
        <v>237</v>
      </c>
      <c r="W303" s="14" t="s">
        <v>238</v>
      </c>
      <c r="X303" s="14" t="s">
        <v>688</v>
      </c>
      <c r="Y303" s="15" t="n">
        <v>323150</v>
      </c>
      <c r="Z303" s="15" t="n">
        <v>791</v>
      </c>
      <c r="AA303" s="14" t="n">
        <v>31</v>
      </c>
      <c r="AB303" s="14" t="n">
        <v>47</v>
      </c>
      <c r="AC303" s="17" t="n">
        <v>0.00268915364381866</v>
      </c>
      <c r="AD303" s="18" t="n">
        <v>18.84</v>
      </c>
      <c r="AE303" s="18" t="n">
        <f aca="false">IF(AD303="","",MIN(AD303,100))</f>
        <v>18.84</v>
      </c>
      <c r="AF303" s="14" t="n">
        <v>98.8</v>
      </c>
      <c r="AG303" s="14" t="s">
        <v>224</v>
      </c>
      <c r="AH303" s="14" t="n">
        <v>3</v>
      </c>
      <c r="AI303" s="14" t="s">
        <v>224</v>
      </c>
      <c r="AJ303" s="14" t="s">
        <v>224</v>
      </c>
      <c r="AK303" s="14" t="s">
        <v>240</v>
      </c>
      <c r="AL303" s="19" t="n">
        <f aca="false">ROUND('Start Here'!$B$29*AH303+'Start Here'!$B$30*MIN(IF(AD303="",0,AD303),50)/5+IF(M303&lt;=30000,'Start Here'!$B$31,IF(M303&lt;=60000,'Start Here'!$B$32,0)),1)</f>
        <v>4.6</v>
      </c>
      <c r="AM303" s="6" t="s">
        <v>415</v>
      </c>
      <c r="AN303" s="6" t="s">
        <v>335</v>
      </c>
      <c r="AO303" s="6" t="s">
        <v>2826</v>
      </c>
      <c r="AP303" s="14" t="s">
        <v>2827</v>
      </c>
      <c r="AQ303" s="14" t="s">
        <v>1120</v>
      </c>
      <c r="AR303" s="20" t="s">
        <v>246</v>
      </c>
      <c r="AS303" s="20"/>
    </row>
    <row r="304" customFormat="false" ht="60" hidden="false" customHeight="true" outlineLevel="0" collapsed="false">
      <c r="A304" s="14" t="n">
        <v>303</v>
      </c>
      <c r="B304" s="14" t="s">
        <v>374</v>
      </c>
      <c r="C304" s="14" t="s">
        <v>221</v>
      </c>
      <c r="D304" s="14" t="s">
        <v>222</v>
      </c>
      <c r="E304" s="14" t="s">
        <v>34</v>
      </c>
      <c r="F304" s="14" t="s">
        <v>223</v>
      </c>
      <c r="G304" s="14" t="s">
        <v>224</v>
      </c>
      <c r="H304" s="14" t="s">
        <v>223</v>
      </c>
      <c r="I304" s="14" t="s">
        <v>364</v>
      </c>
      <c r="J304" s="14" t="s">
        <v>709</v>
      </c>
      <c r="K304" s="14" t="s">
        <v>2828</v>
      </c>
      <c r="L304" s="14" t="s">
        <v>2829</v>
      </c>
      <c r="M304" s="15" t="n">
        <v>50554</v>
      </c>
      <c r="N304" s="14" t="s">
        <v>400</v>
      </c>
      <c r="O304" s="14" t="s">
        <v>1054</v>
      </c>
      <c r="P304" s="16" t="s">
        <v>2830</v>
      </c>
      <c r="Q304" s="6" t="s">
        <v>2831</v>
      </c>
      <c r="R304" s="6" t="s">
        <v>2832</v>
      </c>
      <c r="S304" s="14" t="s">
        <v>1495</v>
      </c>
      <c r="T304" s="14" t="s">
        <v>235</v>
      </c>
      <c r="U304" s="14" t="s">
        <v>236</v>
      </c>
      <c r="V304" s="14" t="s">
        <v>383</v>
      </c>
      <c r="W304" s="14"/>
      <c r="X304" s="14"/>
      <c r="Y304" s="15"/>
      <c r="Z304" s="15" t="n">
        <v>1280</v>
      </c>
      <c r="AA304" s="14" t="n">
        <v>85</v>
      </c>
      <c r="AB304" s="14" t="n">
        <v>244</v>
      </c>
      <c r="AC304" s="17" t="n">
        <v>0.0318273529295407</v>
      </c>
      <c r="AD304" s="18" t="n">
        <v>30.48</v>
      </c>
      <c r="AE304" s="18" t="n">
        <f aca="false">IF(AD304="","",MIN(AD304,100))</f>
        <v>30.48</v>
      </c>
      <c r="AF304" s="14" t="n">
        <v>99.6</v>
      </c>
      <c r="AG304" s="14" t="s">
        <v>224</v>
      </c>
      <c r="AH304" s="14" t="n">
        <v>3.6</v>
      </c>
      <c r="AI304" s="14" t="s">
        <v>223</v>
      </c>
      <c r="AJ304" s="14" t="s">
        <v>224</v>
      </c>
      <c r="AK304" s="14" t="s">
        <v>240</v>
      </c>
      <c r="AL304" s="19" t="n">
        <f aca="false">ROUND('Start Here'!$B$29*AH304+'Start Here'!$B$30*MIN(IF(AD304="",0,AD304),50)/5+IF(M304&lt;=30000,'Start Here'!$B$31,IF(M304&lt;=60000,'Start Here'!$B$32,0)),1)</f>
        <v>4.6</v>
      </c>
      <c r="AM304" s="6" t="s">
        <v>1987</v>
      </c>
      <c r="AN304" s="6" t="s">
        <v>2833</v>
      </c>
      <c r="AO304" s="6"/>
      <c r="AP304" s="14"/>
      <c r="AQ304" s="14" t="s">
        <v>677</v>
      </c>
      <c r="AR304" s="20" t="s">
        <v>246</v>
      </c>
      <c r="AS304" s="20"/>
    </row>
    <row r="305" customFormat="false" ht="60" hidden="false" customHeight="true" outlineLevel="0" collapsed="false">
      <c r="A305" s="14" t="n">
        <v>304</v>
      </c>
      <c r="B305" s="14" t="s">
        <v>220</v>
      </c>
      <c r="C305" s="14" t="s">
        <v>221</v>
      </c>
      <c r="D305" s="14" t="s">
        <v>222</v>
      </c>
      <c r="E305" s="14" t="s">
        <v>34</v>
      </c>
      <c r="F305" s="14" t="s">
        <v>223</v>
      </c>
      <c r="G305" s="14" t="s">
        <v>224</v>
      </c>
      <c r="H305" s="14" t="s">
        <v>223</v>
      </c>
      <c r="I305" s="14" t="s">
        <v>322</v>
      </c>
      <c r="J305" s="14" t="s">
        <v>225</v>
      </c>
      <c r="K305" s="14" t="s">
        <v>2834</v>
      </c>
      <c r="L305" s="14" t="s">
        <v>2835</v>
      </c>
      <c r="M305" s="15" t="n">
        <v>52543</v>
      </c>
      <c r="N305" s="14" t="s">
        <v>400</v>
      </c>
      <c r="O305" s="14" t="s">
        <v>796</v>
      </c>
      <c r="P305" s="16" t="s">
        <v>2836</v>
      </c>
      <c r="Q305" s="6" t="s">
        <v>2837</v>
      </c>
      <c r="R305" s="6" t="s">
        <v>2838</v>
      </c>
      <c r="S305" s="14" t="s">
        <v>255</v>
      </c>
      <c r="T305" s="14" t="s">
        <v>235</v>
      </c>
      <c r="U305" s="14" t="s">
        <v>236</v>
      </c>
      <c r="V305" s="14" t="s">
        <v>237</v>
      </c>
      <c r="W305" s="14" t="s">
        <v>687</v>
      </c>
      <c r="X305" s="14" t="s">
        <v>239</v>
      </c>
      <c r="Y305" s="15" t="n">
        <v>2001284</v>
      </c>
      <c r="Z305" s="15" t="n">
        <v>6451</v>
      </c>
      <c r="AA305" s="14" t="n">
        <v>124</v>
      </c>
      <c r="AB305" s="14" t="n">
        <v>1413</v>
      </c>
      <c r="AC305" s="17" t="n">
        <v>0.00399143749712684</v>
      </c>
      <c r="AD305" s="18" t="n">
        <v>34.41</v>
      </c>
      <c r="AE305" s="18" t="n">
        <f aca="false">IF(AD305="","",MIN(AD305,100))</f>
        <v>34.41</v>
      </c>
      <c r="AF305" s="14" t="n">
        <v>100</v>
      </c>
      <c r="AG305" s="14" t="s">
        <v>224</v>
      </c>
      <c r="AH305" s="14" t="n">
        <v>3</v>
      </c>
      <c r="AI305" s="14" t="s">
        <v>224</v>
      </c>
      <c r="AJ305" s="14" t="s">
        <v>224</v>
      </c>
      <c r="AK305" s="14" t="s">
        <v>240</v>
      </c>
      <c r="AL305" s="19" t="n">
        <f aca="false">ROUND('Start Here'!$B$29*AH305+'Start Here'!$B$30*MIN(IF(AD305="",0,AD305),50)/5+IF(M305&lt;=30000,'Start Here'!$B$31,IF(M305&lt;=60000,'Start Here'!$B$32,0)),1)</f>
        <v>4.6</v>
      </c>
      <c r="AM305" s="6" t="s">
        <v>534</v>
      </c>
      <c r="AN305" s="6" t="s">
        <v>1969</v>
      </c>
      <c r="AO305" s="6" t="s">
        <v>2839</v>
      </c>
      <c r="AP305" s="14" t="s">
        <v>2840</v>
      </c>
      <c r="AQ305" s="14" t="s">
        <v>307</v>
      </c>
      <c r="AR305" s="20" t="s">
        <v>246</v>
      </c>
      <c r="AS305" s="20"/>
    </row>
    <row r="306" customFormat="false" ht="60" hidden="false" customHeight="true" outlineLevel="0" collapsed="false">
      <c r="A306" s="14" t="n">
        <v>305</v>
      </c>
      <c r="B306" s="14" t="s">
        <v>220</v>
      </c>
      <c r="C306" s="14" t="s">
        <v>221</v>
      </c>
      <c r="D306" s="14" t="s">
        <v>222</v>
      </c>
      <c r="E306" s="14" t="s">
        <v>36</v>
      </c>
      <c r="F306" s="14" t="s">
        <v>223</v>
      </c>
      <c r="G306" s="14" t="s">
        <v>223</v>
      </c>
      <c r="H306" s="14" t="s">
        <v>224</v>
      </c>
      <c r="I306" s="14" t="s">
        <v>338</v>
      </c>
      <c r="J306" s="14" t="s">
        <v>322</v>
      </c>
      <c r="K306" s="14" t="s">
        <v>1052</v>
      </c>
      <c r="L306" s="14" t="s">
        <v>1053</v>
      </c>
      <c r="M306" s="15" t="n">
        <v>19758</v>
      </c>
      <c r="N306" s="14" t="s">
        <v>229</v>
      </c>
      <c r="O306" s="14" t="s">
        <v>2841</v>
      </c>
      <c r="P306" s="16" t="s">
        <v>2842</v>
      </c>
      <c r="Q306" s="6" t="s">
        <v>1056</v>
      </c>
      <c r="R306" s="6" t="s">
        <v>1057</v>
      </c>
      <c r="S306" s="14" t="s">
        <v>234</v>
      </c>
      <c r="T306" s="14" t="s">
        <v>235</v>
      </c>
      <c r="U306" s="14" t="s">
        <v>346</v>
      </c>
      <c r="V306" s="14" t="s">
        <v>237</v>
      </c>
      <c r="W306" s="14" t="s">
        <v>332</v>
      </c>
      <c r="X306" s="14" t="s">
        <v>333</v>
      </c>
      <c r="Y306" s="15" t="n">
        <v>19198</v>
      </c>
      <c r="Z306" s="15" t="n">
        <v>196</v>
      </c>
      <c r="AA306" s="14" t="n">
        <v>8</v>
      </c>
      <c r="AB306" s="14" t="n">
        <v>3</v>
      </c>
      <c r="AC306" s="17" t="n">
        <v>0.0107823731638712</v>
      </c>
      <c r="AD306" s="18" t="n">
        <v>13.51</v>
      </c>
      <c r="AE306" s="18" t="n">
        <f aca="false">IF(AD306="","",MIN(AD306,100))</f>
        <v>13.51</v>
      </c>
      <c r="AF306" s="14" t="n">
        <v>96.5</v>
      </c>
      <c r="AG306" s="14" t="s">
        <v>224</v>
      </c>
      <c r="AH306" s="14" t="n">
        <v>3.5</v>
      </c>
      <c r="AI306" s="14" t="s">
        <v>224</v>
      </c>
      <c r="AJ306" s="14" t="s">
        <v>223</v>
      </c>
      <c r="AK306" s="14" t="s">
        <v>490</v>
      </c>
      <c r="AL306" s="19" t="n">
        <f aca="false">ROUND('Start Here'!$B$29*AH306+'Start Here'!$B$30*MIN(IF(AD306="",0,AD306),50)/5+IF(M306&lt;=30000,'Start Here'!$B$31,IF(M306&lt;=60000,'Start Here'!$B$32,0)),1)</f>
        <v>4.6</v>
      </c>
      <c r="AM306" s="6" t="s">
        <v>290</v>
      </c>
      <c r="AN306" s="6" t="s">
        <v>1058</v>
      </c>
      <c r="AO306" s="6" t="s">
        <v>2843</v>
      </c>
      <c r="AP306" s="14" t="s">
        <v>2844</v>
      </c>
      <c r="AQ306" s="14" t="s">
        <v>538</v>
      </c>
      <c r="AR306" s="20" t="s">
        <v>246</v>
      </c>
      <c r="AS306" s="20"/>
    </row>
    <row r="307" customFormat="false" ht="60" hidden="false" customHeight="true" outlineLevel="0" collapsed="false">
      <c r="A307" s="14" t="n">
        <v>306</v>
      </c>
      <c r="B307" s="14" t="s">
        <v>374</v>
      </c>
      <c r="C307" s="14" t="s">
        <v>221</v>
      </c>
      <c r="D307" s="14" t="s">
        <v>222</v>
      </c>
      <c r="E307" s="14" t="s">
        <v>34</v>
      </c>
      <c r="F307" s="14" t="s">
        <v>223</v>
      </c>
      <c r="G307" s="14" t="s">
        <v>224</v>
      </c>
      <c r="H307" s="14" t="s">
        <v>223</v>
      </c>
      <c r="I307" s="14" t="s">
        <v>635</v>
      </c>
      <c r="J307" s="14" t="s">
        <v>2845</v>
      </c>
      <c r="K307" s="14" t="s">
        <v>2007</v>
      </c>
      <c r="L307" s="14" t="s">
        <v>2008</v>
      </c>
      <c r="M307" s="15" t="n">
        <v>100285</v>
      </c>
      <c r="N307" s="14" t="s">
        <v>2009</v>
      </c>
      <c r="O307" s="14" t="s">
        <v>2028</v>
      </c>
      <c r="P307" s="16" t="s">
        <v>2846</v>
      </c>
      <c r="Q307" s="6" t="s">
        <v>2525</v>
      </c>
      <c r="R307" s="6" t="s">
        <v>2526</v>
      </c>
      <c r="S307" s="14" t="s">
        <v>513</v>
      </c>
      <c r="T307" s="14" t="s">
        <v>235</v>
      </c>
      <c r="U307" s="14" t="s">
        <v>236</v>
      </c>
      <c r="V307" s="14" t="s">
        <v>331</v>
      </c>
      <c r="W307" s="14" t="s">
        <v>275</v>
      </c>
      <c r="X307" s="14" t="s">
        <v>239</v>
      </c>
      <c r="Y307" s="15"/>
      <c r="Z307" s="15" t="n">
        <v>1278</v>
      </c>
      <c r="AA307" s="14" t="n">
        <v>3717</v>
      </c>
      <c r="AB307" s="14" t="n">
        <v>42</v>
      </c>
      <c r="AC307" s="17" t="n">
        <v>0.0506109079217073</v>
      </c>
      <c r="AD307" s="18" t="n">
        <v>26.81</v>
      </c>
      <c r="AE307" s="18" t="n">
        <f aca="false">IF(AD307="","",MIN(AD307,100))</f>
        <v>26.81</v>
      </c>
      <c r="AF307" s="14" t="n">
        <v>99.3</v>
      </c>
      <c r="AG307" s="14" t="s">
        <v>224</v>
      </c>
      <c r="AH307" s="14" t="n">
        <v>5.9</v>
      </c>
      <c r="AI307" s="14" t="s">
        <v>223</v>
      </c>
      <c r="AJ307" s="14" t="s">
        <v>224</v>
      </c>
      <c r="AK307" s="14" t="s">
        <v>240</v>
      </c>
      <c r="AL307" s="19" t="n">
        <f aca="false">ROUND('Start Here'!$B$29*AH307+'Start Here'!$B$30*MIN(IF(AD307="",0,AD307),50)/5+IF(M307&lt;=30000,'Start Here'!$B$31,IF(M307&lt;=60000,'Start Here'!$B$32,0)),1)</f>
        <v>4.6</v>
      </c>
      <c r="AM307" s="6" t="s">
        <v>1361</v>
      </c>
      <c r="AN307" s="6" t="s">
        <v>2847</v>
      </c>
      <c r="AO307" s="6" t="s">
        <v>2848</v>
      </c>
      <c r="AP307" s="14" t="s">
        <v>2849</v>
      </c>
      <c r="AQ307" s="14" t="s">
        <v>2015</v>
      </c>
      <c r="AR307" s="20" t="s">
        <v>246</v>
      </c>
      <c r="AS307" s="20"/>
    </row>
    <row r="308" customFormat="false" ht="60" hidden="false" customHeight="true" outlineLevel="0" collapsed="false">
      <c r="A308" s="14" t="n">
        <v>307</v>
      </c>
      <c r="B308" s="14" t="s">
        <v>220</v>
      </c>
      <c r="C308" s="14" t="s">
        <v>221</v>
      </c>
      <c r="D308" s="14" t="s">
        <v>222</v>
      </c>
      <c r="E308" s="14" t="s">
        <v>36</v>
      </c>
      <c r="F308" s="14" t="s">
        <v>223</v>
      </c>
      <c r="G308" s="14" t="s">
        <v>223</v>
      </c>
      <c r="H308" s="14" t="s">
        <v>224</v>
      </c>
      <c r="I308" s="14" t="s">
        <v>322</v>
      </c>
      <c r="J308" s="14" t="s">
        <v>308</v>
      </c>
      <c r="K308" s="14" t="s">
        <v>2850</v>
      </c>
      <c r="L308" s="14" t="s">
        <v>2851</v>
      </c>
      <c r="M308" s="15" t="n">
        <v>16637</v>
      </c>
      <c r="N308" s="14" t="s">
        <v>229</v>
      </c>
      <c r="O308" s="14" t="s">
        <v>2242</v>
      </c>
      <c r="P308" s="16" t="s">
        <v>2852</v>
      </c>
      <c r="Q308" s="6" t="s">
        <v>2853</v>
      </c>
      <c r="R308" s="6" t="s">
        <v>2854</v>
      </c>
      <c r="S308" s="14" t="s">
        <v>255</v>
      </c>
      <c r="T308" s="14" t="s">
        <v>235</v>
      </c>
      <c r="U308" s="14" t="s">
        <v>236</v>
      </c>
      <c r="V308" s="14" t="s">
        <v>237</v>
      </c>
      <c r="W308" s="14" t="s">
        <v>257</v>
      </c>
      <c r="X308" s="14" t="s">
        <v>239</v>
      </c>
      <c r="Y308" s="15" t="n">
        <v>18582</v>
      </c>
      <c r="Z308" s="15" t="n">
        <v>371</v>
      </c>
      <c r="AA308" s="14" t="n">
        <v>9</v>
      </c>
      <c r="AB308" s="14" t="n">
        <v>48</v>
      </c>
      <c r="AC308" s="17" t="n">
        <v>0.0230330427295232</v>
      </c>
      <c r="AD308" s="18" t="n">
        <v>17.64</v>
      </c>
      <c r="AE308" s="18" t="n">
        <f aca="false">IF(AD308="","",MIN(AD308,100))</f>
        <v>17.64</v>
      </c>
      <c r="AF308" s="14" t="n">
        <v>95.2</v>
      </c>
      <c r="AG308" s="14" t="s">
        <v>224</v>
      </c>
      <c r="AH308" s="14" t="n">
        <v>3</v>
      </c>
      <c r="AI308" s="14" t="s">
        <v>224</v>
      </c>
      <c r="AJ308" s="14" t="s">
        <v>224</v>
      </c>
      <c r="AK308" s="14" t="s">
        <v>240</v>
      </c>
      <c r="AL308" s="19" t="n">
        <f aca="false">ROUND('Start Here'!$B$29*AH308+'Start Here'!$B$30*MIN(IF(AD308="",0,AD308),50)/5+IF(M308&lt;=30000,'Start Here'!$B$31,IF(M308&lt;=60000,'Start Here'!$B$32,0)),1)</f>
        <v>4.6</v>
      </c>
      <c r="AM308" s="6" t="s">
        <v>259</v>
      </c>
      <c r="AN308" s="6" t="s">
        <v>1969</v>
      </c>
      <c r="AO308" s="6" t="s">
        <v>2855</v>
      </c>
      <c r="AP308" s="14" t="s">
        <v>2856</v>
      </c>
      <c r="AQ308" s="14" t="s">
        <v>351</v>
      </c>
      <c r="AR308" s="20" t="s">
        <v>246</v>
      </c>
      <c r="AS308" s="20"/>
    </row>
    <row r="309" customFormat="false" ht="60" hidden="false" customHeight="true" outlineLevel="0" collapsed="false">
      <c r="A309" s="14" t="n">
        <v>308</v>
      </c>
      <c r="B309" s="14" t="s">
        <v>220</v>
      </c>
      <c r="C309" s="14" t="s">
        <v>221</v>
      </c>
      <c r="D309" s="14" t="s">
        <v>222</v>
      </c>
      <c r="E309" s="14" t="s">
        <v>36</v>
      </c>
      <c r="F309" s="14" t="s">
        <v>224</v>
      </c>
      <c r="G309" s="14" t="s">
        <v>223</v>
      </c>
      <c r="H309" s="14" t="s">
        <v>224</v>
      </c>
      <c r="I309" s="14" t="s">
        <v>322</v>
      </c>
      <c r="J309" s="14" t="s">
        <v>225</v>
      </c>
      <c r="K309" s="14" t="s">
        <v>1154</v>
      </c>
      <c r="L309" s="14" t="s">
        <v>1155</v>
      </c>
      <c r="M309" s="15" t="n">
        <v>6563</v>
      </c>
      <c r="N309" s="14" t="s">
        <v>283</v>
      </c>
      <c r="O309" s="14" t="s">
        <v>2532</v>
      </c>
      <c r="P309" s="16" t="s">
        <v>2857</v>
      </c>
      <c r="Q309" s="6" t="s">
        <v>2858</v>
      </c>
      <c r="R309" s="6" t="s">
        <v>2859</v>
      </c>
      <c r="S309" s="14" t="s">
        <v>330</v>
      </c>
      <c r="T309" s="14" t="s">
        <v>235</v>
      </c>
      <c r="U309" s="14" t="s">
        <v>236</v>
      </c>
      <c r="V309" s="14" t="s">
        <v>725</v>
      </c>
      <c r="W309" s="14"/>
      <c r="X309" s="14"/>
      <c r="Y309" s="15" t="n">
        <v>17717</v>
      </c>
      <c r="Z309" s="15" t="n">
        <v>77</v>
      </c>
      <c r="AA309" s="14" t="n">
        <v>1</v>
      </c>
      <c r="AB309" s="14" t="n">
        <v>8</v>
      </c>
      <c r="AC309" s="17" t="n">
        <v>0.0048540949370661</v>
      </c>
      <c r="AD309" s="18" t="n">
        <v>9.05</v>
      </c>
      <c r="AE309" s="18" t="n">
        <f aca="false">IF(AD309="","",MIN(AD309,100))</f>
        <v>9.05</v>
      </c>
      <c r="AF309" s="14" t="n">
        <v>93.3</v>
      </c>
      <c r="AG309" s="14" t="s">
        <v>224</v>
      </c>
      <c r="AH309" s="14" t="n">
        <v>4</v>
      </c>
      <c r="AI309" s="14" t="s">
        <v>224</v>
      </c>
      <c r="AJ309" s="14" t="s">
        <v>224</v>
      </c>
      <c r="AK309" s="14" t="s">
        <v>240</v>
      </c>
      <c r="AL309" s="19" t="n">
        <f aca="false">ROUND('Start Here'!$B$29*AH309+'Start Here'!$B$30*MIN(IF(AD309="",0,AD309),50)/5+IF(M309&lt;=30000,'Start Here'!$B$31,IF(M309&lt;=60000,'Start Here'!$B$32,0)),1)</f>
        <v>4.5</v>
      </c>
      <c r="AM309" s="6" t="s">
        <v>334</v>
      </c>
      <c r="AN309" s="6" t="s">
        <v>335</v>
      </c>
      <c r="AO309" s="6"/>
      <c r="AP309" s="14"/>
      <c r="AQ309" s="14" t="s">
        <v>538</v>
      </c>
      <c r="AR309" s="20" t="s">
        <v>246</v>
      </c>
      <c r="AS309" s="20"/>
    </row>
    <row r="310" customFormat="false" ht="60" hidden="false" customHeight="true" outlineLevel="0" collapsed="false">
      <c r="A310" s="14" t="n">
        <v>309</v>
      </c>
      <c r="B310" s="14" t="s">
        <v>374</v>
      </c>
      <c r="C310" s="14" t="s">
        <v>221</v>
      </c>
      <c r="D310" s="14" t="s">
        <v>222</v>
      </c>
      <c r="E310" s="14" t="s">
        <v>34</v>
      </c>
      <c r="F310" s="14" t="s">
        <v>223</v>
      </c>
      <c r="G310" s="14" t="s">
        <v>224</v>
      </c>
      <c r="H310" s="14" t="s">
        <v>223</v>
      </c>
      <c r="I310" s="14" t="s">
        <v>586</v>
      </c>
      <c r="J310" s="14" t="s">
        <v>1712</v>
      </c>
      <c r="K310" s="14" t="s">
        <v>2081</v>
      </c>
      <c r="L310" s="14" t="s">
        <v>2082</v>
      </c>
      <c r="M310" s="15" t="n">
        <v>75589</v>
      </c>
      <c r="N310" s="14" t="s">
        <v>400</v>
      </c>
      <c r="O310" s="14" t="s">
        <v>312</v>
      </c>
      <c r="P310" s="16" t="s">
        <v>2860</v>
      </c>
      <c r="Q310" s="6" t="s">
        <v>2861</v>
      </c>
      <c r="R310" s="6" t="s">
        <v>2862</v>
      </c>
      <c r="S310" s="14" t="s">
        <v>884</v>
      </c>
      <c r="T310" s="14" t="s">
        <v>235</v>
      </c>
      <c r="U310" s="14" t="s">
        <v>236</v>
      </c>
      <c r="V310" s="14" t="s">
        <v>331</v>
      </c>
      <c r="W310" s="14" t="s">
        <v>332</v>
      </c>
      <c r="X310" s="14" t="s">
        <v>239</v>
      </c>
      <c r="Y310" s="15"/>
      <c r="Z310" s="15" t="n">
        <v>2141</v>
      </c>
      <c r="AA310" s="14" t="n">
        <v>383</v>
      </c>
      <c r="AB310" s="14" t="n">
        <v>108</v>
      </c>
      <c r="AC310" s="17" t="n">
        <v>0.0359096800600314</v>
      </c>
      <c r="AD310" s="18" t="n">
        <v>25.59</v>
      </c>
      <c r="AE310" s="18" t="n">
        <f aca="false">IF(AD310="","",MIN(AD310,100))</f>
        <v>25.59</v>
      </c>
      <c r="AF310" s="14" t="n">
        <v>94.1</v>
      </c>
      <c r="AG310" s="14" t="s">
        <v>224</v>
      </c>
      <c r="AH310" s="14" t="n">
        <v>6</v>
      </c>
      <c r="AI310" s="14" t="s">
        <v>224</v>
      </c>
      <c r="AJ310" s="14" t="s">
        <v>224</v>
      </c>
      <c r="AK310" s="14" t="s">
        <v>240</v>
      </c>
      <c r="AL310" s="19" t="n">
        <f aca="false">ROUND('Start Here'!$B$29*AH310+'Start Here'!$B$30*MIN(IF(AD310="",0,AD310),50)/5+IF(M310&lt;=30000,'Start Here'!$B$31,IF(M310&lt;=60000,'Start Here'!$B$32,0)),1)</f>
        <v>4.5</v>
      </c>
      <c r="AM310" s="6" t="s">
        <v>885</v>
      </c>
      <c r="AN310" s="6" t="s">
        <v>1164</v>
      </c>
      <c r="AO310" s="6" t="s">
        <v>2863</v>
      </c>
      <c r="AP310" s="14" t="s">
        <v>2864</v>
      </c>
      <c r="AQ310" s="14" t="s">
        <v>1672</v>
      </c>
      <c r="AR310" s="20" t="s">
        <v>246</v>
      </c>
      <c r="AS310" s="20"/>
    </row>
    <row r="311" customFormat="false" ht="60" hidden="false" customHeight="true" outlineLevel="0" collapsed="false">
      <c r="A311" s="14" t="n">
        <v>310</v>
      </c>
      <c r="B311" s="14" t="s">
        <v>247</v>
      </c>
      <c r="C311" s="14" t="s">
        <v>221</v>
      </c>
      <c r="D311" s="14" t="s">
        <v>222</v>
      </c>
      <c r="E311" s="14" t="s">
        <v>34</v>
      </c>
      <c r="F311" s="14" t="s">
        <v>223</v>
      </c>
      <c r="G311" s="14" t="s">
        <v>224</v>
      </c>
      <c r="H311" s="14" t="s">
        <v>224</v>
      </c>
      <c r="I311" s="14" t="s">
        <v>322</v>
      </c>
      <c r="J311" s="14" t="s">
        <v>1082</v>
      </c>
      <c r="K311" s="14" t="s">
        <v>2865</v>
      </c>
      <c r="L311" s="14" t="s">
        <v>2866</v>
      </c>
      <c r="M311" s="15" t="n">
        <v>66663</v>
      </c>
      <c r="N311" s="14" t="s">
        <v>400</v>
      </c>
      <c r="O311" s="14" t="s">
        <v>2867</v>
      </c>
      <c r="P311" s="16" t="s">
        <v>2868</v>
      </c>
      <c r="Q311" s="6" t="s">
        <v>2869</v>
      </c>
      <c r="R311" s="6" t="s">
        <v>2870</v>
      </c>
      <c r="S311" s="14" t="s">
        <v>330</v>
      </c>
      <c r="T311" s="14" t="s">
        <v>235</v>
      </c>
      <c r="U311" s="14" t="s">
        <v>236</v>
      </c>
      <c r="V311" s="14" t="s">
        <v>256</v>
      </c>
      <c r="W311" s="14" t="s">
        <v>275</v>
      </c>
      <c r="X311" s="14" t="s">
        <v>289</v>
      </c>
      <c r="Y311" s="15" t="n">
        <v>202276</v>
      </c>
      <c r="Z311" s="15" t="n">
        <v>398</v>
      </c>
      <c r="AA311" s="14" t="n">
        <v>60</v>
      </c>
      <c r="AB311" s="14"/>
      <c r="AC311" s="17" t="n">
        <v>0.00226423302813977</v>
      </c>
      <c r="AD311" s="18" t="n">
        <v>16.75</v>
      </c>
      <c r="AE311" s="18" t="n">
        <f aca="false">IF(AD311="","",MIN(AD311,100))</f>
        <v>16.75</v>
      </c>
      <c r="AF311" s="14" t="n">
        <v>94.8</v>
      </c>
      <c r="AG311" s="14" t="s">
        <v>224</v>
      </c>
      <c r="AH311" s="14" t="n">
        <v>7</v>
      </c>
      <c r="AI311" s="14" t="s">
        <v>224</v>
      </c>
      <c r="AJ311" s="14" t="s">
        <v>224</v>
      </c>
      <c r="AK311" s="14" t="s">
        <v>240</v>
      </c>
      <c r="AL311" s="19" t="n">
        <f aca="false">ROUND('Start Here'!$B$29*AH311+'Start Here'!$B$30*MIN(IF(AD311="",0,AD311),50)/5+IF(M311&lt;=30000,'Start Here'!$B$31,IF(M311&lt;=60000,'Start Here'!$B$32,0)),1)</f>
        <v>4.5</v>
      </c>
      <c r="AM311" s="6" t="s">
        <v>334</v>
      </c>
      <c r="AN311" s="6" t="s">
        <v>2291</v>
      </c>
      <c r="AO311" s="6" t="s">
        <v>2871</v>
      </c>
      <c r="AP311" s="14" t="s">
        <v>2872</v>
      </c>
      <c r="AQ311" s="14" t="s">
        <v>307</v>
      </c>
      <c r="AR311" s="20" t="s">
        <v>246</v>
      </c>
      <c r="AS311" s="20"/>
    </row>
    <row r="312" customFormat="false" ht="60" hidden="false" customHeight="true" outlineLevel="0" collapsed="false">
      <c r="A312" s="14" t="n">
        <v>311</v>
      </c>
      <c r="B312" s="14" t="s">
        <v>247</v>
      </c>
      <c r="C312" s="14" t="s">
        <v>221</v>
      </c>
      <c r="D312" s="14" t="s">
        <v>222</v>
      </c>
      <c r="E312" s="14" t="s">
        <v>34</v>
      </c>
      <c r="F312" s="14" t="s">
        <v>223</v>
      </c>
      <c r="G312" s="14" t="s">
        <v>224</v>
      </c>
      <c r="H312" s="14" t="s">
        <v>224</v>
      </c>
      <c r="I312" s="14" t="s">
        <v>338</v>
      </c>
      <c r="J312" s="14"/>
      <c r="K312" s="14" t="s">
        <v>2873</v>
      </c>
      <c r="L312" s="14" t="s">
        <v>2874</v>
      </c>
      <c r="M312" s="15" t="n">
        <v>87329</v>
      </c>
      <c r="N312" s="14" t="s">
        <v>400</v>
      </c>
      <c r="O312" s="14" t="s">
        <v>2093</v>
      </c>
      <c r="P312" s="16" t="s">
        <v>2875</v>
      </c>
      <c r="Q312" s="6" t="s">
        <v>2876</v>
      </c>
      <c r="R312" s="6" t="s">
        <v>2877</v>
      </c>
      <c r="S312" s="14" t="s">
        <v>255</v>
      </c>
      <c r="T312" s="14" t="s">
        <v>235</v>
      </c>
      <c r="U312" s="14" t="s">
        <v>236</v>
      </c>
      <c r="V312" s="14" t="s">
        <v>1013</v>
      </c>
      <c r="W312" s="14" t="s">
        <v>238</v>
      </c>
      <c r="X312" s="14" t="s">
        <v>239</v>
      </c>
      <c r="Y312" s="15"/>
      <c r="Z312" s="15" t="n">
        <v>2971</v>
      </c>
      <c r="AA312" s="14" t="n">
        <v>591</v>
      </c>
      <c r="AB312" s="14"/>
      <c r="AC312" s="17" t="n">
        <v>0.0536583161351551</v>
      </c>
      <c r="AD312" s="18" t="n">
        <v>230.95</v>
      </c>
      <c r="AE312" s="18" t="n">
        <f aca="false">IF(AD312="","",MIN(AD312,100))</f>
        <v>100</v>
      </c>
      <c r="AF312" s="14" t="n">
        <v>96.8</v>
      </c>
      <c r="AG312" s="14" t="s">
        <v>224</v>
      </c>
      <c r="AH312" s="14" t="n">
        <v>3</v>
      </c>
      <c r="AI312" s="14" t="s">
        <v>224</v>
      </c>
      <c r="AJ312" s="14" t="s">
        <v>224</v>
      </c>
      <c r="AK312" s="14" t="s">
        <v>240</v>
      </c>
      <c r="AL312" s="19" t="n">
        <f aca="false">ROUND('Start Here'!$B$29*AH312+'Start Here'!$B$30*MIN(IF(AD312="",0,AD312),50)/5+IF(M312&lt;=30000,'Start Here'!$B$31,IF(M312&lt;=60000,'Start Here'!$B$32,0)),1)</f>
        <v>4.5</v>
      </c>
      <c r="AM312" s="6" t="s">
        <v>534</v>
      </c>
      <c r="AN312" s="6" t="s">
        <v>2227</v>
      </c>
      <c r="AO312" s="6" t="s">
        <v>2878</v>
      </c>
      <c r="AP312" s="14" t="s">
        <v>2879</v>
      </c>
      <c r="AQ312" s="14" t="s">
        <v>538</v>
      </c>
      <c r="AR312" s="20" t="s">
        <v>246</v>
      </c>
      <c r="AS312" s="20"/>
    </row>
    <row r="313" customFormat="false" ht="60" hidden="false" customHeight="true" outlineLevel="0" collapsed="false">
      <c r="A313" s="14" t="n">
        <v>312</v>
      </c>
      <c r="B313" s="14" t="s">
        <v>247</v>
      </c>
      <c r="C313" s="14" t="s">
        <v>221</v>
      </c>
      <c r="D313" s="14" t="s">
        <v>222</v>
      </c>
      <c r="E313" s="14" t="s">
        <v>34</v>
      </c>
      <c r="F313" s="14" t="s">
        <v>223</v>
      </c>
      <c r="G313" s="14" t="s">
        <v>224</v>
      </c>
      <c r="H313" s="14" t="s">
        <v>223</v>
      </c>
      <c r="I313" s="14" t="s">
        <v>225</v>
      </c>
      <c r="J313" s="14" t="s">
        <v>586</v>
      </c>
      <c r="K313" s="14" t="s">
        <v>2880</v>
      </c>
      <c r="L313" s="14" t="s">
        <v>2881</v>
      </c>
      <c r="M313" s="15" t="n">
        <v>89603</v>
      </c>
      <c r="N313" s="14" t="s">
        <v>400</v>
      </c>
      <c r="O313" s="14" t="s">
        <v>2635</v>
      </c>
      <c r="P313" s="16" t="s">
        <v>2882</v>
      </c>
      <c r="Q313" s="6" t="s">
        <v>2883</v>
      </c>
      <c r="R313" s="6" t="s">
        <v>2884</v>
      </c>
      <c r="S313" s="14" t="s">
        <v>255</v>
      </c>
      <c r="T313" s="14" t="s">
        <v>235</v>
      </c>
      <c r="U313" s="14" t="s">
        <v>236</v>
      </c>
      <c r="V313" s="14" t="s">
        <v>288</v>
      </c>
      <c r="W313" s="14" t="s">
        <v>257</v>
      </c>
      <c r="X313" s="14" t="s">
        <v>239</v>
      </c>
      <c r="Y313" s="15" t="n">
        <v>746319</v>
      </c>
      <c r="Z313" s="15" t="n">
        <v>69291</v>
      </c>
      <c r="AA313" s="14" t="n">
        <v>385</v>
      </c>
      <c r="AB313" s="14"/>
      <c r="AC313" s="17" t="n">
        <v>0.093359541965299</v>
      </c>
      <c r="AD313" s="18" t="n">
        <v>108.17</v>
      </c>
      <c r="AE313" s="18" t="n">
        <f aca="false">IF(AD313="","",MIN(AD313,100))</f>
        <v>100</v>
      </c>
      <c r="AF313" s="14" t="n">
        <v>99.9</v>
      </c>
      <c r="AG313" s="14" t="s">
        <v>224</v>
      </c>
      <c r="AH313" s="14" t="n">
        <v>3</v>
      </c>
      <c r="AI313" s="14" t="s">
        <v>224</v>
      </c>
      <c r="AJ313" s="14" t="s">
        <v>224</v>
      </c>
      <c r="AK313" s="14" t="s">
        <v>240</v>
      </c>
      <c r="AL313" s="19" t="n">
        <f aca="false">ROUND('Start Here'!$B$29*AH313+'Start Here'!$B$30*MIN(IF(AD313="",0,AD313),50)/5+IF(M313&lt;=30000,'Start Here'!$B$31,IF(M313&lt;=60000,'Start Here'!$B$32,0)),1)</f>
        <v>4.5</v>
      </c>
      <c r="AM313" s="6" t="s">
        <v>534</v>
      </c>
      <c r="AN313" s="6" t="s">
        <v>260</v>
      </c>
      <c r="AO313" s="6" t="s">
        <v>2885</v>
      </c>
      <c r="AP313" s="14" t="s">
        <v>2886</v>
      </c>
      <c r="AQ313" s="14" t="s">
        <v>294</v>
      </c>
      <c r="AR313" s="20" t="s">
        <v>246</v>
      </c>
      <c r="AS313" s="20"/>
    </row>
    <row r="314" customFormat="false" ht="60" hidden="false" customHeight="true" outlineLevel="0" collapsed="false">
      <c r="A314" s="14" t="n">
        <v>313</v>
      </c>
      <c r="B314" s="14" t="s">
        <v>374</v>
      </c>
      <c r="C314" s="14" t="s">
        <v>221</v>
      </c>
      <c r="D314" s="14" t="s">
        <v>222</v>
      </c>
      <c r="E314" s="14" t="s">
        <v>34</v>
      </c>
      <c r="F314" s="14" t="s">
        <v>223</v>
      </c>
      <c r="G314" s="14" t="s">
        <v>224</v>
      </c>
      <c r="H314" s="14" t="s">
        <v>223</v>
      </c>
      <c r="I314" s="14" t="s">
        <v>322</v>
      </c>
      <c r="J314" s="14" t="s">
        <v>264</v>
      </c>
      <c r="K314" s="14" t="s">
        <v>2887</v>
      </c>
      <c r="L314" s="14" t="s">
        <v>2888</v>
      </c>
      <c r="M314" s="15" t="n">
        <v>83616</v>
      </c>
      <c r="N314" s="14" t="s">
        <v>400</v>
      </c>
      <c r="O314" s="14" t="s">
        <v>2889</v>
      </c>
      <c r="P314" s="16" t="s">
        <v>2890</v>
      </c>
      <c r="Q314" s="6" t="s">
        <v>2891</v>
      </c>
      <c r="R314" s="6" t="s">
        <v>2892</v>
      </c>
      <c r="S314" s="14" t="s">
        <v>330</v>
      </c>
      <c r="T314" s="14" t="s">
        <v>235</v>
      </c>
      <c r="U314" s="14" t="s">
        <v>236</v>
      </c>
      <c r="V314" s="14" t="s">
        <v>383</v>
      </c>
      <c r="W314" s="14"/>
      <c r="X314" s="14"/>
      <c r="Y314" s="15"/>
      <c r="Z314" s="15" t="n">
        <v>3519</v>
      </c>
      <c r="AA314" s="14" t="n">
        <v>508</v>
      </c>
      <c r="AB314" s="14" t="n">
        <v>333</v>
      </c>
      <c r="AC314" s="17" t="n">
        <v>0.0521431305013395</v>
      </c>
      <c r="AD314" s="18" t="n">
        <v>97.75</v>
      </c>
      <c r="AE314" s="18" t="n">
        <f aca="false">IF(AD314="","",MIN(AD314,100))</f>
        <v>97.75</v>
      </c>
      <c r="AF314" s="14" t="n">
        <v>98.5</v>
      </c>
      <c r="AG314" s="14" t="s">
        <v>224</v>
      </c>
      <c r="AH314" s="14" t="n">
        <v>3</v>
      </c>
      <c r="AI314" s="14" t="s">
        <v>224</v>
      </c>
      <c r="AJ314" s="14" t="s">
        <v>224</v>
      </c>
      <c r="AK314" s="14" t="s">
        <v>240</v>
      </c>
      <c r="AL314" s="19" t="n">
        <f aca="false">ROUND('Start Here'!$B$29*AH314+'Start Here'!$B$30*MIN(IF(AD314="",0,AD314),50)/5+IF(M314&lt;=30000,'Start Here'!$B$31,IF(M314&lt;=60000,'Start Here'!$B$32,0)),1)</f>
        <v>4.5</v>
      </c>
      <c r="AM314" s="6" t="s">
        <v>1117</v>
      </c>
      <c r="AN314" s="6" t="s">
        <v>335</v>
      </c>
      <c r="AO314" s="6"/>
      <c r="AP314" s="14"/>
      <c r="AQ314" s="14" t="s">
        <v>307</v>
      </c>
      <c r="AR314" s="20" t="s">
        <v>246</v>
      </c>
      <c r="AS314" s="20"/>
    </row>
    <row r="315" customFormat="false" ht="60" hidden="false" customHeight="true" outlineLevel="0" collapsed="false">
      <c r="A315" s="14" t="n">
        <v>314</v>
      </c>
      <c r="B315" s="14" t="s">
        <v>247</v>
      </c>
      <c r="C315" s="14" t="s">
        <v>442</v>
      </c>
      <c r="D315" s="14" t="s">
        <v>443</v>
      </c>
      <c r="E315" s="14" t="s">
        <v>34</v>
      </c>
      <c r="F315" s="14" t="s">
        <v>223</v>
      </c>
      <c r="G315" s="14" t="s">
        <v>224</v>
      </c>
      <c r="H315" s="14" t="s">
        <v>223</v>
      </c>
      <c r="I315" s="14" t="s">
        <v>364</v>
      </c>
      <c r="J315" s="14"/>
      <c r="K315" s="14" t="s">
        <v>2893</v>
      </c>
      <c r="L315" s="14" t="s">
        <v>2894</v>
      </c>
      <c r="M315" s="15" t="n">
        <v>68600</v>
      </c>
      <c r="N315" s="14" t="s">
        <v>400</v>
      </c>
      <c r="O315" s="14" t="s">
        <v>447</v>
      </c>
      <c r="P315" s="16" t="s">
        <v>2895</v>
      </c>
      <c r="Q315" s="6" t="s">
        <v>2896</v>
      </c>
      <c r="R315" s="6" t="s">
        <v>2897</v>
      </c>
      <c r="S315" s="14" t="s">
        <v>1635</v>
      </c>
      <c r="T315" s="14" t="s">
        <v>235</v>
      </c>
      <c r="U315" s="14" t="s">
        <v>236</v>
      </c>
      <c r="V315" s="14" t="s">
        <v>2898</v>
      </c>
      <c r="W315" s="14" t="s">
        <v>452</v>
      </c>
      <c r="X315" s="14"/>
      <c r="Y315" s="15" t="n">
        <v>2600000</v>
      </c>
      <c r="Z315" s="15"/>
      <c r="AA315" s="14"/>
      <c r="AB315" s="14"/>
      <c r="AC315" s="17"/>
      <c r="AD315" s="18" t="n">
        <v>113</v>
      </c>
      <c r="AE315" s="18" t="n">
        <f aca="false">IF(AD315="","",MIN(AD315,100))</f>
        <v>100</v>
      </c>
      <c r="AF315" s="14"/>
      <c r="AG315" s="14" t="s">
        <v>224</v>
      </c>
      <c r="AH315" s="14" t="n">
        <v>3</v>
      </c>
      <c r="AI315" s="14" t="s">
        <v>224</v>
      </c>
      <c r="AJ315" s="14" t="s">
        <v>224</v>
      </c>
      <c r="AK315" s="14" t="s">
        <v>453</v>
      </c>
      <c r="AL315" s="19" t="n">
        <f aca="false">ROUND('Start Here'!$B$29*AH315+'Start Here'!$B$30*MIN(IF(AD315="",0,AD315),50)/5+IF(M315&lt;=30000,'Start Here'!$B$31,IF(M315&lt;=60000,'Start Here'!$B$32,0)),1)</f>
        <v>4.5</v>
      </c>
      <c r="AM315" s="6" t="s">
        <v>2899</v>
      </c>
      <c r="AN315" s="6" t="s">
        <v>2900</v>
      </c>
      <c r="AO315" s="6" t="s">
        <v>2901</v>
      </c>
      <c r="AP315" s="14" t="s">
        <v>2902</v>
      </c>
      <c r="AQ315" s="14" t="s">
        <v>458</v>
      </c>
      <c r="AR315" s="20" t="s">
        <v>246</v>
      </c>
      <c r="AS315" s="20"/>
    </row>
    <row r="316" customFormat="false" ht="60" hidden="false" customHeight="true" outlineLevel="0" collapsed="false">
      <c r="A316" s="14" t="n">
        <v>315</v>
      </c>
      <c r="B316" s="14" t="s">
        <v>247</v>
      </c>
      <c r="C316" s="14" t="s">
        <v>221</v>
      </c>
      <c r="D316" s="14" t="s">
        <v>222</v>
      </c>
      <c r="E316" s="14" t="s">
        <v>36</v>
      </c>
      <c r="F316" s="14" t="s">
        <v>223</v>
      </c>
      <c r="G316" s="14" t="s">
        <v>223</v>
      </c>
      <c r="H316" s="14" t="s">
        <v>224</v>
      </c>
      <c r="I316" s="14" t="s">
        <v>338</v>
      </c>
      <c r="J316" s="14" t="s">
        <v>225</v>
      </c>
      <c r="K316" s="14" t="s">
        <v>2903</v>
      </c>
      <c r="L316" s="14" t="s">
        <v>2904</v>
      </c>
      <c r="M316" s="15" t="n">
        <v>8795</v>
      </c>
      <c r="N316" s="14" t="s">
        <v>283</v>
      </c>
      <c r="O316" s="14" t="s">
        <v>1233</v>
      </c>
      <c r="P316" s="16" t="s">
        <v>2905</v>
      </c>
      <c r="Q316" s="6" t="s">
        <v>2906</v>
      </c>
      <c r="R316" s="6" t="s">
        <v>2907</v>
      </c>
      <c r="S316" s="14" t="s">
        <v>234</v>
      </c>
      <c r="T316" s="14" t="s">
        <v>235</v>
      </c>
      <c r="U316" s="14" t="s">
        <v>236</v>
      </c>
      <c r="V316" s="14" t="s">
        <v>810</v>
      </c>
      <c r="W316" s="14"/>
      <c r="X316" s="14"/>
      <c r="Y316" s="15" t="n">
        <v>10371</v>
      </c>
      <c r="Z316" s="15" t="n">
        <v>185</v>
      </c>
      <c r="AA316" s="14" t="n">
        <v>1</v>
      </c>
      <c r="AB316" s="14"/>
      <c r="AC316" s="17" t="n">
        <v>0.0179346253977437</v>
      </c>
      <c r="AD316" s="18" t="n">
        <v>16.1</v>
      </c>
      <c r="AE316" s="18" t="n">
        <f aca="false">IF(AD316="","",MIN(AD316,100))</f>
        <v>16.1</v>
      </c>
      <c r="AF316" s="14" t="n">
        <v>92.4</v>
      </c>
      <c r="AG316" s="14" t="s">
        <v>224</v>
      </c>
      <c r="AH316" s="14" t="n">
        <v>3</v>
      </c>
      <c r="AI316" s="14" t="s">
        <v>224</v>
      </c>
      <c r="AJ316" s="14" t="s">
        <v>224</v>
      </c>
      <c r="AK316" s="14" t="s">
        <v>240</v>
      </c>
      <c r="AL316" s="19" t="n">
        <f aca="false">ROUND('Start Here'!$B$29*AH316+'Start Here'!$B$30*MIN(IF(AD316="",0,AD316),50)/5+IF(M316&lt;=30000,'Start Here'!$B$31,IF(M316&lt;=60000,'Start Here'!$B$32,0)),1)</f>
        <v>4.5</v>
      </c>
      <c r="AM316" s="6" t="s">
        <v>241</v>
      </c>
      <c r="AN316" s="6" t="s">
        <v>2908</v>
      </c>
      <c r="AO316" s="6"/>
      <c r="AP316" s="14"/>
      <c r="AQ316" s="14" t="s">
        <v>263</v>
      </c>
      <c r="AR316" s="20" t="s">
        <v>246</v>
      </c>
      <c r="AS316" s="20"/>
    </row>
    <row r="317" customFormat="false" ht="60" hidden="false" customHeight="true" outlineLevel="0" collapsed="false">
      <c r="A317" s="14" t="n">
        <v>316</v>
      </c>
      <c r="B317" s="14" t="s">
        <v>220</v>
      </c>
      <c r="C317" s="14" t="s">
        <v>221</v>
      </c>
      <c r="D317" s="14" t="s">
        <v>222</v>
      </c>
      <c r="E317" s="14" t="s">
        <v>36</v>
      </c>
      <c r="F317" s="14" t="s">
        <v>224</v>
      </c>
      <c r="G317" s="14" t="s">
        <v>223</v>
      </c>
      <c r="H317" s="14" t="s">
        <v>224</v>
      </c>
      <c r="I317" s="14" t="s">
        <v>635</v>
      </c>
      <c r="J317" s="14" t="s">
        <v>518</v>
      </c>
      <c r="K317" s="14" t="s">
        <v>2909</v>
      </c>
      <c r="L317" s="14" t="s">
        <v>2910</v>
      </c>
      <c r="M317" s="15" t="n">
        <v>8476</v>
      </c>
      <c r="N317" s="14" t="s">
        <v>283</v>
      </c>
      <c r="O317" s="14" t="s">
        <v>2911</v>
      </c>
      <c r="P317" s="16" t="s">
        <v>2912</v>
      </c>
      <c r="Q317" s="6" t="s">
        <v>2913</v>
      </c>
      <c r="R317" s="6" t="s">
        <v>2914</v>
      </c>
      <c r="S317" s="14" t="s">
        <v>569</v>
      </c>
      <c r="T317" s="14" t="s">
        <v>235</v>
      </c>
      <c r="U317" s="14" t="s">
        <v>236</v>
      </c>
      <c r="V317" s="14" t="s">
        <v>237</v>
      </c>
      <c r="W317" s="14" t="s">
        <v>238</v>
      </c>
      <c r="X317" s="14" t="s">
        <v>333</v>
      </c>
      <c r="Y317" s="15" t="n">
        <v>10192</v>
      </c>
      <c r="Z317" s="15" t="n">
        <v>341</v>
      </c>
      <c r="AA317" s="14" t="n">
        <v>38</v>
      </c>
      <c r="AB317" s="14" t="n">
        <v>45</v>
      </c>
      <c r="AC317" s="17" t="n">
        <v>0.0416012558869702</v>
      </c>
      <c r="AD317" s="18" t="n">
        <v>7.42</v>
      </c>
      <c r="AE317" s="18" t="n">
        <f aca="false">IF(AD317="","",MIN(AD317,100))</f>
        <v>7.42</v>
      </c>
      <c r="AF317" s="14" t="n">
        <v>97.3</v>
      </c>
      <c r="AG317" s="14" t="s">
        <v>224</v>
      </c>
      <c r="AH317" s="14" t="n">
        <v>4</v>
      </c>
      <c r="AI317" s="14" t="s">
        <v>224</v>
      </c>
      <c r="AJ317" s="14" t="s">
        <v>224</v>
      </c>
      <c r="AK317" s="14" t="s">
        <v>240</v>
      </c>
      <c r="AL317" s="19" t="n">
        <f aca="false">ROUND('Start Here'!$B$29*AH317+'Start Here'!$B$30*MIN(IF(AD317="",0,AD317),50)/5+IF(M317&lt;=30000,'Start Here'!$B$31,IF(M317&lt;=60000,'Start Here'!$B$32,0)),1)</f>
        <v>4.4</v>
      </c>
      <c r="AM317" s="6" t="s">
        <v>2915</v>
      </c>
      <c r="AN317" s="6" t="s">
        <v>2916</v>
      </c>
      <c r="AO317" s="6" t="s">
        <v>2917</v>
      </c>
      <c r="AP317" s="14" t="s">
        <v>2918</v>
      </c>
      <c r="AQ317" s="14" t="s">
        <v>524</v>
      </c>
      <c r="AR317" s="20" t="s">
        <v>246</v>
      </c>
      <c r="AS317" s="20"/>
    </row>
    <row r="318" customFormat="false" ht="60" hidden="false" customHeight="true" outlineLevel="0" collapsed="false">
      <c r="A318" s="14" t="n">
        <v>317</v>
      </c>
      <c r="B318" s="14" t="s">
        <v>247</v>
      </c>
      <c r="C318" s="14" t="s">
        <v>442</v>
      </c>
      <c r="D318" s="14" t="s">
        <v>443</v>
      </c>
      <c r="E318" s="14" t="s">
        <v>38</v>
      </c>
      <c r="F318" s="14" t="s">
        <v>224</v>
      </c>
      <c r="G318" s="14" t="s">
        <v>224</v>
      </c>
      <c r="H318" s="14" t="s">
        <v>223</v>
      </c>
      <c r="I318" s="14" t="s">
        <v>364</v>
      </c>
      <c r="J318" s="14" t="s">
        <v>834</v>
      </c>
      <c r="K318" s="14" t="s">
        <v>2919</v>
      </c>
      <c r="L318" s="14" t="s">
        <v>2920</v>
      </c>
      <c r="M318" s="15" t="n">
        <v>85000</v>
      </c>
      <c r="N318" s="14" t="s">
        <v>400</v>
      </c>
      <c r="O318" s="14" t="s">
        <v>447</v>
      </c>
      <c r="P318" s="16" t="s">
        <v>2921</v>
      </c>
      <c r="Q318" s="6" t="s">
        <v>2922</v>
      </c>
      <c r="R318" s="6" t="s">
        <v>2923</v>
      </c>
      <c r="S318" s="14" t="s">
        <v>255</v>
      </c>
      <c r="T318" s="14" t="s">
        <v>235</v>
      </c>
      <c r="U318" s="14" t="s">
        <v>236</v>
      </c>
      <c r="V318" s="14" t="s">
        <v>2924</v>
      </c>
      <c r="W318" s="14" t="s">
        <v>452</v>
      </c>
      <c r="X318" s="14"/>
      <c r="Y318" s="15" t="n">
        <v>809100</v>
      </c>
      <c r="Z318" s="15"/>
      <c r="AA318" s="14"/>
      <c r="AB318" s="14"/>
      <c r="AC318" s="17"/>
      <c r="AD318" s="18" t="n">
        <v>7.2</v>
      </c>
      <c r="AE318" s="18" t="n">
        <f aca="false">IF(AD318="","",MIN(AD318,100))</f>
        <v>7.2</v>
      </c>
      <c r="AF318" s="14"/>
      <c r="AG318" s="14" t="s">
        <v>224</v>
      </c>
      <c r="AH318" s="14" t="n">
        <v>8</v>
      </c>
      <c r="AI318" s="14" t="s">
        <v>224</v>
      </c>
      <c r="AJ318" s="14" t="s">
        <v>224</v>
      </c>
      <c r="AK318" s="14" t="s">
        <v>453</v>
      </c>
      <c r="AL318" s="19" t="n">
        <f aca="false">ROUND('Start Here'!$B$29*AH318+'Start Here'!$B$30*MIN(IF(AD318="",0,AD318),50)/5+IF(M318&lt;=30000,'Start Here'!$B$31,IF(M318&lt;=60000,'Start Here'!$B$32,0)),1)</f>
        <v>4.4</v>
      </c>
      <c r="AM318" s="6" t="s">
        <v>2925</v>
      </c>
      <c r="AN318" s="6" t="s">
        <v>950</v>
      </c>
      <c r="AO318" s="6" t="s">
        <v>2926</v>
      </c>
      <c r="AP318" s="14" t="s">
        <v>2927</v>
      </c>
      <c r="AQ318" s="14" t="s">
        <v>1593</v>
      </c>
      <c r="AR318" s="20" t="s">
        <v>246</v>
      </c>
      <c r="AS318" s="20"/>
    </row>
    <row r="319" customFormat="false" ht="60" hidden="false" customHeight="true" outlineLevel="0" collapsed="false">
      <c r="A319" s="14" t="n">
        <v>318</v>
      </c>
      <c r="B319" s="14" t="s">
        <v>374</v>
      </c>
      <c r="C319" s="14" t="s">
        <v>221</v>
      </c>
      <c r="D319" s="14" t="s">
        <v>222</v>
      </c>
      <c r="E319" s="14" t="s">
        <v>38</v>
      </c>
      <c r="F319" s="14" t="s">
        <v>224</v>
      </c>
      <c r="G319" s="14" t="s">
        <v>224</v>
      </c>
      <c r="H319" s="14" t="s">
        <v>223</v>
      </c>
      <c r="I319" s="14" t="s">
        <v>264</v>
      </c>
      <c r="J319" s="14" t="s">
        <v>2928</v>
      </c>
      <c r="K319" s="14" t="s">
        <v>2240</v>
      </c>
      <c r="L319" s="14" t="s">
        <v>2241</v>
      </c>
      <c r="M319" s="15" t="n">
        <v>68759</v>
      </c>
      <c r="N319" s="14" t="s">
        <v>400</v>
      </c>
      <c r="O319" s="14" t="s">
        <v>2929</v>
      </c>
      <c r="P319" s="16" t="s">
        <v>2930</v>
      </c>
      <c r="Q319" s="6" t="s">
        <v>2931</v>
      </c>
      <c r="R319" s="6" t="s">
        <v>2932</v>
      </c>
      <c r="S319" s="14" t="s">
        <v>569</v>
      </c>
      <c r="T319" s="14" t="s">
        <v>235</v>
      </c>
      <c r="U319" s="14" t="s">
        <v>236</v>
      </c>
      <c r="V319" s="14" t="s">
        <v>331</v>
      </c>
      <c r="W319" s="14" t="s">
        <v>238</v>
      </c>
      <c r="X319" s="14" t="s">
        <v>546</v>
      </c>
      <c r="Y319" s="15"/>
      <c r="Z319" s="15" t="n">
        <v>1376</v>
      </c>
      <c r="AA319" s="14" t="n">
        <v>223</v>
      </c>
      <c r="AB319" s="14" t="n">
        <v>35</v>
      </c>
      <c r="AC319" s="17" t="n">
        <v>0.0238480960929404</v>
      </c>
      <c r="AD319" s="18" t="n">
        <v>6.97</v>
      </c>
      <c r="AE319" s="18" t="n">
        <f aca="false">IF(AD319="","",MIN(AD319,100))</f>
        <v>6.97</v>
      </c>
      <c r="AF319" s="14" t="n">
        <v>98</v>
      </c>
      <c r="AG319" s="14" t="s">
        <v>224</v>
      </c>
      <c r="AH319" s="14" t="n">
        <v>8</v>
      </c>
      <c r="AI319" s="14" t="s">
        <v>224</v>
      </c>
      <c r="AJ319" s="14" t="s">
        <v>224</v>
      </c>
      <c r="AK319" s="14" t="s">
        <v>240</v>
      </c>
      <c r="AL319" s="19" t="n">
        <f aca="false">ROUND('Start Here'!$B$29*AH319+'Start Here'!$B$30*MIN(IF(AD319="",0,AD319),50)/5+IF(M319&lt;=30000,'Start Here'!$B$31,IF(M319&lt;=60000,'Start Here'!$B$32,0)),1)</f>
        <v>4.4</v>
      </c>
      <c r="AM319" s="6" t="s">
        <v>2915</v>
      </c>
      <c r="AN319" s="6" t="s">
        <v>2933</v>
      </c>
      <c r="AO319" s="6" t="s">
        <v>2934</v>
      </c>
      <c r="AP319" s="14" t="s">
        <v>2935</v>
      </c>
      <c r="AQ319" s="14" t="s">
        <v>2015</v>
      </c>
      <c r="AR319" s="20" t="s">
        <v>246</v>
      </c>
      <c r="AS319" s="20"/>
    </row>
    <row r="320" customFormat="false" ht="60" hidden="false" customHeight="true" outlineLevel="0" collapsed="false">
      <c r="A320" s="14" t="n">
        <v>319</v>
      </c>
      <c r="B320" s="14" t="s">
        <v>220</v>
      </c>
      <c r="C320" s="14" t="s">
        <v>221</v>
      </c>
      <c r="D320" s="14" t="s">
        <v>222</v>
      </c>
      <c r="E320" s="14" t="s">
        <v>34</v>
      </c>
      <c r="F320" s="14" t="s">
        <v>223</v>
      </c>
      <c r="G320" s="14" t="s">
        <v>224</v>
      </c>
      <c r="H320" s="14" t="s">
        <v>223</v>
      </c>
      <c r="I320" s="14" t="s">
        <v>264</v>
      </c>
      <c r="J320" s="14" t="s">
        <v>338</v>
      </c>
      <c r="K320" s="14" t="s">
        <v>2936</v>
      </c>
      <c r="L320" s="14" t="s">
        <v>2937</v>
      </c>
      <c r="M320" s="15" t="n">
        <v>42493</v>
      </c>
      <c r="N320" s="14" t="s">
        <v>462</v>
      </c>
      <c r="O320" s="14" t="s">
        <v>669</v>
      </c>
      <c r="P320" s="16" t="s">
        <v>2938</v>
      </c>
      <c r="Q320" s="6" t="s">
        <v>2939</v>
      </c>
      <c r="R320" s="6" t="s">
        <v>2940</v>
      </c>
      <c r="S320" s="14" t="s">
        <v>741</v>
      </c>
      <c r="T320" s="14" t="s">
        <v>235</v>
      </c>
      <c r="U320" s="14" t="s">
        <v>236</v>
      </c>
      <c r="V320" s="14" t="s">
        <v>237</v>
      </c>
      <c r="W320" s="14" t="s">
        <v>238</v>
      </c>
      <c r="X320" s="14" t="s">
        <v>239</v>
      </c>
      <c r="Y320" s="15" t="n">
        <v>59549</v>
      </c>
      <c r="Z320" s="15" t="n">
        <v>2298</v>
      </c>
      <c r="AA320" s="14" t="n">
        <v>30</v>
      </c>
      <c r="AB320" s="14" t="n">
        <v>342</v>
      </c>
      <c r="AC320" s="17" t="n">
        <v>0.0448370249710323</v>
      </c>
      <c r="AD320" s="18" t="n">
        <v>14.88</v>
      </c>
      <c r="AE320" s="18" t="n">
        <f aca="false">IF(AD320="","",MIN(AD320,100))</f>
        <v>14.88</v>
      </c>
      <c r="AF320" s="14" t="n">
        <v>86.6</v>
      </c>
      <c r="AG320" s="14" t="s">
        <v>224</v>
      </c>
      <c r="AH320" s="14" t="n">
        <v>5</v>
      </c>
      <c r="AI320" s="14" t="s">
        <v>224</v>
      </c>
      <c r="AJ320" s="14" t="s">
        <v>224</v>
      </c>
      <c r="AK320" s="14" t="s">
        <v>240</v>
      </c>
      <c r="AL320" s="19" t="n">
        <f aca="false">ROUND('Start Here'!$B$29*AH320+'Start Here'!$B$30*MIN(IF(AD320="",0,AD320),50)/5+IF(M320&lt;=30000,'Start Here'!$B$31,IF(M320&lt;=60000,'Start Here'!$B$32,0)),1)</f>
        <v>4.4</v>
      </c>
      <c r="AM320" s="6" t="s">
        <v>2405</v>
      </c>
      <c r="AN320" s="6" t="s">
        <v>2941</v>
      </c>
      <c r="AO320" s="6" t="s">
        <v>2942</v>
      </c>
      <c r="AP320" s="14" t="s">
        <v>2943</v>
      </c>
      <c r="AQ320" s="14" t="s">
        <v>263</v>
      </c>
      <c r="AR320" s="20" t="s">
        <v>246</v>
      </c>
      <c r="AS320" s="20"/>
    </row>
    <row r="321" customFormat="false" ht="60" hidden="false" customHeight="true" outlineLevel="0" collapsed="false">
      <c r="A321" s="14" t="n">
        <v>320</v>
      </c>
      <c r="B321" s="14" t="s">
        <v>374</v>
      </c>
      <c r="C321" s="14" t="s">
        <v>221</v>
      </c>
      <c r="D321" s="14" t="s">
        <v>222</v>
      </c>
      <c r="E321" s="14" t="s">
        <v>34</v>
      </c>
      <c r="F321" s="14" t="s">
        <v>223</v>
      </c>
      <c r="G321" s="14" t="s">
        <v>224</v>
      </c>
      <c r="H321" s="14" t="s">
        <v>223</v>
      </c>
      <c r="I321" s="14" t="s">
        <v>308</v>
      </c>
      <c r="J321" s="14" t="s">
        <v>1210</v>
      </c>
      <c r="K321" s="14" t="s">
        <v>2774</v>
      </c>
      <c r="L321" s="14" t="s">
        <v>2775</v>
      </c>
      <c r="M321" s="15" t="n">
        <v>47055</v>
      </c>
      <c r="N321" s="14" t="s">
        <v>462</v>
      </c>
      <c r="O321" s="14" t="s">
        <v>2944</v>
      </c>
      <c r="P321" s="16" t="s">
        <v>2945</v>
      </c>
      <c r="Q321" s="6" t="s">
        <v>2946</v>
      </c>
      <c r="R321" s="6" t="s">
        <v>2947</v>
      </c>
      <c r="S321" s="14" t="s">
        <v>255</v>
      </c>
      <c r="T321" s="14" t="s">
        <v>235</v>
      </c>
      <c r="U321" s="14" t="s">
        <v>236</v>
      </c>
      <c r="V321" s="14" t="s">
        <v>383</v>
      </c>
      <c r="W321" s="14"/>
      <c r="X321" s="14"/>
      <c r="Y321" s="15"/>
      <c r="Z321" s="15" t="n">
        <v>1126</v>
      </c>
      <c r="AA321" s="14" t="n">
        <v>269</v>
      </c>
      <c r="AB321" s="14" t="n">
        <v>16</v>
      </c>
      <c r="AC321" s="17" t="n">
        <v>0.0299861863776432</v>
      </c>
      <c r="AD321" s="18" t="n">
        <v>22.75</v>
      </c>
      <c r="AE321" s="18" t="n">
        <f aca="false">IF(AD321="","",MIN(AD321,100))</f>
        <v>22.75</v>
      </c>
      <c r="AF321" s="14" t="n">
        <v>98.1</v>
      </c>
      <c r="AG321" s="14" t="s">
        <v>224</v>
      </c>
      <c r="AH321" s="14" t="n">
        <v>4</v>
      </c>
      <c r="AI321" s="14" t="s">
        <v>224</v>
      </c>
      <c r="AJ321" s="14" t="s">
        <v>224</v>
      </c>
      <c r="AK321" s="14" t="s">
        <v>240</v>
      </c>
      <c r="AL321" s="19" t="n">
        <f aca="false">ROUND('Start Here'!$B$29*AH321+'Start Here'!$B$30*MIN(IF(AD321="",0,AD321),50)/5+IF(M321&lt;=30000,'Start Here'!$B$31,IF(M321&lt;=60000,'Start Here'!$B$32,0)),1)</f>
        <v>4.4</v>
      </c>
      <c r="AM321" s="6" t="s">
        <v>534</v>
      </c>
      <c r="AN321" s="6" t="s">
        <v>840</v>
      </c>
      <c r="AO321" s="6"/>
      <c r="AP321" s="14"/>
      <c r="AQ321" s="14" t="s">
        <v>431</v>
      </c>
      <c r="AR321" s="20" t="s">
        <v>246</v>
      </c>
      <c r="AS321" s="20"/>
    </row>
    <row r="322" customFormat="false" ht="60" hidden="false" customHeight="true" outlineLevel="0" collapsed="false">
      <c r="A322" s="14" t="n">
        <v>321</v>
      </c>
      <c r="B322" s="14" t="s">
        <v>220</v>
      </c>
      <c r="C322" s="14" t="s">
        <v>221</v>
      </c>
      <c r="D322" s="14" t="s">
        <v>222</v>
      </c>
      <c r="E322" s="14" t="s">
        <v>40</v>
      </c>
      <c r="F322" s="14" t="s">
        <v>224</v>
      </c>
      <c r="G322" s="14" t="s">
        <v>224</v>
      </c>
      <c r="H322" s="14" t="s">
        <v>224</v>
      </c>
      <c r="I322" s="14" t="s">
        <v>322</v>
      </c>
      <c r="J322" s="14" t="s">
        <v>309</v>
      </c>
      <c r="K322" s="14" t="s">
        <v>2948</v>
      </c>
      <c r="L322" s="14" t="s">
        <v>2949</v>
      </c>
      <c r="M322" s="15" t="n">
        <v>76654</v>
      </c>
      <c r="N322" s="14" t="s">
        <v>400</v>
      </c>
      <c r="O322" s="14" t="s">
        <v>977</v>
      </c>
      <c r="P322" s="16" t="s">
        <v>2950</v>
      </c>
      <c r="Q322" s="6" t="s">
        <v>2951</v>
      </c>
      <c r="R322" s="6" t="s">
        <v>2952</v>
      </c>
      <c r="S322" s="14" t="s">
        <v>255</v>
      </c>
      <c r="T322" s="14" t="s">
        <v>235</v>
      </c>
      <c r="U322" s="14" t="s">
        <v>236</v>
      </c>
      <c r="V322" s="14" t="s">
        <v>237</v>
      </c>
      <c r="W322" s="14" t="s">
        <v>257</v>
      </c>
      <c r="X322" s="14" t="s">
        <v>239</v>
      </c>
      <c r="Y322" s="15" t="n">
        <v>20587</v>
      </c>
      <c r="Z322" s="15" t="n">
        <v>271</v>
      </c>
      <c r="AA322" s="14" t="n">
        <v>53</v>
      </c>
      <c r="AB322" s="14" t="n">
        <v>20</v>
      </c>
      <c r="AC322" s="17" t="n">
        <v>0.0167095740030116</v>
      </c>
      <c r="AD322" s="18" t="n">
        <v>6.03</v>
      </c>
      <c r="AE322" s="18" t="n">
        <f aca="false">IF(AD322="","",MIN(AD322,100))</f>
        <v>6.03</v>
      </c>
      <c r="AF322" s="14" t="n">
        <v>97.3</v>
      </c>
      <c r="AG322" s="14" t="s">
        <v>224</v>
      </c>
      <c r="AH322" s="14" t="n">
        <v>8</v>
      </c>
      <c r="AI322" s="14" t="s">
        <v>224</v>
      </c>
      <c r="AJ322" s="14" t="s">
        <v>224</v>
      </c>
      <c r="AK322" s="14" t="s">
        <v>240</v>
      </c>
      <c r="AL322" s="19" t="n">
        <f aca="false">ROUND('Start Here'!$B$29*AH322+'Start Here'!$B$30*MIN(IF(AD322="",0,AD322),50)/5+IF(M322&lt;=30000,'Start Here'!$B$31,IF(M322&lt;=60000,'Start Here'!$B$32,0)),1)</f>
        <v>4.4</v>
      </c>
      <c r="AM322" s="6" t="s">
        <v>534</v>
      </c>
      <c r="AN322" s="6" t="s">
        <v>1969</v>
      </c>
      <c r="AO322" s="6" t="s">
        <v>2953</v>
      </c>
      <c r="AP322" s="14" t="s">
        <v>2954</v>
      </c>
      <c r="AQ322" s="14" t="s">
        <v>351</v>
      </c>
      <c r="AR322" s="20" t="s">
        <v>246</v>
      </c>
      <c r="AS322" s="20"/>
    </row>
    <row r="323" customFormat="false" ht="60" hidden="false" customHeight="true" outlineLevel="0" collapsed="false">
      <c r="A323" s="14" t="n">
        <v>322</v>
      </c>
      <c r="B323" s="14" t="s">
        <v>247</v>
      </c>
      <c r="C323" s="14" t="s">
        <v>221</v>
      </c>
      <c r="D323" s="14" t="s">
        <v>222</v>
      </c>
      <c r="E323" s="14" t="s">
        <v>40</v>
      </c>
      <c r="F323" s="14" t="s">
        <v>224</v>
      </c>
      <c r="G323" s="14" t="s">
        <v>224</v>
      </c>
      <c r="H323" s="14" t="s">
        <v>224</v>
      </c>
      <c r="I323" s="14" t="s">
        <v>586</v>
      </c>
      <c r="J323" s="14" t="s">
        <v>225</v>
      </c>
      <c r="K323" s="14" t="s">
        <v>2355</v>
      </c>
      <c r="L323" s="14" t="s">
        <v>2356</v>
      </c>
      <c r="M323" s="15" t="n">
        <v>23296</v>
      </c>
      <c r="N323" s="14" t="s">
        <v>298</v>
      </c>
      <c r="O323" s="14" t="s">
        <v>2867</v>
      </c>
      <c r="P323" s="16" t="s">
        <v>2955</v>
      </c>
      <c r="Q323" s="6" t="s">
        <v>2956</v>
      </c>
      <c r="R323" s="6" t="s">
        <v>2957</v>
      </c>
      <c r="S323" s="14" t="s">
        <v>234</v>
      </c>
      <c r="T323" s="14" t="s">
        <v>235</v>
      </c>
      <c r="U323" s="14" t="s">
        <v>236</v>
      </c>
      <c r="V323" s="14" t="s">
        <v>288</v>
      </c>
      <c r="W323" s="14" t="s">
        <v>257</v>
      </c>
      <c r="X323" s="14" t="s">
        <v>258</v>
      </c>
      <c r="Y323" s="15" t="n">
        <v>55888</v>
      </c>
      <c r="Z323" s="15" t="n">
        <v>1493</v>
      </c>
      <c r="AA323" s="14" t="n">
        <v>27</v>
      </c>
      <c r="AB323" s="14"/>
      <c r="AC323" s="17" t="n">
        <v>0.0271972516461494</v>
      </c>
      <c r="AD323" s="18" t="n">
        <v>3.22</v>
      </c>
      <c r="AE323" s="18" t="n">
        <f aca="false">IF(AD323="","",MIN(AD323,100))</f>
        <v>3.22</v>
      </c>
      <c r="AF323" s="14" t="n">
        <v>75.4</v>
      </c>
      <c r="AG323" s="14" t="s">
        <v>224</v>
      </c>
      <c r="AH323" s="14" t="n">
        <v>4.3</v>
      </c>
      <c r="AI323" s="14" t="s">
        <v>224</v>
      </c>
      <c r="AJ323" s="14" t="s">
        <v>224</v>
      </c>
      <c r="AK323" s="14" t="s">
        <v>240</v>
      </c>
      <c r="AL323" s="19" t="n">
        <f aca="false">ROUND('Start Here'!$B$29*AH323+'Start Here'!$B$30*MIN(IF(AD323="",0,AD323),50)/5+IF(M323&lt;=30000,'Start Here'!$B$31,IF(M323&lt;=60000,'Start Here'!$B$32,0)),1)</f>
        <v>4.3</v>
      </c>
      <c r="AM323" s="6" t="s">
        <v>503</v>
      </c>
      <c r="AN323" s="6" t="s">
        <v>2282</v>
      </c>
      <c r="AO323" s="6" t="s">
        <v>2958</v>
      </c>
      <c r="AP323" s="14" t="s">
        <v>2959</v>
      </c>
      <c r="AQ323" s="14" t="s">
        <v>431</v>
      </c>
      <c r="AR323" s="20" t="s">
        <v>246</v>
      </c>
      <c r="AS323" s="20"/>
    </row>
    <row r="324" customFormat="false" ht="60" hidden="false" customHeight="true" outlineLevel="0" collapsed="false">
      <c r="A324" s="14" t="n">
        <v>323</v>
      </c>
      <c r="B324" s="14" t="s">
        <v>374</v>
      </c>
      <c r="C324" s="14" t="s">
        <v>221</v>
      </c>
      <c r="D324" s="14" t="s">
        <v>222</v>
      </c>
      <c r="E324" s="14" t="s">
        <v>36</v>
      </c>
      <c r="F324" s="14" t="s">
        <v>224</v>
      </c>
      <c r="G324" s="14" t="s">
        <v>223</v>
      </c>
      <c r="H324" s="14" t="s">
        <v>224</v>
      </c>
      <c r="I324" s="14" t="s">
        <v>635</v>
      </c>
      <c r="J324" s="14" t="s">
        <v>2960</v>
      </c>
      <c r="K324" s="14" t="s">
        <v>2961</v>
      </c>
      <c r="L324" s="14" t="s">
        <v>2962</v>
      </c>
      <c r="M324" s="15" t="n">
        <v>6202</v>
      </c>
      <c r="N324" s="14" t="s">
        <v>283</v>
      </c>
      <c r="O324" s="14" t="s">
        <v>2963</v>
      </c>
      <c r="P324" s="16" t="s">
        <v>2964</v>
      </c>
      <c r="Q324" s="6" t="s">
        <v>2965</v>
      </c>
      <c r="R324" s="6" t="s">
        <v>2966</v>
      </c>
      <c r="S324" s="14" t="s">
        <v>234</v>
      </c>
      <c r="T324" s="14" t="s">
        <v>235</v>
      </c>
      <c r="U324" s="14" t="s">
        <v>236</v>
      </c>
      <c r="V324" s="14" t="s">
        <v>331</v>
      </c>
      <c r="W324" s="14" t="s">
        <v>257</v>
      </c>
      <c r="X324" s="14" t="s">
        <v>333</v>
      </c>
      <c r="Y324" s="15"/>
      <c r="Z324" s="15" t="n">
        <v>142</v>
      </c>
      <c r="AA324" s="14" t="n">
        <v>27</v>
      </c>
      <c r="AB324" s="14" t="n">
        <v>2</v>
      </c>
      <c r="AC324" s="17" t="n">
        <v>0.0290076335877863</v>
      </c>
      <c r="AD324" s="18" t="n">
        <v>5.52</v>
      </c>
      <c r="AE324" s="18" t="n">
        <f aca="false">IF(AD324="","",MIN(AD324,100))</f>
        <v>5.52</v>
      </c>
      <c r="AF324" s="14" t="n">
        <v>98</v>
      </c>
      <c r="AG324" s="14" t="s">
        <v>224</v>
      </c>
      <c r="AH324" s="14" t="n">
        <v>4</v>
      </c>
      <c r="AI324" s="14" t="s">
        <v>224</v>
      </c>
      <c r="AJ324" s="14" t="s">
        <v>224</v>
      </c>
      <c r="AK324" s="14" t="s">
        <v>240</v>
      </c>
      <c r="AL324" s="19" t="n">
        <f aca="false">ROUND('Start Here'!$B$29*AH324+'Start Here'!$B$30*MIN(IF(AD324="",0,AD324),50)/5+IF(M324&lt;=30000,'Start Here'!$B$31,IF(M324&lt;=60000,'Start Here'!$B$32,0)),1)</f>
        <v>4.3</v>
      </c>
      <c r="AM324" s="6" t="s">
        <v>503</v>
      </c>
      <c r="AN324" s="6" t="s">
        <v>1403</v>
      </c>
      <c r="AO324" s="6" t="s">
        <v>2967</v>
      </c>
      <c r="AP324" s="14" t="s">
        <v>2968</v>
      </c>
      <c r="AQ324" s="14" t="s">
        <v>524</v>
      </c>
      <c r="AR324" s="20" t="s">
        <v>246</v>
      </c>
      <c r="AS324" s="20"/>
    </row>
    <row r="325" customFormat="false" ht="60" hidden="false" customHeight="true" outlineLevel="0" collapsed="false">
      <c r="A325" s="14" t="n">
        <v>324</v>
      </c>
      <c r="B325" s="14" t="s">
        <v>374</v>
      </c>
      <c r="C325" s="14" t="s">
        <v>221</v>
      </c>
      <c r="D325" s="14" t="s">
        <v>222</v>
      </c>
      <c r="E325" s="14" t="s">
        <v>34</v>
      </c>
      <c r="F325" s="14" t="s">
        <v>223</v>
      </c>
      <c r="G325" s="14" t="s">
        <v>224</v>
      </c>
      <c r="H325" s="14" t="s">
        <v>224</v>
      </c>
      <c r="I325" s="14" t="s">
        <v>635</v>
      </c>
      <c r="J325" s="14" t="s">
        <v>1930</v>
      </c>
      <c r="K325" s="14" t="s">
        <v>2969</v>
      </c>
      <c r="L325" s="14" t="s">
        <v>2970</v>
      </c>
      <c r="M325" s="15" t="n">
        <v>37230</v>
      </c>
      <c r="N325" s="14" t="s">
        <v>462</v>
      </c>
      <c r="O325" s="14" t="s">
        <v>2971</v>
      </c>
      <c r="P325" s="16" t="s">
        <v>2972</v>
      </c>
      <c r="Q325" s="6" t="s">
        <v>2973</v>
      </c>
      <c r="R325" s="6" t="s">
        <v>2974</v>
      </c>
      <c r="S325" s="14" t="s">
        <v>330</v>
      </c>
      <c r="T325" s="14" t="s">
        <v>235</v>
      </c>
      <c r="U325" s="14" t="s">
        <v>236</v>
      </c>
      <c r="V325" s="14" t="s">
        <v>383</v>
      </c>
      <c r="W325" s="14"/>
      <c r="X325" s="14"/>
      <c r="Y325" s="15"/>
      <c r="Z325" s="15" t="n">
        <v>938</v>
      </c>
      <c r="AA325" s="14" t="n">
        <v>2871</v>
      </c>
      <c r="AB325" s="14" t="n">
        <v>8</v>
      </c>
      <c r="AC325" s="17" t="n">
        <v>0.10252484555466</v>
      </c>
      <c r="AD325" s="18" t="n">
        <v>28</v>
      </c>
      <c r="AE325" s="18" t="n">
        <f aca="false">IF(AD325="","",MIN(AD325,100))</f>
        <v>28</v>
      </c>
      <c r="AF325" s="14" t="n">
        <v>96.8</v>
      </c>
      <c r="AG325" s="14" t="s">
        <v>224</v>
      </c>
      <c r="AH325" s="14" t="n">
        <v>3.3</v>
      </c>
      <c r="AI325" s="14" t="s">
        <v>224</v>
      </c>
      <c r="AJ325" s="14" t="s">
        <v>224</v>
      </c>
      <c r="AK325" s="14" t="s">
        <v>240</v>
      </c>
      <c r="AL325" s="19" t="n">
        <f aca="false">ROUND('Start Here'!$B$29*AH325+'Start Here'!$B$30*MIN(IF(AD325="",0,AD325),50)/5+IF(M325&lt;=30000,'Start Here'!$B$31,IF(M325&lt;=60000,'Start Here'!$B$32,0)),1)</f>
        <v>4.3</v>
      </c>
      <c r="AM325" s="6" t="s">
        <v>1455</v>
      </c>
      <c r="AN325" s="6" t="s">
        <v>2338</v>
      </c>
      <c r="AO325" s="6"/>
      <c r="AP325" s="14"/>
      <c r="AQ325" s="14" t="s">
        <v>1310</v>
      </c>
      <c r="AR325" s="20" t="s">
        <v>246</v>
      </c>
      <c r="AS325" s="20"/>
    </row>
    <row r="326" customFormat="false" ht="60" hidden="false" customHeight="true" outlineLevel="0" collapsed="false">
      <c r="A326" s="14" t="n">
        <v>325</v>
      </c>
      <c r="B326" s="14" t="s">
        <v>374</v>
      </c>
      <c r="C326" s="14" t="s">
        <v>221</v>
      </c>
      <c r="D326" s="14" t="s">
        <v>222</v>
      </c>
      <c r="E326" s="14" t="s">
        <v>34</v>
      </c>
      <c r="F326" s="14" t="s">
        <v>223</v>
      </c>
      <c r="G326" s="14" t="s">
        <v>224</v>
      </c>
      <c r="H326" s="14" t="s">
        <v>224</v>
      </c>
      <c r="I326" s="14" t="s">
        <v>635</v>
      </c>
      <c r="J326" s="14" t="s">
        <v>1930</v>
      </c>
      <c r="K326" s="14" t="s">
        <v>2969</v>
      </c>
      <c r="L326" s="14" t="s">
        <v>2970</v>
      </c>
      <c r="M326" s="15" t="n">
        <v>37230</v>
      </c>
      <c r="N326" s="14" t="s">
        <v>462</v>
      </c>
      <c r="O326" s="14" t="s">
        <v>2975</v>
      </c>
      <c r="P326" s="16" t="s">
        <v>2976</v>
      </c>
      <c r="Q326" s="6" t="s">
        <v>2973</v>
      </c>
      <c r="R326" s="6" t="s">
        <v>2974</v>
      </c>
      <c r="S326" s="14" t="s">
        <v>330</v>
      </c>
      <c r="T326" s="14" t="s">
        <v>235</v>
      </c>
      <c r="U326" s="14" t="s">
        <v>236</v>
      </c>
      <c r="V326" s="14" t="s">
        <v>383</v>
      </c>
      <c r="W326" s="14"/>
      <c r="X326" s="14"/>
      <c r="Y326" s="15"/>
      <c r="Z326" s="15" t="n">
        <v>938</v>
      </c>
      <c r="AA326" s="14" t="n">
        <v>2871</v>
      </c>
      <c r="AB326" s="14" t="n">
        <v>8</v>
      </c>
      <c r="AC326" s="17" t="n">
        <v>0.10252484555466</v>
      </c>
      <c r="AD326" s="18" t="n">
        <v>28</v>
      </c>
      <c r="AE326" s="18" t="n">
        <f aca="false">IF(AD326="","",MIN(AD326,100))</f>
        <v>28</v>
      </c>
      <c r="AF326" s="14" t="n">
        <v>96.8</v>
      </c>
      <c r="AG326" s="14" t="s">
        <v>224</v>
      </c>
      <c r="AH326" s="14" t="n">
        <v>3.3</v>
      </c>
      <c r="AI326" s="14" t="s">
        <v>224</v>
      </c>
      <c r="AJ326" s="14" t="s">
        <v>224</v>
      </c>
      <c r="AK326" s="14" t="s">
        <v>240</v>
      </c>
      <c r="AL326" s="19" t="n">
        <f aca="false">ROUND('Start Here'!$B$29*AH326+'Start Here'!$B$30*MIN(IF(AD326="",0,AD326),50)/5+IF(M326&lt;=30000,'Start Here'!$B$31,IF(M326&lt;=60000,'Start Here'!$B$32,0)),1)</f>
        <v>4.3</v>
      </c>
      <c r="AM326" s="6" t="s">
        <v>1455</v>
      </c>
      <c r="AN326" s="6" t="s">
        <v>2338</v>
      </c>
      <c r="AO326" s="6"/>
      <c r="AP326" s="14"/>
      <c r="AQ326" s="14" t="s">
        <v>1310</v>
      </c>
      <c r="AR326" s="20" t="s">
        <v>246</v>
      </c>
      <c r="AS326" s="20"/>
    </row>
    <row r="327" customFormat="false" ht="60" hidden="false" customHeight="true" outlineLevel="0" collapsed="false">
      <c r="A327" s="14" t="n">
        <v>326</v>
      </c>
      <c r="B327" s="14" t="s">
        <v>374</v>
      </c>
      <c r="C327" s="14" t="s">
        <v>221</v>
      </c>
      <c r="D327" s="14" t="s">
        <v>222</v>
      </c>
      <c r="E327" s="14" t="s">
        <v>34</v>
      </c>
      <c r="F327" s="14" t="s">
        <v>223</v>
      </c>
      <c r="G327" s="14" t="s">
        <v>224</v>
      </c>
      <c r="H327" s="14" t="s">
        <v>224</v>
      </c>
      <c r="I327" s="14" t="s">
        <v>225</v>
      </c>
      <c r="J327" s="14" t="s">
        <v>375</v>
      </c>
      <c r="K327" s="14" t="s">
        <v>2977</v>
      </c>
      <c r="L327" s="14" t="s">
        <v>2978</v>
      </c>
      <c r="M327" s="15" t="n">
        <v>33845</v>
      </c>
      <c r="N327" s="14" t="s">
        <v>462</v>
      </c>
      <c r="O327" s="14" t="s">
        <v>1491</v>
      </c>
      <c r="P327" s="16" t="s">
        <v>2979</v>
      </c>
      <c r="Q327" s="6" t="s">
        <v>2980</v>
      </c>
      <c r="R327" s="6" t="s">
        <v>2981</v>
      </c>
      <c r="S327" s="14" t="s">
        <v>255</v>
      </c>
      <c r="T327" s="14" t="s">
        <v>235</v>
      </c>
      <c r="U327" s="14" t="s">
        <v>236</v>
      </c>
      <c r="V327" s="14" t="s">
        <v>331</v>
      </c>
      <c r="W327" s="14" t="s">
        <v>332</v>
      </c>
      <c r="X327" s="14" t="s">
        <v>239</v>
      </c>
      <c r="Y327" s="15"/>
      <c r="Z327" s="15" t="n">
        <v>752</v>
      </c>
      <c r="AA327" s="14" t="n">
        <v>102</v>
      </c>
      <c r="AB327" s="14" t="n">
        <v>34</v>
      </c>
      <c r="AC327" s="17" t="n">
        <v>0.0265685306525447</v>
      </c>
      <c r="AD327" s="18" t="n">
        <v>21.83</v>
      </c>
      <c r="AE327" s="18" t="n">
        <f aca="false">IF(AD327="","",MIN(AD327,100))</f>
        <v>21.83</v>
      </c>
      <c r="AF327" s="14" t="n">
        <v>98.9</v>
      </c>
      <c r="AG327" s="14" t="s">
        <v>224</v>
      </c>
      <c r="AH327" s="14" t="n">
        <v>4</v>
      </c>
      <c r="AI327" s="14" t="s">
        <v>224</v>
      </c>
      <c r="AJ327" s="14" t="s">
        <v>224</v>
      </c>
      <c r="AK327" s="14" t="s">
        <v>240</v>
      </c>
      <c r="AL327" s="19" t="n">
        <f aca="false">ROUND('Start Here'!$B$29*AH327+'Start Here'!$B$30*MIN(IF(AD327="",0,AD327),50)/5+IF(M327&lt;=30000,'Start Here'!$B$31,IF(M327&lt;=60000,'Start Here'!$B$32,0)),1)</f>
        <v>4.3</v>
      </c>
      <c r="AM327" s="6" t="s">
        <v>534</v>
      </c>
      <c r="AN327" s="6" t="s">
        <v>674</v>
      </c>
      <c r="AO327" s="6" t="s">
        <v>2982</v>
      </c>
      <c r="AP327" s="14" t="s">
        <v>2983</v>
      </c>
      <c r="AQ327" s="14" t="s">
        <v>718</v>
      </c>
      <c r="AR327" s="20" t="s">
        <v>246</v>
      </c>
      <c r="AS327" s="20"/>
    </row>
    <row r="328" customFormat="false" ht="60" hidden="false" customHeight="true" outlineLevel="0" collapsed="false">
      <c r="A328" s="14" t="n">
        <v>327</v>
      </c>
      <c r="B328" s="14" t="s">
        <v>374</v>
      </c>
      <c r="C328" s="14" t="s">
        <v>221</v>
      </c>
      <c r="D328" s="14" t="s">
        <v>222</v>
      </c>
      <c r="E328" s="14" t="s">
        <v>40</v>
      </c>
      <c r="F328" s="14" t="s">
        <v>224</v>
      </c>
      <c r="G328" s="14" t="s">
        <v>224</v>
      </c>
      <c r="H328" s="14" t="s">
        <v>224</v>
      </c>
      <c r="I328" s="14" t="s">
        <v>264</v>
      </c>
      <c r="J328" s="14" t="s">
        <v>2928</v>
      </c>
      <c r="K328" s="14" t="s">
        <v>2240</v>
      </c>
      <c r="L328" s="14" t="s">
        <v>2241</v>
      </c>
      <c r="M328" s="15" t="n">
        <v>68759</v>
      </c>
      <c r="N328" s="14" t="s">
        <v>400</v>
      </c>
      <c r="O328" s="14" t="s">
        <v>2984</v>
      </c>
      <c r="P328" s="16" t="s">
        <v>2985</v>
      </c>
      <c r="Q328" s="6" t="s">
        <v>2931</v>
      </c>
      <c r="R328" s="6" t="s">
        <v>2932</v>
      </c>
      <c r="S328" s="14" t="s">
        <v>569</v>
      </c>
      <c r="T328" s="14" t="s">
        <v>235</v>
      </c>
      <c r="U328" s="14" t="s">
        <v>236</v>
      </c>
      <c r="V328" s="14" t="s">
        <v>331</v>
      </c>
      <c r="W328" s="14" t="s">
        <v>238</v>
      </c>
      <c r="X328" s="14" t="s">
        <v>239</v>
      </c>
      <c r="Y328" s="15"/>
      <c r="Z328" s="15" t="n">
        <v>882</v>
      </c>
      <c r="AA328" s="14" t="n">
        <v>235</v>
      </c>
      <c r="AB328" s="14" t="n">
        <v>16</v>
      </c>
      <c r="AC328" s="17" t="n">
        <v>0.0177806374664553</v>
      </c>
      <c r="AD328" s="18" t="n">
        <v>4.8</v>
      </c>
      <c r="AE328" s="18" t="n">
        <f aca="false">IF(AD328="","",MIN(AD328,100))</f>
        <v>4.8</v>
      </c>
      <c r="AF328" s="14" t="n">
        <v>96.8</v>
      </c>
      <c r="AG328" s="14" t="s">
        <v>224</v>
      </c>
      <c r="AH328" s="14" t="n">
        <v>8</v>
      </c>
      <c r="AI328" s="14" t="s">
        <v>224</v>
      </c>
      <c r="AJ328" s="14" t="s">
        <v>224</v>
      </c>
      <c r="AK328" s="14" t="s">
        <v>240</v>
      </c>
      <c r="AL328" s="19" t="n">
        <f aca="false">ROUND('Start Here'!$B$29*AH328+'Start Here'!$B$30*MIN(IF(AD328="",0,AD328),50)/5+IF(M328&lt;=30000,'Start Here'!$B$31,IF(M328&lt;=60000,'Start Here'!$B$32,0)),1)</f>
        <v>4.3</v>
      </c>
      <c r="AM328" s="6" t="s">
        <v>2986</v>
      </c>
      <c r="AN328" s="6" t="s">
        <v>2933</v>
      </c>
      <c r="AO328" s="6" t="s">
        <v>2987</v>
      </c>
      <c r="AP328" s="14" t="s">
        <v>2988</v>
      </c>
      <c r="AQ328" s="14" t="s">
        <v>2015</v>
      </c>
      <c r="AR328" s="20" t="s">
        <v>246</v>
      </c>
      <c r="AS328" s="20"/>
    </row>
    <row r="329" customFormat="false" ht="60" hidden="false" customHeight="true" outlineLevel="0" collapsed="false">
      <c r="A329" s="14" t="n">
        <v>328</v>
      </c>
      <c r="B329" s="14" t="s">
        <v>374</v>
      </c>
      <c r="C329" s="14" t="s">
        <v>221</v>
      </c>
      <c r="D329" s="14" t="s">
        <v>222</v>
      </c>
      <c r="E329" s="14" t="s">
        <v>34</v>
      </c>
      <c r="F329" s="14" t="s">
        <v>223</v>
      </c>
      <c r="G329" s="14" t="s">
        <v>224</v>
      </c>
      <c r="H329" s="14" t="s">
        <v>224</v>
      </c>
      <c r="I329" s="14" t="s">
        <v>225</v>
      </c>
      <c r="J329" s="14" t="s">
        <v>2989</v>
      </c>
      <c r="K329" s="14" t="s">
        <v>2007</v>
      </c>
      <c r="L329" s="14" t="s">
        <v>2008</v>
      </c>
      <c r="M329" s="15" t="n">
        <v>100285</v>
      </c>
      <c r="N329" s="14" t="s">
        <v>2009</v>
      </c>
      <c r="O329" s="14" t="s">
        <v>2217</v>
      </c>
      <c r="P329" s="16" t="s">
        <v>2990</v>
      </c>
      <c r="Q329" s="6" t="s">
        <v>2219</v>
      </c>
      <c r="R329" s="6" t="s">
        <v>2220</v>
      </c>
      <c r="S329" s="14" t="s">
        <v>884</v>
      </c>
      <c r="T329" s="14" t="s">
        <v>235</v>
      </c>
      <c r="U329" s="14" t="s">
        <v>236</v>
      </c>
      <c r="V329" s="14" t="s">
        <v>331</v>
      </c>
      <c r="W329" s="14" t="s">
        <v>275</v>
      </c>
      <c r="X329" s="14" t="s">
        <v>239</v>
      </c>
      <c r="Y329" s="15"/>
      <c r="Z329" s="15" t="n">
        <v>769</v>
      </c>
      <c r="AA329" s="14" t="n">
        <v>2543</v>
      </c>
      <c r="AB329" s="14" t="n">
        <v>38</v>
      </c>
      <c r="AC329" s="17" t="n">
        <v>0.0336602226598609</v>
      </c>
      <c r="AD329" s="18" t="n">
        <v>16.2</v>
      </c>
      <c r="AE329" s="18" t="n">
        <f aca="false">IF(AD329="","",MIN(AD329,100))</f>
        <v>16.2</v>
      </c>
      <c r="AF329" s="14" t="n">
        <v>97.3</v>
      </c>
      <c r="AG329" s="14" t="s">
        <v>224</v>
      </c>
      <c r="AH329" s="14" t="n">
        <v>6.6</v>
      </c>
      <c r="AI329" s="14" t="s">
        <v>223</v>
      </c>
      <c r="AJ329" s="14" t="s">
        <v>224</v>
      </c>
      <c r="AK329" s="14" t="s">
        <v>240</v>
      </c>
      <c r="AL329" s="19" t="n">
        <f aca="false">ROUND('Start Here'!$B$29*AH329+'Start Here'!$B$30*MIN(IF(AD329="",0,AD329),50)/5+IF(M329&lt;=30000,'Start Here'!$B$31,IF(M329&lt;=60000,'Start Here'!$B$32,0)),1)</f>
        <v>4.3</v>
      </c>
      <c r="AM329" s="6" t="s">
        <v>2221</v>
      </c>
      <c r="AN329" s="6" t="s">
        <v>2222</v>
      </c>
      <c r="AO329" s="6" t="s">
        <v>2991</v>
      </c>
      <c r="AP329" s="14" t="s">
        <v>2992</v>
      </c>
      <c r="AQ329" s="14" t="s">
        <v>2015</v>
      </c>
      <c r="AR329" s="20" t="s">
        <v>246</v>
      </c>
      <c r="AS329" s="20"/>
    </row>
    <row r="330" customFormat="false" ht="60" hidden="false" customHeight="true" outlineLevel="0" collapsed="false">
      <c r="A330" s="14" t="n">
        <v>329</v>
      </c>
      <c r="B330" s="14" t="s">
        <v>374</v>
      </c>
      <c r="C330" s="14" t="s">
        <v>221</v>
      </c>
      <c r="D330" s="14" t="s">
        <v>222</v>
      </c>
      <c r="E330" s="14" t="s">
        <v>36</v>
      </c>
      <c r="F330" s="14" t="s">
        <v>224</v>
      </c>
      <c r="G330" s="14" t="s">
        <v>223</v>
      </c>
      <c r="H330" s="14" t="s">
        <v>224</v>
      </c>
      <c r="I330" s="14" t="s">
        <v>322</v>
      </c>
      <c r="J330" s="14" t="s">
        <v>782</v>
      </c>
      <c r="K330" s="14" t="s">
        <v>2993</v>
      </c>
      <c r="L330" s="14" t="s">
        <v>2994</v>
      </c>
      <c r="M330" s="15" t="n">
        <v>25813</v>
      </c>
      <c r="N330" s="14" t="s">
        <v>298</v>
      </c>
      <c r="O330" s="14" t="s">
        <v>2995</v>
      </c>
      <c r="P330" s="16" t="s">
        <v>2996</v>
      </c>
      <c r="Q330" s="6" t="s">
        <v>2997</v>
      </c>
      <c r="R330" s="6" t="s">
        <v>2998</v>
      </c>
      <c r="S330" s="14" t="s">
        <v>884</v>
      </c>
      <c r="T330" s="14" t="s">
        <v>235</v>
      </c>
      <c r="U330" s="14" t="s">
        <v>236</v>
      </c>
      <c r="V330" s="14" t="s">
        <v>331</v>
      </c>
      <c r="W330" s="14" t="s">
        <v>275</v>
      </c>
      <c r="X330" s="14" t="s">
        <v>239</v>
      </c>
      <c r="Y330" s="15"/>
      <c r="Z330" s="15" t="n">
        <v>979</v>
      </c>
      <c r="AA330" s="14" t="n">
        <v>1418</v>
      </c>
      <c r="AB330" s="14" t="n">
        <v>14</v>
      </c>
      <c r="AC330" s="17" t="n">
        <v>0.107966503963101</v>
      </c>
      <c r="AD330" s="18" t="n">
        <v>5.32</v>
      </c>
      <c r="AE330" s="18" t="n">
        <f aca="false">IF(AD330="","",MIN(AD330,100))</f>
        <v>5.32</v>
      </c>
      <c r="AF330" s="14" t="n">
        <v>94.6</v>
      </c>
      <c r="AG330" s="14" t="s">
        <v>224</v>
      </c>
      <c r="AH330" s="14" t="n">
        <v>3.9</v>
      </c>
      <c r="AI330" s="14" t="s">
        <v>223</v>
      </c>
      <c r="AJ330" s="14" t="s">
        <v>224</v>
      </c>
      <c r="AK330" s="14" t="s">
        <v>240</v>
      </c>
      <c r="AL330" s="19" t="n">
        <f aca="false">ROUND('Start Here'!$B$29*AH330+'Start Here'!$B$30*MIN(IF(AD330="",0,AD330),50)/5+IF(M330&lt;=30000,'Start Here'!$B$31,IF(M330&lt;=60000,'Start Here'!$B$32,0)),1)</f>
        <v>4.3</v>
      </c>
      <c r="AM330" s="6" t="s">
        <v>2221</v>
      </c>
      <c r="AN330" s="6" t="s">
        <v>1669</v>
      </c>
      <c r="AO330" s="6" t="s">
        <v>2999</v>
      </c>
      <c r="AP330" s="14" t="s">
        <v>3000</v>
      </c>
      <c r="AQ330" s="14" t="s">
        <v>1310</v>
      </c>
      <c r="AR330" s="20" t="s">
        <v>246</v>
      </c>
      <c r="AS330" s="20"/>
    </row>
    <row r="331" customFormat="false" ht="60" hidden="false" customHeight="true" outlineLevel="0" collapsed="false">
      <c r="A331" s="14" t="n">
        <v>330</v>
      </c>
      <c r="B331" s="14" t="s">
        <v>247</v>
      </c>
      <c r="C331" s="14" t="s">
        <v>221</v>
      </c>
      <c r="D331" s="14" t="s">
        <v>222</v>
      </c>
      <c r="E331" s="14" t="s">
        <v>36</v>
      </c>
      <c r="F331" s="14" t="s">
        <v>224</v>
      </c>
      <c r="G331" s="14" t="s">
        <v>223</v>
      </c>
      <c r="H331" s="14" t="s">
        <v>224</v>
      </c>
      <c r="I331" s="14" t="s">
        <v>225</v>
      </c>
      <c r="J331" s="14" t="s">
        <v>1705</v>
      </c>
      <c r="K331" s="14" t="s">
        <v>3001</v>
      </c>
      <c r="L331" s="14" t="s">
        <v>3002</v>
      </c>
      <c r="M331" s="15" t="n">
        <v>18505</v>
      </c>
      <c r="N331" s="14" t="s">
        <v>229</v>
      </c>
      <c r="O331" s="14" t="s">
        <v>3003</v>
      </c>
      <c r="P331" s="16" t="s">
        <v>3004</v>
      </c>
      <c r="Q331" s="6" t="s">
        <v>3005</v>
      </c>
      <c r="R331" s="6" t="s">
        <v>3006</v>
      </c>
      <c r="S331" s="14" t="s">
        <v>255</v>
      </c>
      <c r="T331" s="14" t="s">
        <v>235</v>
      </c>
      <c r="U331" s="14" t="s">
        <v>236</v>
      </c>
      <c r="V331" s="14" t="s">
        <v>810</v>
      </c>
      <c r="W331" s="14"/>
      <c r="X331" s="14"/>
      <c r="Y331" s="15" t="n">
        <v>39953</v>
      </c>
      <c r="Z331" s="15" t="n">
        <v>1064</v>
      </c>
      <c r="AA331" s="14" t="n">
        <v>108</v>
      </c>
      <c r="AB331" s="14"/>
      <c r="AC331" s="17" t="n">
        <v>0.0293344679998999</v>
      </c>
      <c r="AD331" s="18" t="n">
        <v>7.6</v>
      </c>
      <c r="AE331" s="18" t="n">
        <f aca="false">IF(AD331="","",MIN(AD331,100))</f>
        <v>7.6</v>
      </c>
      <c r="AF331" s="14" t="n">
        <v>100</v>
      </c>
      <c r="AG331" s="14" t="s">
        <v>224</v>
      </c>
      <c r="AH331" s="14" t="n">
        <v>3.6</v>
      </c>
      <c r="AI331" s="14" t="s">
        <v>223</v>
      </c>
      <c r="AJ331" s="14" t="s">
        <v>224</v>
      </c>
      <c r="AK331" s="14" t="s">
        <v>240</v>
      </c>
      <c r="AL331" s="19" t="n">
        <f aca="false">ROUND('Start Here'!$B$29*AH331+'Start Here'!$B$30*MIN(IF(AD331="",0,AD331),50)/5+IF(M331&lt;=30000,'Start Here'!$B$31,IF(M331&lt;=60000,'Start Here'!$B$32,0)),1)</f>
        <v>4.3</v>
      </c>
      <c r="AM331" s="6" t="s">
        <v>534</v>
      </c>
      <c r="AN331" s="6" t="s">
        <v>260</v>
      </c>
      <c r="AO331" s="6"/>
      <c r="AP331" s="14"/>
      <c r="AQ331" s="14" t="s">
        <v>373</v>
      </c>
      <c r="AR331" s="20" t="s">
        <v>246</v>
      </c>
      <c r="AS331" s="20"/>
    </row>
    <row r="332" customFormat="false" ht="60" hidden="false" customHeight="true" outlineLevel="0" collapsed="false">
      <c r="A332" s="14" t="n">
        <v>331</v>
      </c>
      <c r="B332" s="14" t="s">
        <v>247</v>
      </c>
      <c r="C332" s="14" t="s">
        <v>442</v>
      </c>
      <c r="D332" s="14" t="s">
        <v>443</v>
      </c>
      <c r="E332" s="14" t="s">
        <v>34</v>
      </c>
      <c r="F332" s="14" t="s">
        <v>223</v>
      </c>
      <c r="G332" s="14" t="s">
        <v>224</v>
      </c>
      <c r="H332" s="14" t="s">
        <v>224</v>
      </c>
      <c r="I332" s="14" t="s">
        <v>322</v>
      </c>
      <c r="J332" s="14" t="s">
        <v>225</v>
      </c>
      <c r="K332" s="14" t="s">
        <v>3007</v>
      </c>
      <c r="L332" s="14" t="s">
        <v>3008</v>
      </c>
      <c r="M332" s="15" t="n">
        <v>47300</v>
      </c>
      <c r="N332" s="14" t="s">
        <v>462</v>
      </c>
      <c r="O332" s="14" t="s">
        <v>447</v>
      </c>
      <c r="P332" s="16" t="s">
        <v>3009</v>
      </c>
      <c r="Q332" s="6" t="s">
        <v>3010</v>
      </c>
      <c r="R332" s="6" t="s">
        <v>3011</v>
      </c>
      <c r="S332" s="14" t="s">
        <v>330</v>
      </c>
      <c r="T332" s="14" t="s">
        <v>235</v>
      </c>
      <c r="U332" s="14" t="s">
        <v>346</v>
      </c>
      <c r="V332" s="14" t="s">
        <v>930</v>
      </c>
      <c r="W332" s="14" t="s">
        <v>452</v>
      </c>
      <c r="X332" s="14"/>
      <c r="Y332" s="15" t="n">
        <v>266600</v>
      </c>
      <c r="Z332" s="15"/>
      <c r="AA332" s="14"/>
      <c r="AB332" s="14"/>
      <c r="AC332" s="17"/>
      <c r="AD332" s="18" t="n">
        <v>20.7</v>
      </c>
      <c r="AE332" s="18" t="n">
        <f aca="false">IF(AD332="","",MIN(AD332,100))</f>
        <v>20.7</v>
      </c>
      <c r="AF332" s="14"/>
      <c r="AG332" s="14" t="s">
        <v>224</v>
      </c>
      <c r="AH332" s="14" t="n">
        <v>4</v>
      </c>
      <c r="AI332" s="14" t="s">
        <v>224</v>
      </c>
      <c r="AJ332" s="14" t="s">
        <v>224</v>
      </c>
      <c r="AK332" s="14" t="s">
        <v>453</v>
      </c>
      <c r="AL332" s="19" t="n">
        <f aca="false">ROUND('Start Here'!$B$29*AH332+'Start Here'!$B$30*MIN(IF(AD332="",0,AD332),50)/5+IF(M332&lt;=30000,'Start Here'!$B$31,IF(M332&lt;=60000,'Start Here'!$B$32,0)),1)</f>
        <v>4.2</v>
      </c>
      <c r="AM332" s="6" t="s">
        <v>3012</v>
      </c>
      <c r="AN332" s="6" t="s">
        <v>1258</v>
      </c>
      <c r="AO332" s="6" t="s">
        <v>3013</v>
      </c>
      <c r="AP332" s="14" t="s">
        <v>2239</v>
      </c>
      <c r="AQ332" s="14" t="s">
        <v>1260</v>
      </c>
      <c r="AR332" s="20" t="s">
        <v>246</v>
      </c>
      <c r="AS332" s="20"/>
    </row>
    <row r="333" customFormat="false" ht="60" hidden="false" customHeight="true" outlineLevel="0" collapsed="false">
      <c r="A333" s="14" t="n">
        <v>332</v>
      </c>
      <c r="B333" s="14" t="s">
        <v>374</v>
      </c>
      <c r="C333" s="14" t="s">
        <v>221</v>
      </c>
      <c r="D333" s="14" t="s">
        <v>222</v>
      </c>
      <c r="E333" s="14" t="s">
        <v>36</v>
      </c>
      <c r="F333" s="14" t="s">
        <v>224</v>
      </c>
      <c r="G333" s="14" t="s">
        <v>223</v>
      </c>
      <c r="H333" s="14" t="s">
        <v>223</v>
      </c>
      <c r="I333" s="14" t="s">
        <v>308</v>
      </c>
      <c r="J333" s="14" t="s">
        <v>1712</v>
      </c>
      <c r="K333" s="14" t="s">
        <v>2993</v>
      </c>
      <c r="L333" s="14" t="s">
        <v>2994</v>
      </c>
      <c r="M333" s="15" t="n">
        <v>25813</v>
      </c>
      <c r="N333" s="14" t="s">
        <v>298</v>
      </c>
      <c r="O333" s="14" t="s">
        <v>669</v>
      </c>
      <c r="P333" s="16" t="s">
        <v>3014</v>
      </c>
      <c r="Q333" s="6" t="s">
        <v>3015</v>
      </c>
      <c r="R333" s="6" t="s">
        <v>3016</v>
      </c>
      <c r="S333" s="14" t="s">
        <v>3017</v>
      </c>
      <c r="T333" s="14" t="s">
        <v>235</v>
      </c>
      <c r="U333" s="14" t="s">
        <v>236</v>
      </c>
      <c r="V333" s="14" t="s">
        <v>383</v>
      </c>
      <c r="W333" s="14"/>
      <c r="X333" s="14"/>
      <c r="Y333" s="15"/>
      <c r="Z333" s="15" t="n">
        <v>1480</v>
      </c>
      <c r="AA333" s="14" t="n">
        <v>2421</v>
      </c>
      <c r="AB333" s="14" t="n">
        <v>41</v>
      </c>
      <c r="AC333" s="17" t="n">
        <v>0.156472035882983</v>
      </c>
      <c r="AD333" s="18" t="n">
        <v>7.13</v>
      </c>
      <c r="AE333" s="18" t="n">
        <f aca="false">IF(AD333="","",MIN(AD333,100))</f>
        <v>7.13</v>
      </c>
      <c r="AF333" s="14" t="n">
        <v>99.1</v>
      </c>
      <c r="AG333" s="14" t="s">
        <v>224</v>
      </c>
      <c r="AH333" s="14" t="n">
        <v>3.6</v>
      </c>
      <c r="AI333" s="14" t="s">
        <v>223</v>
      </c>
      <c r="AJ333" s="14" t="s">
        <v>224</v>
      </c>
      <c r="AK333" s="14" t="s">
        <v>240</v>
      </c>
      <c r="AL333" s="19" t="n">
        <f aca="false">ROUND('Start Here'!$B$29*AH333+'Start Here'!$B$30*MIN(IF(AD333="",0,AD333),50)/5+IF(M333&lt;=30000,'Start Here'!$B$31,IF(M333&lt;=60000,'Start Here'!$B$32,0)),1)</f>
        <v>4.2</v>
      </c>
      <c r="AM333" s="6" t="s">
        <v>491</v>
      </c>
      <c r="AN333" s="6" t="s">
        <v>3018</v>
      </c>
      <c r="AO333" s="6"/>
      <c r="AP333" s="14"/>
      <c r="AQ333" s="14" t="s">
        <v>363</v>
      </c>
      <c r="AR333" s="20" t="s">
        <v>246</v>
      </c>
      <c r="AS333" s="20"/>
    </row>
    <row r="334" customFormat="false" ht="60" hidden="false" customHeight="true" outlineLevel="0" collapsed="false">
      <c r="A334" s="14" t="n">
        <v>333</v>
      </c>
      <c r="B334" s="14" t="s">
        <v>374</v>
      </c>
      <c r="C334" s="14" t="s">
        <v>221</v>
      </c>
      <c r="D334" s="14" t="s">
        <v>222</v>
      </c>
      <c r="E334" s="14" t="s">
        <v>34</v>
      </c>
      <c r="F334" s="14" t="s">
        <v>223</v>
      </c>
      <c r="G334" s="14" t="s">
        <v>224</v>
      </c>
      <c r="H334" s="14" t="s">
        <v>223</v>
      </c>
      <c r="I334" s="14" t="s">
        <v>635</v>
      </c>
      <c r="J334" s="14" t="s">
        <v>862</v>
      </c>
      <c r="K334" s="14" t="s">
        <v>473</v>
      </c>
      <c r="L334" s="14" t="s">
        <v>3019</v>
      </c>
      <c r="M334" s="15" t="n">
        <v>31093</v>
      </c>
      <c r="N334" s="14" t="s">
        <v>462</v>
      </c>
      <c r="O334" s="14" t="s">
        <v>3020</v>
      </c>
      <c r="P334" s="16" t="s">
        <v>3021</v>
      </c>
      <c r="Q334" s="6" t="s">
        <v>3022</v>
      </c>
      <c r="R334" s="6" t="s">
        <v>3023</v>
      </c>
      <c r="S334" s="14" t="s">
        <v>3017</v>
      </c>
      <c r="T334" s="14" t="s">
        <v>235</v>
      </c>
      <c r="U334" s="14" t="s">
        <v>236</v>
      </c>
      <c r="V334" s="14" t="s">
        <v>383</v>
      </c>
      <c r="W334" s="14"/>
      <c r="X334" s="14"/>
      <c r="Y334" s="15"/>
      <c r="Z334" s="15" t="n">
        <v>1850</v>
      </c>
      <c r="AA334" s="14" t="n">
        <v>942</v>
      </c>
      <c r="AB334" s="14" t="n">
        <v>73</v>
      </c>
      <c r="AC334" s="17" t="n">
        <v>0.0926854517809194</v>
      </c>
      <c r="AD334" s="18" t="n">
        <v>11.86</v>
      </c>
      <c r="AE334" s="18" t="n">
        <f aca="false">IF(AD334="","",MIN(AD334,100))</f>
        <v>11.86</v>
      </c>
      <c r="AF334" s="14" t="n">
        <v>100</v>
      </c>
      <c r="AG334" s="14" t="s">
        <v>224</v>
      </c>
      <c r="AH334" s="14" t="n">
        <v>5</v>
      </c>
      <c r="AI334" s="14" t="s">
        <v>224</v>
      </c>
      <c r="AJ334" s="14" t="s">
        <v>224</v>
      </c>
      <c r="AK334" s="14" t="s">
        <v>240</v>
      </c>
      <c r="AL334" s="19" t="n">
        <f aca="false">ROUND('Start Here'!$B$29*AH334+'Start Here'!$B$30*MIN(IF(AD334="",0,AD334),50)/5+IF(M334&lt;=30000,'Start Here'!$B$31,IF(M334&lt;=60000,'Start Here'!$B$32,0)),1)</f>
        <v>4.2</v>
      </c>
      <c r="AM334" s="6" t="s">
        <v>491</v>
      </c>
      <c r="AN334" s="6" t="s">
        <v>3024</v>
      </c>
      <c r="AO334" s="6"/>
      <c r="AP334" s="14"/>
      <c r="AQ334" s="14" t="s">
        <v>1310</v>
      </c>
      <c r="AR334" s="20" t="s">
        <v>246</v>
      </c>
      <c r="AS334" s="20"/>
    </row>
    <row r="335" customFormat="false" ht="60" hidden="false" customHeight="true" outlineLevel="0" collapsed="false">
      <c r="A335" s="14" t="n">
        <v>334</v>
      </c>
      <c r="B335" s="14" t="s">
        <v>220</v>
      </c>
      <c r="C335" s="14" t="s">
        <v>221</v>
      </c>
      <c r="D335" s="14" t="s">
        <v>222</v>
      </c>
      <c r="E335" s="14" t="s">
        <v>36</v>
      </c>
      <c r="F335" s="14" t="s">
        <v>223</v>
      </c>
      <c r="G335" s="14" t="s">
        <v>223</v>
      </c>
      <c r="H335" s="14" t="s">
        <v>224</v>
      </c>
      <c r="I335" s="14" t="s">
        <v>322</v>
      </c>
      <c r="J335" s="14"/>
      <c r="K335" s="14" t="s">
        <v>2341</v>
      </c>
      <c r="L335" s="14" t="s">
        <v>2342</v>
      </c>
      <c r="M335" s="15" t="n">
        <v>27662</v>
      </c>
      <c r="N335" s="14" t="s">
        <v>298</v>
      </c>
      <c r="O335" s="14" t="s">
        <v>2648</v>
      </c>
      <c r="P335" s="16" t="s">
        <v>3025</v>
      </c>
      <c r="Q335" s="6" t="s">
        <v>3026</v>
      </c>
      <c r="R335" s="6" t="s">
        <v>3027</v>
      </c>
      <c r="S335" s="14" t="s">
        <v>884</v>
      </c>
      <c r="T335" s="14" t="s">
        <v>917</v>
      </c>
      <c r="U335" s="14" t="s">
        <v>236</v>
      </c>
      <c r="V335" s="14" t="s">
        <v>725</v>
      </c>
      <c r="W335" s="14"/>
      <c r="X335" s="14"/>
      <c r="Y335" s="15" t="n">
        <v>70482</v>
      </c>
      <c r="Z335" s="15" t="n">
        <v>620</v>
      </c>
      <c r="AA335" s="14" t="n">
        <v>145</v>
      </c>
      <c r="AB335" s="14" t="n">
        <v>46</v>
      </c>
      <c r="AC335" s="17" t="n">
        <v>0.0115064839249738</v>
      </c>
      <c r="AD335" s="18" t="n">
        <v>11.51</v>
      </c>
      <c r="AE335" s="18" t="n">
        <f aca="false">IF(AD335="","",MIN(AD335,100))</f>
        <v>11.51</v>
      </c>
      <c r="AF335" s="14" t="n">
        <v>99.3</v>
      </c>
      <c r="AG335" s="14" t="s">
        <v>224</v>
      </c>
      <c r="AH335" s="14" t="n">
        <v>3</v>
      </c>
      <c r="AI335" s="14" t="s">
        <v>224</v>
      </c>
      <c r="AJ335" s="14" t="s">
        <v>224</v>
      </c>
      <c r="AK335" s="14" t="s">
        <v>240</v>
      </c>
      <c r="AL335" s="19" t="n">
        <f aca="false">ROUND('Start Here'!$B$29*AH335+'Start Here'!$B$30*MIN(IF(AD335="",0,AD335),50)/5+IF(M335&lt;=30000,'Start Here'!$B$31,IF(M335&lt;=60000,'Start Here'!$B$32,0)),1)</f>
        <v>4.2</v>
      </c>
      <c r="AM335" s="6" t="s">
        <v>1163</v>
      </c>
      <c r="AN335" s="6" t="s">
        <v>1669</v>
      </c>
      <c r="AO335" s="6"/>
      <c r="AP335" s="14"/>
      <c r="AQ335" s="14" t="s">
        <v>538</v>
      </c>
      <c r="AR335" s="20" t="s">
        <v>246</v>
      </c>
      <c r="AS335" s="20"/>
    </row>
    <row r="336" customFormat="false" ht="60" hidden="false" customHeight="true" outlineLevel="0" collapsed="false">
      <c r="A336" s="14" t="n">
        <v>335</v>
      </c>
      <c r="B336" s="14" t="s">
        <v>374</v>
      </c>
      <c r="C336" s="14" t="s">
        <v>221</v>
      </c>
      <c r="D336" s="14" t="s">
        <v>222</v>
      </c>
      <c r="E336" s="14" t="s">
        <v>34</v>
      </c>
      <c r="F336" s="14" t="s">
        <v>223</v>
      </c>
      <c r="G336" s="14" t="s">
        <v>224</v>
      </c>
      <c r="H336" s="14" t="s">
        <v>223</v>
      </c>
      <c r="I336" s="14" t="s">
        <v>225</v>
      </c>
      <c r="J336" s="14" t="s">
        <v>3028</v>
      </c>
      <c r="K336" s="14" t="s">
        <v>2449</v>
      </c>
      <c r="L336" s="14" t="s">
        <v>2450</v>
      </c>
      <c r="M336" s="15" t="n">
        <v>99262</v>
      </c>
      <c r="N336" s="14" t="s">
        <v>400</v>
      </c>
      <c r="O336" s="14" t="s">
        <v>3029</v>
      </c>
      <c r="P336" s="16" t="s">
        <v>3030</v>
      </c>
      <c r="Q336" s="6" t="s">
        <v>2453</v>
      </c>
      <c r="R336" s="6" t="s">
        <v>2454</v>
      </c>
      <c r="S336" s="14" t="s">
        <v>255</v>
      </c>
      <c r="T336" s="14" t="s">
        <v>235</v>
      </c>
      <c r="U336" s="14" t="s">
        <v>236</v>
      </c>
      <c r="V336" s="14" t="s">
        <v>331</v>
      </c>
      <c r="W336" s="14" t="s">
        <v>275</v>
      </c>
      <c r="X336" s="14" t="s">
        <v>239</v>
      </c>
      <c r="Y336" s="15"/>
      <c r="Z336" s="15" t="n">
        <v>1946</v>
      </c>
      <c r="AA336" s="14" t="n">
        <v>3391</v>
      </c>
      <c r="AB336" s="14" t="n">
        <v>13</v>
      </c>
      <c r="AC336" s="17" t="n">
        <v>0.0559600016735702</v>
      </c>
      <c r="AD336" s="18" t="n">
        <v>11.02</v>
      </c>
      <c r="AE336" s="18" t="n">
        <f aca="false">IF(AD336="","",MIN(AD336,100))</f>
        <v>11.02</v>
      </c>
      <c r="AF336" s="14" t="n">
        <v>98.9</v>
      </c>
      <c r="AG336" s="14" t="s">
        <v>224</v>
      </c>
      <c r="AH336" s="14" t="n">
        <v>7</v>
      </c>
      <c r="AI336" s="14" t="s">
        <v>224</v>
      </c>
      <c r="AJ336" s="14" t="s">
        <v>224</v>
      </c>
      <c r="AK336" s="14" t="s">
        <v>240</v>
      </c>
      <c r="AL336" s="19" t="n">
        <f aca="false">ROUND('Start Here'!$B$29*AH336+'Start Here'!$B$30*MIN(IF(AD336="",0,AD336),50)/5+IF(M336&lt;=30000,'Start Here'!$B$31,IF(M336&lt;=60000,'Start Here'!$B$32,0)),1)</f>
        <v>4.2</v>
      </c>
      <c r="AM336" s="6" t="s">
        <v>491</v>
      </c>
      <c r="AN336" s="6" t="s">
        <v>674</v>
      </c>
      <c r="AO336" s="6" t="s">
        <v>3031</v>
      </c>
      <c r="AP336" s="14" t="s">
        <v>3032</v>
      </c>
      <c r="AQ336" s="14" t="s">
        <v>2399</v>
      </c>
      <c r="AR336" s="20" t="s">
        <v>246</v>
      </c>
      <c r="AS336" s="20"/>
    </row>
    <row r="337" customFormat="false" ht="60" hidden="false" customHeight="true" outlineLevel="0" collapsed="false">
      <c r="A337" s="14" t="n">
        <v>336</v>
      </c>
      <c r="B337" s="14" t="s">
        <v>374</v>
      </c>
      <c r="C337" s="14" t="s">
        <v>221</v>
      </c>
      <c r="D337" s="14" t="s">
        <v>222</v>
      </c>
      <c r="E337" s="14" t="s">
        <v>34</v>
      </c>
      <c r="F337" s="14" t="s">
        <v>223</v>
      </c>
      <c r="G337" s="14" t="s">
        <v>224</v>
      </c>
      <c r="H337" s="14" t="s">
        <v>223</v>
      </c>
      <c r="I337" s="14" t="s">
        <v>225</v>
      </c>
      <c r="J337" s="14"/>
      <c r="K337" s="14" t="s">
        <v>2034</v>
      </c>
      <c r="L337" s="14" t="s">
        <v>2035</v>
      </c>
      <c r="M337" s="15" t="n">
        <v>34356</v>
      </c>
      <c r="N337" s="14" t="s">
        <v>462</v>
      </c>
      <c r="O337" s="14" t="s">
        <v>1083</v>
      </c>
      <c r="P337" s="16" t="s">
        <v>3033</v>
      </c>
      <c r="Q337" s="6" t="s">
        <v>3034</v>
      </c>
      <c r="R337" s="6" t="s">
        <v>3035</v>
      </c>
      <c r="S337" s="14" t="s">
        <v>234</v>
      </c>
      <c r="T337" s="14" t="s">
        <v>235</v>
      </c>
      <c r="U337" s="14" t="s">
        <v>236</v>
      </c>
      <c r="V337" s="14" t="s">
        <v>237</v>
      </c>
      <c r="W337" s="14" t="s">
        <v>332</v>
      </c>
      <c r="X337" s="14" t="s">
        <v>333</v>
      </c>
      <c r="Y337" s="15"/>
      <c r="Z337" s="15" t="n">
        <v>1280</v>
      </c>
      <c r="AA337" s="14" t="n">
        <v>115</v>
      </c>
      <c r="AB337" s="14" t="n">
        <v>8</v>
      </c>
      <c r="AC337" s="17" t="n">
        <v>0.0493857580344257</v>
      </c>
      <c r="AD337" s="18" t="n">
        <v>27.36</v>
      </c>
      <c r="AE337" s="18" t="n">
        <f aca="false">IF(AD337="","",MIN(AD337,100))</f>
        <v>27.36</v>
      </c>
      <c r="AF337" s="14" t="n">
        <v>97.9</v>
      </c>
      <c r="AG337" s="14" t="s">
        <v>224</v>
      </c>
      <c r="AH337" s="14" t="n">
        <v>3</v>
      </c>
      <c r="AI337" s="14" t="s">
        <v>224</v>
      </c>
      <c r="AJ337" s="14" t="s">
        <v>224</v>
      </c>
      <c r="AK337" s="14" t="s">
        <v>240</v>
      </c>
      <c r="AL337" s="19" t="n">
        <f aca="false">ROUND('Start Here'!$B$29*AH337+'Start Here'!$B$30*MIN(IF(AD337="",0,AD337),50)/5+IF(M337&lt;=30000,'Start Here'!$B$31,IF(M337&lt;=60000,'Start Here'!$B$32,0)),1)</f>
        <v>4.1</v>
      </c>
      <c r="AM337" s="6" t="s">
        <v>503</v>
      </c>
      <c r="AN337" s="6" t="s">
        <v>242</v>
      </c>
      <c r="AO337" s="6" t="s">
        <v>3036</v>
      </c>
      <c r="AP337" s="14" t="s">
        <v>3037</v>
      </c>
      <c r="AQ337" s="14" t="s">
        <v>718</v>
      </c>
      <c r="AR337" s="20" t="s">
        <v>246</v>
      </c>
      <c r="AS337" s="20"/>
    </row>
    <row r="338" customFormat="false" ht="60" hidden="false" customHeight="true" outlineLevel="0" collapsed="false">
      <c r="A338" s="14" t="n">
        <v>337</v>
      </c>
      <c r="B338" s="14" t="s">
        <v>374</v>
      </c>
      <c r="C338" s="14" t="s">
        <v>221</v>
      </c>
      <c r="D338" s="14" t="s">
        <v>222</v>
      </c>
      <c r="E338" s="14" t="s">
        <v>34</v>
      </c>
      <c r="F338" s="14" t="s">
        <v>223</v>
      </c>
      <c r="G338" s="14" t="s">
        <v>224</v>
      </c>
      <c r="H338" s="14" t="s">
        <v>224</v>
      </c>
      <c r="I338" s="14" t="s">
        <v>635</v>
      </c>
      <c r="J338" s="14" t="s">
        <v>2716</v>
      </c>
      <c r="K338" s="14" t="s">
        <v>1652</v>
      </c>
      <c r="L338" s="14" t="s">
        <v>1653</v>
      </c>
      <c r="M338" s="15" t="n">
        <v>66923</v>
      </c>
      <c r="N338" s="14" t="s">
        <v>400</v>
      </c>
      <c r="O338" s="14" t="s">
        <v>3038</v>
      </c>
      <c r="P338" s="16" t="s">
        <v>3039</v>
      </c>
      <c r="Q338" s="6" t="s">
        <v>3040</v>
      </c>
      <c r="R338" s="6" t="s">
        <v>3041</v>
      </c>
      <c r="S338" s="14" t="s">
        <v>234</v>
      </c>
      <c r="T338" s="14" t="s">
        <v>235</v>
      </c>
      <c r="U338" s="14" t="s">
        <v>346</v>
      </c>
      <c r="V338" s="14" t="s">
        <v>331</v>
      </c>
      <c r="W338" s="14" t="s">
        <v>275</v>
      </c>
      <c r="X338" s="14" t="s">
        <v>239</v>
      </c>
      <c r="Y338" s="15"/>
      <c r="Z338" s="15" t="n">
        <v>401</v>
      </c>
      <c r="AA338" s="14" t="n">
        <v>906</v>
      </c>
      <c r="AB338" s="14" t="n">
        <v>1</v>
      </c>
      <c r="AC338" s="17" t="n">
        <v>0.0203525915322016</v>
      </c>
      <c r="AD338" s="18" t="n">
        <v>13.41</v>
      </c>
      <c r="AE338" s="18" t="n">
        <f aca="false">IF(AD338="","",MIN(AD338,100))</f>
        <v>13.41</v>
      </c>
      <c r="AF338" s="14" t="n">
        <v>86.9</v>
      </c>
      <c r="AG338" s="14" t="s">
        <v>224</v>
      </c>
      <c r="AH338" s="14" t="n">
        <v>6.6</v>
      </c>
      <c r="AI338" s="14" t="s">
        <v>223</v>
      </c>
      <c r="AJ338" s="14" t="s">
        <v>224</v>
      </c>
      <c r="AK338" s="14" t="s">
        <v>240</v>
      </c>
      <c r="AL338" s="19" t="n">
        <f aca="false">ROUND('Start Here'!$B$29*AH338+'Start Here'!$B$30*MIN(IF(AD338="",0,AD338),50)/5+IF(M338&lt;=30000,'Start Here'!$B$31,IF(M338&lt;=60000,'Start Here'!$B$32,0)),1)</f>
        <v>4.1</v>
      </c>
      <c r="AM338" s="6" t="s">
        <v>1307</v>
      </c>
      <c r="AN338" s="6" t="s">
        <v>1403</v>
      </c>
      <c r="AO338" s="6" t="s">
        <v>3042</v>
      </c>
      <c r="AP338" s="14" t="s">
        <v>3043</v>
      </c>
      <c r="AQ338" s="14" t="s">
        <v>363</v>
      </c>
      <c r="AR338" s="20" t="s">
        <v>246</v>
      </c>
      <c r="AS338" s="20"/>
    </row>
    <row r="339" customFormat="false" ht="60" hidden="false" customHeight="true" outlineLevel="0" collapsed="false">
      <c r="A339" s="14" t="n">
        <v>338</v>
      </c>
      <c r="B339" s="14" t="s">
        <v>374</v>
      </c>
      <c r="C339" s="14" t="s">
        <v>221</v>
      </c>
      <c r="D339" s="14" t="s">
        <v>222</v>
      </c>
      <c r="E339" s="14" t="s">
        <v>36</v>
      </c>
      <c r="F339" s="14" t="s">
        <v>224</v>
      </c>
      <c r="G339" s="14" t="s">
        <v>223</v>
      </c>
      <c r="H339" s="14" t="s">
        <v>223</v>
      </c>
      <c r="I339" s="14" t="s">
        <v>322</v>
      </c>
      <c r="J339" s="14" t="s">
        <v>2812</v>
      </c>
      <c r="K339" s="14" t="s">
        <v>2993</v>
      </c>
      <c r="L339" s="14" t="s">
        <v>2994</v>
      </c>
      <c r="M339" s="15" t="n">
        <v>25813</v>
      </c>
      <c r="N339" s="14" t="s">
        <v>298</v>
      </c>
      <c r="O339" s="14" t="s">
        <v>3044</v>
      </c>
      <c r="P339" s="16" t="s">
        <v>3045</v>
      </c>
      <c r="Q339" s="6" t="s">
        <v>3046</v>
      </c>
      <c r="R339" s="6" t="s">
        <v>3047</v>
      </c>
      <c r="S339" s="14" t="s">
        <v>234</v>
      </c>
      <c r="T339" s="14" t="s">
        <v>235</v>
      </c>
      <c r="U339" s="14" t="s">
        <v>236</v>
      </c>
      <c r="V339" s="14" t="s">
        <v>331</v>
      </c>
      <c r="W339" s="14" t="s">
        <v>257</v>
      </c>
      <c r="X339" s="14" t="s">
        <v>258</v>
      </c>
      <c r="Y339" s="15"/>
      <c r="Z339" s="15" t="n">
        <v>1237</v>
      </c>
      <c r="AA339" s="14" t="n">
        <v>4828</v>
      </c>
      <c r="AB339" s="14" t="n">
        <v>16</v>
      </c>
      <c r="AC339" s="17" t="n">
        <v>0.272312032600421</v>
      </c>
      <c r="AD339" s="18" t="n">
        <v>6.72</v>
      </c>
      <c r="AE339" s="18" t="n">
        <f aca="false">IF(AD339="","",MIN(AD339,100))</f>
        <v>6.72</v>
      </c>
      <c r="AF339" s="14" t="n">
        <v>96.9</v>
      </c>
      <c r="AG339" s="14" t="s">
        <v>224</v>
      </c>
      <c r="AH339" s="14" t="n">
        <v>3.4</v>
      </c>
      <c r="AI339" s="14" t="s">
        <v>223</v>
      </c>
      <c r="AJ339" s="14" t="s">
        <v>223</v>
      </c>
      <c r="AK339" s="14" t="s">
        <v>490</v>
      </c>
      <c r="AL339" s="19" t="n">
        <f aca="false">ROUND('Start Here'!$B$29*AH339+'Start Here'!$B$30*MIN(IF(AD339="",0,AD339),50)/5+IF(M339&lt;=30000,'Start Here'!$B$31,IF(M339&lt;=60000,'Start Here'!$B$32,0)),1)</f>
        <v>4.1</v>
      </c>
      <c r="AM339" s="6" t="s">
        <v>1307</v>
      </c>
      <c r="AN339" s="6" t="s">
        <v>1937</v>
      </c>
      <c r="AO339" s="6" t="s">
        <v>3048</v>
      </c>
      <c r="AP339" s="14" t="s">
        <v>3049</v>
      </c>
      <c r="AQ339" s="14" t="s">
        <v>1310</v>
      </c>
      <c r="AR339" s="20" t="s">
        <v>246</v>
      </c>
      <c r="AS339" s="20"/>
    </row>
    <row r="340" customFormat="false" ht="60" hidden="false" customHeight="true" outlineLevel="0" collapsed="false">
      <c r="A340" s="14" t="n">
        <v>339</v>
      </c>
      <c r="B340" s="14" t="s">
        <v>220</v>
      </c>
      <c r="C340" s="14" t="s">
        <v>221</v>
      </c>
      <c r="D340" s="14" t="s">
        <v>222</v>
      </c>
      <c r="E340" s="14" t="s">
        <v>40</v>
      </c>
      <c r="F340" s="14" t="s">
        <v>224</v>
      </c>
      <c r="G340" s="14" t="s">
        <v>224</v>
      </c>
      <c r="H340" s="14" t="s">
        <v>224</v>
      </c>
      <c r="I340" s="14" t="s">
        <v>586</v>
      </c>
      <c r="J340" s="14" t="s">
        <v>3050</v>
      </c>
      <c r="K340" s="14" t="s">
        <v>3051</v>
      </c>
      <c r="L340" s="14" t="s">
        <v>3052</v>
      </c>
      <c r="M340" s="15" t="n">
        <v>62575</v>
      </c>
      <c r="N340" s="14" t="s">
        <v>400</v>
      </c>
      <c r="O340" s="14" t="s">
        <v>3053</v>
      </c>
      <c r="P340" s="16" t="s">
        <v>3054</v>
      </c>
      <c r="Q340" s="6" t="s">
        <v>3055</v>
      </c>
      <c r="R340" s="6" t="s">
        <v>3056</v>
      </c>
      <c r="S340" s="14" t="s">
        <v>330</v>
      </c>
      <c r="T340" s="14" t="s">
        <v>235</v>
      </c>
      <c r="U340" s="14" t="s">
        <v>236</v>
      </c>
      <c r="V340" s="14" t="s">
        <v>237</v>
      </c>
      <c r="W340" s="14" t="s">
        <v>275</v>
      </c>
      <c r="X340" s="14" t="s">
        <v>239</v>
      </c>
      <c r="Y340" s="15" t="n">
        <v>146983</v>
      </c>
      <c r="Z340" s="15" t="n">
        <v>1319</v>
      </c>
      <c r="AA340" s="14" t="n">
        <v>30</v>
      </c>
      <c r="AB340" s="14" t="n">
        <v>127</v>
      </c>
      <c r="AC340" s="17" t="n">
        <v>0.0100419776436731</v>
      </c>
      <c r="AD340" s="18" t="n">
        <v>9.35</v>
      </c>
      <c r="AE340" s="18" t="n">
        <f aca="false">IF(AD340="","",MIN(AD340,100))</f>
        <v>9.35</v>
      </c>
      <c r="AF340" s="14" t="n">
        <v>98.6</v>
      </c>
      <c r="AG340" s="14" t="s">
        <v>224</v>
      </c>
      <c r="AH340" s="14" t="n">
        <v>6.9</v>
      </c>
      <c r="AI340" s="14" t="s">
        <v>223</v>
      </c>
      <c r="AJ340" s="14" t="s">
        <v>224</v>
      </c>
      <c r="AK340" s="14" t="s">
        <v>240</v>
      </c>
      <c r="AL340" s="19" t="n">
        <f aca="false">ROUND('Start Here'!$B$29*AH340+'Start Here'!$B$30*MIN(IF(AD340="",0,AD340),50)/5+IF(M340&lt;=30000,'Start Here'!$B$31,IF(M340&lt;=60000,'Start Here'!$B$32,0)),1)</f>
        <v>4</v>
      </c>
      <c r="AM340" s="6" t="s">
        <v>334</v>
      </c>
      <c r="AN340" s="6" t="s">
        <v>2087</v>
      </c>
      <c r="AO340" s="6" t="s">
        <v>3057</v>
      </c>
      <c r="AP340" s="14" t="s">
        <v>3058</v>
      </c>
      <c r="AQ340" s="14" t="s">
        <v>3059</v>
      </c>
      <c r="AR340" s="20" t="s">
        <v>246</v>
      </c>
      <c r="AS340" s="20"/>
    </row>
    <row r="341" customFormat="false" ht="60" hidden="false" customHeight="true" outlineLevel="0" collapsed="false">
      <c r="A341" s="14" t="n">
        <v>340</v>
      </c>
      <c r="B341" s="14" t="s">
        <v>220</v>
      </c>
      <c r="C341" s="14" t="s">
        <v>221</v>
      </c>
      <c r="D341" s="14" t="s">
        <v>222</v>
      </c>
      <c r="E341" s="14" t="s">
        <v>34</v>
      </c>
      <c r="F341" s="14" t="s">
        <v>223</v>
      </c>
      <c r="G341" s="14" t="s">
        <v>224</v>
      </c>
      <c r="H341" s="14" t="s">
        <v>224</v>
      </c>
      <c r="I341" s="14" t="s">
        <v>322</v>
      </c>
      <c r="J341" s="14" t="s">
        <v>375</v>
      </c>
      <c r="K341" s="14" t="s">
        <v>2130</v>
      </c>
      <c r="L341" s="14" t="s">
        <v>2131</v>
      </c>
      <c r="M341" s="15" t="n">
        <v>36357</v>
      </c>
      <c r="N341" s="14" t="s">
        <v>462</v>
      </c>
      <c r="O341" s="14" t="s">
        <v>2296</v>
      </c>
      <c r="P341" s="16" t="s">
        <v>3060</v>
      </c>
      <c r="Q341" s="6" t="s">
        <v>3061</v>
      </c>
      <c r="R341" s="6" t="s">
        <v>3062</v>
      </c>
      <c r="S341" s="14" t="s">
        <v>685</v>
      </c>
      <c r="T341" s="14" t="s">
        <v>235</v>
      </c>
      <c r="U341" s="14" t="s">
        <v>686</v>
      </c>
      <c r="V341" s="14" t="s">
        <v>237</v>
      </c>
      <c r="W341" s="14" t="s">
        <v>238</v>
      </c>
      <c r="X341" s="14" t="s">
        <v>688</v>
      </c>
      <c r="Y341" s="15" t="n">
        <v>97696</v>
      </c>
      <c r="Z341" s="15" t="n">
        <v>935</v>
      </c>
      <c r="AA341" s="14" t="n">
        <v>15</v>
      </c>
      <c r="AB341" s="14" t="n">
        <v>114</v>
      </c>
      <c r="AC341" s="17" t="n">
        <v>0.0108909269570914</v>
      </c>
      <c r="AD341" s="18" t="n">
        <v>25</v>
      </c>
      <c r="AE341" s="18" t="n">
        <f aca="false">IF(AD341="","",MIN(AD341,100))</f>
        <v>25</v>
      </c>
      <c r="AF341" s="14" t="n">
        <v>94.8</v>
      </c>
      <c r="AG341" s="14" t="s">
        <v>224</v>
      </c>
      <c r="AH341" s="14" t="n">
        <v>3</v>
      </c>
      <c r="AI341" s="14" t="s">
        <v>224</v>
      </c>
      <c r="AJ341" s="14" t="s">
        <v>224</v>
      </c>
      <c r="AK341" s="14" t="s">
        <v>240</v>
      </c>
      <c r="AL341" s="19" t="n">
        <f aca="false">ROUND('Start Here'!$B$29*AH341+'Start Here'!$B$30*MIN(IF(AD341="",0,AD341),50)/5+IF(M341&lt;=30000,'Start Here'!$B$31,IF(M341&lt;=60000,'Start Here'!$B$32,0)),1)</f>
        <v>4</v>
      </c>
      <c r="AM341" s="6" t="s">
        <v>689</v>
      </c>
      <c r="AN341" s="6" t="s">
        <v>727</v>
      </c>
      <c r="AO341" s="6" t="s">
        <v>3063</v>
      </c>
      <c r="AP341" s="14" t="s">
        <v>3064</v>
      </c>
      <c r="AQ341" s="14" t="s">
        <v>524</v>
      </c>
      <c r="AR341" s="20" t="s">
        <v>246</v>
      </c>
      <c r="AS341" s="20"/>
    </row>
    <row r="342" customFormat="false" ht="60" hidden="false" customHeight="true" outlineLevel="0" collapsed="false">
      <c r="A342" s="14" t="n">
        <v>341</v>
      </c>
      <c r="B342" s="14" t="s">
        <v>374</v>
      </c>
      <c r="C342" s="14" t="s">
        <v>221</v>
      </c>
      <c r="D342" s="14" t="s">
        <v>222</v>
      </c>
      <c r="E342" s="14" t="s">
        <v>34</v>
      </c>
      <c r="F342" s="14" t="s">
        <v>223</v>
      </c>
      <c r="G342" s="14" t="s">
        <v>224</v>
      </c>
      <c r="H342" s="14" t="s">
        <v>223</v>
      </c>
      <c r="I342" s="14" t="s">
        <v>308</v>
      </c>
      <c r="J342" s="14" t="s">
        <v>1061</v>
      </c>
      <c r="K342" s="14" t="s">
        <v>3065</v>
      </c>
      <c r="L342" s="14" t="s">
        <v>3066</v>
      </c>
      <c r="M342" s="15" t="n">
        <v>46248</v>
      </c>
      <c r="N342" s="14" t="s">
        <v>462</v>
      </c>
      <c r="O342" s="14" t="s">
        <v>3067</v>
      </c>
      <c r="P342" s="16" t="s">
        <v>3068</v>
      </c>
      <c r="Q342" s="6" t="s">
        <v>3069</v>
      </c>
      <c r="R342" s="6" t="s">
        <v>3070</v>
      </c>
      <c r="S342" s="14" t="s">
        <v>741</v>
      </c>
      <c r="T342" s="14" t="s">
        <v>235</v>
      </c>
      <c r="U342" s="14" t="s">
        <v>236</v>
      </c>
      <c r="V342" s="14" t="s">
        <v>383</v>
      </c>
      <c r="W342" s="14"/>
      <c r="X342" s="14"/>
      <c r="Y342" s="15"/>
      <c r="Z342" s="15" t="n">
        <v>2404</v>
      </c>
      <c r="AA342" s="14" t="n">
        <v>46</v>
      </c>
      <c r="AB342" s="14" t="n">
        <v>114</v>
      </c>
      <c r="AC342" s="17" t="n">
        <v>0.0572385310860587</v>
      </c>
      <c r="AD342" s="18" t="n">
        <v>16.54</v>
      </c>
      <c r="AE342" s="18" t="n">
        <f aca="false">IF(AD342="","",MIN(AD342,100))</f>
        <v>16.54</v>
      </c>
      <c r="AF342" s="14" t="n">
        <v>93.5</v>
      </c>
      <c r="AG342" s="14" t="s">
        <v>224</v>
      </c>
      <c r="AH342" s="14" t="n">
        <v>4</v>
      </c>
      <c r="AI342" s="14" t="s">
        <v>224</v>
      </c>
      <c r="AJ342" s="14" t="s">
        <v>224</v>
      </c>
      <c r="AK342" s="14" t="s">
        <v>240</v>
      </c>
      <c r="AL342" s="19" t="n">
        <f aca="false">ROUND('Start Here'!$B$29*AH342+'Start Here'!$B$30*MIN(IF(AD342="",0,AD342),50)/5+IF(M342&lt;=30000,'Start Here'!$B$31,IF(M342&lt;=60000,'Start Here'!$B$32,0)),1)</f>
        <v>4</v>
      </c>
      <c r="AM342" s="6" t="s">
        <v>2405</v>
      </c>
      <c r="AN342" s="6" t="s">
        <v>3071</v>
      </c>
      <c r="AO342" s="6"/>
      <c r="AP342" s="14"/>
      <c r="AQ342" s="14" t="s">
        <v>1310</v>
      </c>
      <c r="AR342" s="20" t="s">
        <v>246</v>
      </c>
      <c r="AS342" s="20"/>
    </row>
    <row r="343" customFormat="false" ht="60" hidden="false" customHeight="true" outlineLevel="0" collapsed="false">
      <c r="A343" s="14" t="n">
        <v>342</v>
      </c>
      <c r="B343" s="14" t="s">
        <v>247</v>
      </c>
      <c r="C343" s="14" t="s">
        <v>221</v>
      </c>
      <c r="D343" s="14" t="s">
        <v>443</v>
      </c>
      <c r="E343" s="14" t="s">
        <v>34</v>
      </c>
      <c r="F343" s="14" t="s">
        <v>223</v>
      </c>
      <c r="G343" s="14" t="s">
        <v>224</v>
      </c>
      <c r="H343" s="14" t="s">
        <v>223</v>
      </c>
      <c r="I343" s="14" t="s">
        <v>338</v>
      </c>
      <c r="J343" s="14" t="s">
        <v>264</v>
      </c>
      <c r="K343" s="14" t="s">
        <v>3072</v>
      </c>
      <c r="L343" s="14" t="s">
        <v>527</v>
      </c>
      <c r="M343" s="15" t="n">
        <v>33100</v>
      </c>
      <c r="N343" s="14" t="s">
        <v>462</v>
      </c>
      <c r="O343" s="14" t="s">
        <v>447</v>
      </c>
      <c r="P343" s="16" t="s">
        <v>3073</v>
      </c>
      <c r="Q343" s="6" t="s">
        <v>3074</v>
      </c>
      <c r="R343" s="6" t="s">
        <v>3075</v>
      </c>
      <c r="S343" s="14" t="s">
        <v>255</v>
      </c>
      <c r="T343" s="14" t="s">
        <v>235</v>
      </c>
      <c r="U343" s="14" t="s">
        <v>236</v>
      </c>
      <c r="V343" s="14" t="s">
        <v>1256</v>
      </c>
      <c r="W343" s="14" t="s">
        <v>3076</v>
      </c>
      <c r="X343" s="14"/>
      <c r="Y343" s="15" t="n">
        <v>832500</v>
      </c>
      <c r="Z343" s="15"/>
      <c r="AA343" s="14"/>
      <c r="AB343" s="14"/>
      <c r="AC343" s="17"/>
      <c r="AD343" s="18" t="n">
        <v>24.8</v>
      </c>
      <c r="AE343" s="18" t="n">
        <f aca="false">IF(AD343="","",MIN(AD343,100))</f>
        <v>24.8</v>
      </c>
      <c r="AF343" s="14"/>
      <c r="AG343" s="14" t="s">
        <v>224</v>
      </c>
      <c r="AH343" s="14" t="n">
        <v>3</v>
      </c>
      <c r="AI343" s="14" t="s">
        <v>224</v>
      </c>
      <c r="AJ343" s="14" t="s">
        <v>224</v>
      </c>
      <c r="AK343" s="14" t="s">
        <v>240</v>
      </c>
      <c r="AL343" s="19" t="n">
        <f aca="false">ROUND('Start Here'!$B$29*AH343+'Start Here'!$B$30*MIN(IF(AD343="",0,AD343),50)/5+IF(M343&lt;=30000,'Start Here'!$B$31,IF(M343&lt;=60000,'Start Here'!$B$32,0)),1)</f>
        <v>4</v>
      </c>
      <c r="AM343" s="6" t="s">
        <v>3077</v>
      </c>
      <c r="AN343" s="6" t="s">
        <v>2227</v>
      </c>
      <c r="AO343" s="6" t="s">
        <v>3078</v>
      </c>
      <c r="AP343" s="14" t="s">
        <v>922</v>
      </c>
      <c r="AQ343" s="14" t="s">
        <v>747</v>
      </c>
      <c r="AR343" s="20" t="s">
        <v>246</v>
      </c>
      <c r="AS343" s="20"/>
    </row>
    <row r="344" customFormat="false" ht="60" hidden="false" customHeight="true" outlineLevel="0" collapsed="false">
      <c r="A344" s="14" t="n">
        <v>343</v>
      </c>
      <c r="B344" s="14" t="s">
        <v>247</v>
      </c>
      <c r="C344" s="14" t="s">
        <v>221</v>
      </c>
      <c r="D344" s="14" t="s">
        <v>222</v>
      </c>
      <c r="E344" s="14" t="s">
        <v>40</v>
      </c>
      <c r="F344" s="14" t="s">
        <v>224</v>
      </c>
      <c r="G344" s="14" t="s">
        <v>224</v>
      </c>
      <c r="H344" s="14" t="s">
        <v>224</v>
      </c>
      <c r="I344" s="14" t="s">
        <v>322</v>
      </c>
      <c r="J344" s="14" t="s">
        <v>834</v>
      </c>
      <c r="K344" s="14" t="s">
        <v>1836</v>
      </c>
      <c r="L344" s="14" t="s">
        <v>1837</v>
      </c>
      <c r="M344" s="15" t="n">
        <v>30874</v>
      </c>
      <c r="N344" s="14" t="s">
        <v>462</v>
      </c>
      <c r="O344" s="14" t="s">
        <v>3079</v>
      </c>
      <c r="P344" s="16" t="s">
        <v>3080</v>
      </c>
      <c r="Q344" s="6" t="s">
        <v>3081</v>
      </c>
      <c r="R344" s="6" t="s">
        <v>3082</v>
      </c>
      <c r="S344" s="14" t="s">
        <v>272</v>
      </c>
      <c r="T344" s="14" t="s">
        <v>273</v>
      </c>
      <c r="U344" s="14" t="s">
        <v>274</v>
      </c>
      <c r="V344" s="14" t="s">
        <v>810</v>
      </c>
      <c r="W344" s="14"/>
      <c r="X344" s="14"/>
      <c r="Y344" s="15" t="n">
        <v>44948</v>
      </c>
      <c r="Z344" s="15" t="n">
        <v>708</v>
      </c>
      <c r="AA344" s="14" t="n">
        <v>393</v>
      </c>
      <c r="AB344" s="14"/>
      <c r="AC344" s="17" t="n">
        <v>0.024494971967607</v>
      </c>
      <c r="AD344" s="18" t="n">
        <v>7.91</v>
      </c>
      <c r="AE344" s="18" t="n">
        <f aca="false">IF(AD344="","",MIN(AD344,100))</f>
        <v>7.91</v>
      </c>
      <c r="AF344" s="14" t="n">
        <v>89.6</v>
      </c>
      <c r="AG344" s="14" t="s">
        <v>224</v>
      </c>
      <c r="AH344" s="14" t="n">
        <v>5</v>
      </c>
      <c r="AI344" s="14" t="s">
        <v>224</v>
      </c>
      <c r="AJ344" s="14" t="s">
        <v>224</v>
      </c>
      <c r="AK344" s="14" t="s">
        <v>240</v>
      </c>
      <c r="AL344" s="19" t="n">
        <f aca="false">ROUND('Start Here'!$B$29*AH344+'Start Here'!$B$30*MIN(IF(AD344="",0,AD344),50)/5+IF(M344&lt;=30000,'Start Here'!$B$31,IF(M344&lt;=60000,'Start Here'!$B$32,0)),1)</f>
        <v>4</v>
      </c>
      <c r="AM344" s="6" t="s">
        <v>303</v>
      </c>
      <c r="AN344" s="6" t="s">
        <v>2057</v>
      </c>
      <c r="AO344" s="6"/>
      <c r="AP344" s="14"/>
      <c r="AQ344" s="14" t="s">
        <v>386</v>
      </c>
      <c r="AR344" s="20" t="s">
        <v>246</v>
      </c>
      <c r="AS344" s="20"/>
    </row>
    <row r="345" customFormat="false" ht="60" hidden="false" customHeight="true" outlineLevel="0" collapsed="false">
      <c r="A345" s="14" t="n">
        <v>344</v>
      </c>
      <c r="B345" s="14" t="s">
        <v>247</v>
      </c>
      <c r="C345" s="14" t="s">
        <v>221</v>
      </c>
      <c r="D345" s="14" t="s">
        <v>222</v>
      </c>
      <c r="E345" s="14" t="s">
        <v>34</v>
      </c>
      <c r="F345" s="14" t="s">
        <v>223</v>
      </c>
      <c r="G345" s="14" t="s">
        <v>224</v>
      </c>
      <c r="H345" s="14" t="s">
        <v>224</v>
      </c>
      <c r="I345" s="14" t="s">
        <v>225</v>
      </c>
      <c r="J345" s="14" t="s">
        <v>2225</v>
      </c>
      <c r="K345" s="14" t="s">
        <v>3083</v>
      </c>
      <c r="L345" s="14" t="s">
        <v>3084</v>
      </c>
      <c r="M345" s="15" t="n">
        <v>117546</v>
      </c>
      <c r="N345" s="14" t="s">
        <v>2009</v>
      </c>
      <c r="O345" s="14" t="s">
        <v>3085</v>
      </c>
      <c r="P345" s="16" t="s">
        <v>3086</v>
      </c>
      <c r="Q345" s="6" t="s">
        <v>3087</v>
      </c>
      <c r="R345" s="6" t="s">
        <v>3088</v>
      </c>
      <c r="S345" s="14" t="s">
        <v>916</v>
      </c>
      <c r="T345" s="14" t="s">
        <v>235</v>
      </c>
      <c r="U345" s="14" t="s">
        <v>236</v>
      </c>
      <c r="V345" s="14" t="s">
        <v>288</v>
      </c>
      <c r="W345" s="14" t="s">
        <v>257</v>
      </c>
      <c r="X345" s="14" t="s">
        <v>239</v>
      </c>
      <c r="Y345" s="15" t="n">
        <v>69721</v>
      </c>
      <c r="Z345" s="15" t="n">
        <v>4016</v>
      </c>
      <c r="AA345" s="14" t="n">
        <v>1256</v>
      </c>
      <c r="AB345" s="14"/>
      <c r="AC345" s="17" t="n">
        <v>0.0756156681631073</v>
      </c>
      <c r="AD345" s="18" t="n">
        <v>15.29</v>
      </c>
      <c r="AE345" s="18" t="n">
        <f aca="false">IF(AD345="","",MIN(AD345,100))</f>
        <v>15.29</v>
      </c>
      <c r="AF345" s="14" t="n">
        <v>98.2</v>
      </c>
      <c r="AG345" s="14" t="s">
        <v>224</v>
      </c>
      <c r="AH345" s="14" t="n">
        <v>6</v>
      </c>
      <c r="AI345" s="14" t="s">
        <v>224</v>
      </c>
      <c r="AJ345" s="14" t="s">
        <v>224</v>
      </c>
      <c r="AK345" s="14" t="s">
        <v>240</v>
      </c>
      <c r="AL345" s="19" t="n">
        <f aca="false">ROUND('Start Here'!$B$29*AH345+'Start Here'!$B$30*MIN(IF(AD345="",0,AD345),50)/5+IF(M345&lt;=30000,'Start Here'!$B$31,IF(M345&lt;=60000,'Start Here'!$B$32,0)),1)</f>
        <v>3.9</v>
      </c>
      <c r="AM345" s="6" t="s">
        <v>3089</v>
      </c>
      <c r="AN345" s="6" t="s">
        <v>1611</v>
      </c>
      <c r="AO345" s="6" t="s">
        <v>3090</v>
      </c>
      <c r="AP345" s="14" t="s">
        <v>3091</v>
      </c>
      <c r="AQ345" s="14" t="s">
        <v>524</v>
      </c>
      <c r="AR345" s="20" t="s">
        <v>246</v>
      </c>
      <c r="AS345" s="20"/>
    </row>
    <row r="346" customFormat="false" ht="60" hidden="false" customHeight="true" outlineLevel="0" collapsed="false">
      <c r="A346" s="14" t="n">
        <v>345</v>
      </c>
      <c r="B346" s="14" t="s">
        <v>247</v>
      </c>
      <c r="C346" s="14" t="s">
        <v>221</v>
      </c>
      <c r="D346" s="14" t="s">
        <v>222</v>
      </c>
      <c r="E346" s="14" t="s">
        <v>36</v>
      </c>
      <c r="F346" s="14" t="s">
        <v>224</v>
      </c>
      <c r="G346" s="14" t="s">
        <v>223</v>
      </c>
      <c r="H346" s="14" t="s">
        <v>224</v>
      </c>
      <c r="I346" s="14" t="s">
        <v>338</v>
      </c>
      <c r="J346" s="14"/>
      <c r="K346" s="14" t="s">
        <v>3092</v>
      </c>
      <c r="L346" s="14" t="s">
        <v>1615</v>
      </c>
      <c r="M346" s="15" t="n">
        <v>24903</v>
      </c>
      <c r="N346" s="14" t="s">
        <v>298</v>
      </c>
      <c r="O346" s="14" t="s">
        <v>1654</v>
      </c>
      <c r="P346" s="16" t="s">
        <v>3093</v>
      </c>
      <c r="Q346" s="6" t="s">
        <v>3094</v>
      </c>
      <c r="R346" s="6" t="s">
        <v>3095</v>
      </c>
      <c r="S346" s="14" t="s">
        <v>685</v>
      </c>
      <c r="T346" s="14" t="s">
        <v>235</v>
      </c>
      <c r="U346" s="14" t="s">
        <v>686</v>
      </c>
      <c r="V346" s="14" t="s">
        <v>810</v>
      </c>
      <c r="W346" s="14"/>
      <c r="X346" s="14"/>
      <c r="Y346" s="15" t="n">
        <v>20141</v>
      </c>
      <c r="Z346" s="15" t="n">
        <v>131</v>
      </c>
      <c r="AA346" s="14" t="n">
        <v>7</v>
      </c>
      <c r="AB346" s="14"/>
      <c r="AC346" s="17" t="n">
        <v>0.00685169554639789</v>
      </c>
      <c r="AD346" s="18" t="n">
        <v>6.92</v>
      </c>
      <c r="AE346" s="18" t="n">
        <f aca="false">IF(AD346="","",MIN(AD346,100))</f>
        <v>6.92</v>
      </c>
      <c r="AF346" s="14" t="n">
        <v>90.3</v>
      </c>
      <c r="AG346" s="14" t="s">
        <v>224</v>
      </c>
      <c r="AH346" s="14" t="n">
        <v>3</v>
      </c>
      <c r="AI346" s="14" t="s">
        <v>224</v>
      </c>
      <c r="AJ346" s="14" t="s">
        <v>224</v>
      </c>
      <c r="AK346" s="14" t="s">
        <v>240</v>
      </c>
      <c r="AL346" s="19" t="n">
        <f aca="false">ROUND('Start Here'!$B$29*AH346+'Start Here'!$B$30*MIN(IF(AD346="",0,AD346),50)/5+IF(M346&lt;=30000,'Start Here'!$B$31,IF(M346&lt;=60000,'Start Here'!$B$32,0)),1)</f>
        <v>3.9</v>
      </c>
      <c r="AM346" s="6" t="s">
        <v>689</v>
      </c>
      <c r="AN346" s="6" t="s">
        <v>1268</v>
      </c>
      <c r="AO346" s="6"/>
      <c r="AP346" s="14"/>
      <c r="AQ346" s="14" t="s">
        <v>538</v>
      </c>
      <c r="AR346" s="20" t="s">
        <v>246</v>
      </c>
      <c r="AS346" s="20"/>
    </row>
    <row r="347" customFormat="false" ht="60" hidden="false" customHeight="true" outlineLevel="0" collapsed="false">
      <c r="A347" s="14" t="n">
        <v>346</v>
      </c>
      <c r="B347" s="14" t="s">
        <v>374</v>
      </c>
      <c r="C347" s="14" t="s">
        <v>221</v>
      </c>
      <c r="D347" s="14" t="s">
        <v>222</v>
      </c>
      <c r="E347" s="14" t="s">
        <v>38</v>
      </c>
      <c r="F347" s="14" t="s">
        <v>224</v>
      </c>
      <c r="G347" s="14" t="s">
        <v>224</v>
      </c>
      <c r="H347" s="14" t="s">
        <v>223</v>
      </c>
      <c r="I347" s="14" t="s">
        <v>308</v>
      </c>
      <c r="J347" s="14" t="s">
        <v>3096</v>
      </c>
      <c r="K347" s="14" t="s">
        <v>1765</v>
      </c>
      <c r="L347" s="14" t="s">
        <v>1766</v>
      </c>
      <c r="M347" s="15" t="n">
        <v>45929</v>
      </c>
      <c r="N347" s="14" t="s">
        <v>462</v>
      </c>
      <c r="O347" s="14" t="s">
        <v>3097</v>
      </c>
      <c r="P347" s="16" t="s">
        <v>3098</v>
      </c>
      <c r="Q347" s="6" t="s">
        <v>3099</v>
      </c>
      <c r="R347" s="6" t="s">
        <v>3100</v>
      </c>
      <c r="S347" s="14" t="s">
        <v>255</v>
      </c>
      <c r="T347" s="14" t="s">
        <v>235</v>
      </c>
      <c r="U347" s="14" t="s">
        <v>236</v>
      </c>
      <c r="V347" s="14" t="s">
        <v>331</v>
      </c>
      <c r="W347" s="14" t="s">
        <v>238</v>
      </c>
      <c r="X347" s="14" t="s">
        <v>333</v>
      </c>
      <c r="Y347" s="15"/>
      <c r="Z347" s="15" t="n">
        <v>2174</v>
      </c>
      <c r="AA347" s="14" t="n">
        <v>329</v>
      </c>
      <c r="AB347" s="14" t="n">
        <v>150</v>
      </c>
      <c r="AC347" s="17" t="n">
        <v>0.0594216856675701</v>
      </c>
      <c r="AD347" s="18" t="n">
        <v>5.98</v>
      </c>
      <c r="AE347" s="18" t="n">
        <f aca="false">IF(AD347="","",MIN(AD347,100))</f>
        <v>5.98</v>
      </c>
      <c r="AF347" s="14" t="n">
        <v>98.6</v>
      </c>
      <c r="AG347" s="14" t="s">
        <v>224</v>
      </c>
      <c r="AH347" s="14" t="n">
        <v>5</v>
      </c>
      <c r="AI347" s="14" t="s">
        <v>224</v>
      </c>
      <c r="AJ347" s="14" t="s">
        <v>224</v>
      </c>
      <c r="AK347" s="14" t="s">
        <v>240</v>
      </c>
      <c r="AL347" s="19" t="n">
        <f aca="false">ROUND('Start Here'!$B$29*AH347+'Start Here'!$B$30*MIN(IF(AD347="",0,AD347),50)/5+IF(M347&lt;=30000,'Start Here'!$B$31,IF(M347&lt;=60000,'Start Here'!$B$32,0)),1)</f>
        <v>3.9</v>
      </c>
      <c r="AM347" s="6" t="s">
        <v>534</v>
      </c>
      <c r="AN347" s="6" t="s">
        <v>840</v>
      </c>
      <c r="AO347" s="6" t="s">
        <v>3101</v>
      </c>
      <c r="AP347" s="14" t="s">
        <v>3102</v>
      </c>
      <c r="AQ347" s="14" t="s">
        <v>1310</v>
      </c>
      <c r="AR347" s="20" t="s">
        <v>246</v>
      </c>
      <c r="AS347" s="20"/>
    </row>
    <row r="348" customFormat="false" ht="60" hidden="false" customHeight="true" outlineLevel="0" collapsed="false">
      <c r="A348" s="14" t="n">
        <v>347</v>
      </c>
      <c r="B348" s="14" t="s">
        <v>374</v>
      </c>
      <c r="C348" s="14" t="s">
        <v>221</v>
      </c>
      <c r="D348" s="14" t="s">
        <v>222</v>
      </c>
      <c r="E348" s="14" t="s">
        <v>40</v>
      </c>
      <c r="F348" s="14" t="s">
        <v>224</v>
      </c>
      <c r="G348" s="14" t="s">
        <v>224</v>
      </c>
      <c r="H348" s="14" t="s">
        <v>224</v>
      </c>
      <c r="I348" s="14" t="s">
        <v>264</v>
      </c>
      <c r="J348" s="14" t="s">
        <v>606</v>
      </c>
      <c r="K348" s="14" t="s">
        <v>2240</v>
      </c>
      <c r="L348" s="14" t="s">
        <v>2241</v>
      </c>
      <c r="M348" s="15" t="n">
        <v>68759</v>
      </c>
      <c r="N348" s="14" t="s">
        <v>400</v>
      </c>
      <c r="O348" s="14" t="s">
        <v>3103</v>
      </c>
      <c r="P348" s="16" t="s">
        <v>3104</v>
      </c>
      <c r="Q348" s="6" t="s">
        <v>3105</v>
      </c>
      <c r="R348" s="6" t="s">
        <v>3106</v>
      </c>
      <c r="S348" s="14" t="s">
        <v>330</v>
      </c>
      <c r="T348" s="14" t="s">
        <v>235</v>
      </c>
      <c r="U348" s="14" t="s">
        <v>236</v>
      </c>
      <c r="V348" s="14" t="s">
        <v>331</v>
      </c>
      <c r="W348" s="14" t="s">
        <v>238</v>
      </c>
      <c r="X348" s="14" t="s">
        <v>333</v>
      </c>
      <c r="Y348" s="15"/>
      <c r="Z348" s="15" t="n">
        <v>951</v>
      </c>
      <c r="AA348" s="14" t="n">
        <v>185</v>
      </c>
      <c r="AB348" s="14" t="n">
        <v>6</v>
      </c>
      <c r="AC348" s="17" t="n">
        <v>0.0179218781877246</v>
      </c>
      <c r="AD348" s="18" t="n">
        <v>5.18</v>
      </c>
      <c r="AE348" s="18" t="n">
        <f aca="false">IF(AD348="","",MIN(AD348,100))</f>
        <v>5.18</v>
      </c>
      <c r="AF348" s="14" t="n">
        <v>97.1</v>
      </c>
      <c r="AG348" s="14" t="s">
        <v>224</v>
      </c>
      <c r="AH348" s="14" t="n">
        <v>7</v>
      </c>
      <c r="AI348" s="14" t="s">
        <v>224</v>
      </c>
      <c r="AJ348" s="14" t="s">
        <v>224</v>
      </c>
      <c r="AK348" s="14" t="s">
        <v>240</v>
      </c>
      <c r="AL348" s="19" t="n">
        <f aca="false">ROUND('Start Here'!$B$29*AH348+'Start Here'!$B$30*MIN(IF(AD348="",0,AD348),50)/5+IF(M348&lt;=30000,'Start Here'!$B$31,IF(M348&lt;=60000,'Start Here'!$B$32,0)),1)</f>
        <v>3.8</v>
      </c>
      <c r="AM348" s="6" t="s">
        <v>1117</v>
      </c>
      <c r="AN348" s="6" t="s">
        <v>1952</v>
      </c>
      <c r="AO348" s="6" t="s">
        <v>3107</v>
      </c>
      <c r="AP348" s="14" t="s">
        <v>3108</v>
      </c>
      <c r="AQ348" s="14" t="s">
        <v>677</v>
      </c>
      <c r="AR348" s="20" t="s">
        <v>246</v>
      </c>
      <c r="AS348" s="20"/>
    </row>
    <row r="349" customFormat="false" ht="60" hidden="false" customHeight="true" outlineLevel="0" collapsed="false">
      <c r="A349" s="14" t="n">
        <v>348</v>
      </c>
      <c r="B349" s="14" t="s">
        <v>374</v>
      </c>
      <c r="C349" s="14" t="s">
        <v>221</v>
      </c>
      <c r="D349" s="14" t="s">
        <v>222</v>
      </c>
      <c r="E349" s="14" t="s">
        <v>40</v>
      </c>
      <c r="F349" s="14" t="s">
        <v>224</v>
      </c>
      <c r="G349" s="14" t="s">
        <v>224</v>
      </c>
      <c r="H349" s="14" t="s">
        <v>224</v>
      </c>
      <c r="I349" s="14" t="s">
        <v>225</v>
      </c>
      <c r="J349" s="14" t="s">
        <v>3109</v>
      </c>
      <c r="K349" s="14" t="s">
        <v>3110</v>
      </c>
      <c r="L349" s="14" t="s">
        <v>3111</v>
      </c>
      <c r="M349" s="15" t="n">
        <v>44723</v>
      </c>
      <c r="N349" s="14" t="s">
        <v>462</v>
      </c>
      <c r="O349" s="14" t="s">
        <v>299</v>
      </c>
      <c r="P349" s="16" t="s">
        <v>3112</v>
      </c>
      <c r="Q349" s="6" t="s">
        <v>3113</v>
      </c>
      <c r="R349" s="6" t="s">
        <v>3114</v>
      </c>
      <c r="S349" s="14" t="s">
        <v>1495</v>
      </c>
      <c r="T349" s="14" t="s">
        <v>235</v>
      </c>
      <c r="U349" s="14" t="s">
        <v>236</v>
      </c>
      <c r="V349" s="14" t="s">
        <v>331</v>
      </c>
      <c r="W349" s="14" t="s">
        <v>257</v>
      </c>
      <c r="X349" s="14" t="s">
        <v>546</v>
      </c>
      <c r="Y349" s="15"/>
      <c r="Z349" s="15" t="n">
        <v>962</v>
      </c>
      <c r="AA349" s="14" t="n">
        <v>410</v>
      </c>
      <c r="AB349" s="14" t="n">
        <v>81</v>
      </c>
      <c r="AC349" s="17" t="n">
        <v>0.0400154223238137</v>
      </c>
      <c r="AD349" s="18" t="n">
        <v>4.71</v>
      </c>
      <c r="AE349" s="18" t="n">
        <f aca="false">IF(AD349="","",MIN(AD349,100))</f>
        <v>4.71</v>
      </c>
      <c r="AF349" s="14" t="n">
        <v>98</v>
      </c>
      <c r="AG349" s="14" t="s">
        <v>224</v>
      </c>
      <c r="AH349" s="14" t="n">
        <v>5</v>
      </c>
      <c r="AI349" s="14" t="s">
        <v>224</v>
      </c>
      <c r="AJ349" s="14" t="s">
        <v>224</v>
      </c>
      <c r="AK349" s="14" t="s">
        <v>240</v>
      </c>
      <c r="AL349" s="19" t="n">
        <f aca="false">ROUND('Start Here'!$B$29*AH349+'Start Here'!$B$30*MIN(IF(AD349="",0,AD349),50)/5+IF(M349&lt;=30000,'Start Here'!$B$31,IF(M349&lt;=60000,'Start Here'!$B$32,0)),1)</f>
        <v>3.8</v>
      </c>
      <c r="AM349" s="6" t="s">
        <v>1658</v>
      </c>
      <c r="AN349" s="6" t="s">
        <v>1497</v>
      </c>
      <c r="AO349" s="6" t="s">
        <v>3115</v>
      </c>
      <c r="AP349" s="14" t="s">
        <v>3116</v>
      </c>
      <c r="AQ349" s="14" t="s">
        <v>1184</v>
      </c>
      <c r="AR349" s="20" t="s">
        <v>246</v>
      </c>
      <c r="AS349" s="20"/>
    </row>
    <row r="350" customFormat="false" ht="60" hidden="false" customHeight="true" outlineLevel="0" collapsed="false">
      <c r="A350" s="14" t="n">
        <v>349</v>
      </c>
      <c r="B350" s="14" t="s">
        <v>220</v>
      </c>
      <c r="C350" s="14" t="s">
        <v>221</v>
      </c>
      <c r="D350" s="14" t="s">
        <v>222</v>
      </c>
      <c r="E350" s="14" t="s">
        <v>40</v>
      </c>
      <c r="F350" s="14" t="s">
        <v>224</v>
      </c>
      <c r="G350" s="14" t="s">
        <v>224</v>
      </c>
      <c r="H350" s="14" t="s">
        <v>224</v>
      </c>
      <c r="I350" s="14" t="s">
        <v>225</v>
      </c>
      <c r="J350" s="14" t="s">
        <v>338</v>
      </c>
      <c r="K350" s="14" t="s">
        <v>3117</v>
      </c>
      <c r="L350" s="14" t="s">
        <v>3118</v>
      </c>
      <c r="M350" s="15" t="n">
        <v>2346</v>
      </c>
      <c r="N350" s="14" t="s">
        <v>283</v>
      </c>
      <c r="O350" s="14" t="s">
        <v>1002</v>
      </c>
      <c r="P350" s="16" t="s">
        <v>3119</v>
      </c>
      <c r="Q350" s="6" t="s">
        <v>3120</v>
      </c>
      <c r="R350" s="6" t="s">
        <v>3121</v>
      </c>
      <c r="S350" s="14" t="s">
        <v>255</v>
      </c>
      <c r="T350" s="14" t="s">
        <v>235</v>
      </c>
      <c r="U350" s="14" t="s">
        <v>236</v>
      </c>
      <c r="V350" s="14" t="s">
        <v>439</v>
      </c>
      <c r="W350" s="14"/>
      <c r="X350" s="14"/>
      <c r="Y350" s="15" t="n">
        <v>392</v>
      </c>
      <c r="Z350" s="15" t="n">
        <v>6</v>
      </c>
      <c r="AA350" s="14" t="n">
        <v>2</v>
      </c>
      <c r="AB350" s="14" t="n">
        <v>0</v>
      </c>
      <c r="AC350" s="17" t="n">
        <v>0.0204081632653061</v>
      </c>
      <c r="AD350" s="18" t="n">
        <v>4.37</v>
      </c>
      <c r="AE350" s="18" t="n">
        <f aca="false">IF(AD350="","",MIN(AD350,100))</f>
        <v>4.37</v>
      </c>
      <c r="AF350" s="14" t="n">
        <v>97.4</v>
      </c>
      <c r="AG350" s="14" t="s">
        <v>224</v>
      </c>
      <c r="AH350" s="14" t="n">
        <v>3</v>
      </c>
      <c r="AI350" s="14" t="s">
        <v>224</v>
      </c>
      <c r="AJ350" s="14" t="s">
        <v>224</v>
      </c>
      <c r="AK350" s="14" t="s">
        <v>240</v>
      </c>
      <c r="AL350" s="19" t="n">
        <f aca="false">ROUND('Start Here'!$B$29*AH350+'Start Here'!$B$30*MIN(IF(AD350="",0,AD350),50)/5+IF(M350&lt;=30000,'Start Here'!$B$31,IF(M350&lt;=60000,'Start Here'!$B$32,0)),1)</f>
        <v>3.8</v>
      </c>
      <c r="AM350" s="6" t="s">
        <v>491</v>
      </c>
      <c r="AN350" s="6" t="s">
        <v>674</v>
      </c>
      <c r="AO350" s="6"/>
      <c r="AP350" s="14"/>
      <c r="AQ350" s="14" t="s">
        <v>351</v>
      </c>
      <c r="AR350" s="20" t="s">
        <v>246</v>
      </c>
      <c r="AS350" s="20"/>
    </row>
    <row r="351" customFormat="false" ht="60" hidden="false" customHeight="true" outlineLevel="0" collapsed="false">
      <c r="A351" s="14" t="n">
        <v>350</v>
      </c>
      <c r="B351" s="14" t="s">
        <v>374</v>
      </c>
      <c r="C351" s="14" t="s">
        <v>221</v>
      </c>
      <c r="D351" s="14" t="s">
        <v>222</v>
      </c>
      <c r="E351" s="14" t="s">
        <v>40</v>
      </c>
      <c r="F351" s="14" t="s">
        <v>224</v>
      </c>
      <c r="G351" s="14" t="s">
        <v>224</v>
      </c>
      <c r="H351" s="14" t="s">
        <v>224</v>
      </c>
      <c r="I351" s="14" t="s">
        <v>225</v>
      </c>
      <c r="J351" s="14" t="s">
        <v>3122</v>
      </c>
      <c r="K351" s="14" t="s">
        <v>2266</v>
      </c>
      <c r="L351" s="14" t="s">
        <v>2267</v>
      </c>
      <c r="M351" s="15" t="n">
        <v>37640</v>
      </c>
      <c r="N351" s="14" t="s">
        <v>462</v>
      </c>
      <c r="O351" s="14" t="s">
        <v>499</v>
      </c>
      <c r="P351" s="16" t="s">
        <v>3123</v>
      </c>
      <c r="Q351" s="6" t="s">
        <v>3124</v>
      </c>
      <c r="R351" s="6" t="s">
        <v>3125</v>
      </c>
      <c r="S351" s="14" t="s">
        <v>906</v>
      </c>
      <c r="T351" s="14" t="s">
        <v>235</v>
      </c>
      <c r="U351" s="14" t="s">
        <v>236</v>
      </c>
      <c r="V351" s="14" t="s">
        <v>331</v>
      </c>
      <c r="W351" s="14" t="s">
        <v>238</v>
      </c>
      <c r="X351" s="14" t="s">
        <v>239</v>
      </c>
      <c r="Y351" s="15"/>
      <c r="Z351" s="15" t="n">
        <v>959</v>
      </c>
      <c r="AA351" s="14" t="n">
        <v>151</v>
      </c>
      <c r="AB351" s="14" t="n">
        <v>49</v>
      </c>
      <c r="AC351" s="17" t="n">
        <v>0.0307917109458023</v>
      </c>
      <c r="AD351" s="18" t="n">
        <v>4.98</v>
      </c>
      <c r="AE351" s="18" t="n">
        <f aca="false">IF(AD351="","",MIN(AD351,100))</f>
        <v>4.98</v>
      </c>
      <c r="AF351" s="14" t="n">
        <v>98</v>
      </c>
      <c r="AG351" s="14" t="s">
        <v>224</v>
      </c>
      <c r="AH351" s="14" t="n">
        <v>4.9</v>
      </c>
      <c r="AI351" s="14" t="s">
        <v>223</v>
      </c>
      <c r="AJ351" s="14" t="s">
        <v>224</v>
      </c>
      <c r="AK351" s="14" t="s">
        <v>240</v>
      </c>
      <c r="AL351" s="19" t="n">
        <f aca="false">ROUND('Start Here'!$B$29*AH351+'Start Here'!$B$30*MIN(IF(AD351="",0,AD351),50)/5+IF(M351&lt;=30000,'Start Here'!$B$31,IF(M351&lt;=60000,'Start Here'!$B$32,0)),1)</f>
        <v>3.7</v>
      </c>
      <c r="AM351" s="6" t="s">
        <v>3126</v>
      </c>
      <c r="AN351" s="6" t="s">
        <v>3127</v>
      </c>
      <c r="AO351" s="6" t="s">
        <v>3128</v>
      </c>
      <c r="AP351" s="14" t="s">
        <v>3129</v>
      </c>
      <c r="AQ351" s="14" t="s">
        <v>1310</v>
      </c>
      <c r="AR351" s="20" t="s">
        <v>246</v>
      </c>
      <c r="AS351" s="20"/>
    </row>
    <row r="352" customFormat="false" ht="60" hidden="false" customHeight="true" outlineLevel="0" collapsed="false">
      <c r="A352" s="14" t="n">
        <v>351</v>
      </c>
      <c r="B352" s="14" t="s">
        <v>247</v>
      </c>
      <c r="C352" s="14" t="s">
        <v>442</v>
      </c>
      <c r="D352" s="14" t="s">
        <v>443</v>
      </c>
      <c r="E352" s="14" t="s">
        <v>38</v>
      </c>
      <c r="F352" s="14" t="s">
        <v>224</v>
      </c>
      <c r="G352" s="14" t="s">
        <v>224</v>
      </c>
      <c r="H352" s="14" t="s">
        <v>223</v>
      </c>
      <c r="I352" s="14" t="s">
        <v>225</v>
      </c>
      <c r="J352" s="14" t="s">
        <v>338</v>
      </c>
      <c r="K352" s="14" t="s">
        <v>3130</v>
      </c>
      <c r="L352" s="14" t="s">
        <v>3131</v>
      </c>
      <c r="M352" s="15" t="n">
        <v>9700</v>
      </c>
      <c r="N352" s="14" t="s">
        <v>283</v>
      </c>
      <c r="O352" s="14" t="s">
        <v>447</v>
      </c>
      <c r="P352" s="16" t="s">
        <v>3132</v>
      </c>
      <c r="Q352" s="6" t="s">
        <v>3133</v>
      </c>
      <c r="R352" s="6" t="s">
        <v>3134</v>
      </c>
      <c r="S352" s="14" t="s">
        <v>255</v>
      </c>
      <c r="T352" s="14" t="s">
        <v>235</v>
      </c>
      <c r="U352" s="14" t="s">
        <v>236</v>
      </c>
      <c r="V352" s="14" t="s">
        <v>3135</v>
      </c>
      <c r="W352" s="14" t="s">
        <v>452</v>
      </c>
      <c r="X352" s="14"/>
      <c r="Y352" s="15" t="n">
        <v>907200</v>
      </c>
      <c r="Z352" s="15"/>
      <c r="AA352" s="14"/>
      <c r="AB352" s="14"/>
      <c r="AC352" s="17"/>
      <c r="AD352" s="18" t="n">
        <v>3.8</v>
      </c>
      <c r="AE352" s="18" t="n">
        <f aca="false">IF(AD352="","",MIN(AD352,100))</f>
        <v>3.8</v>
      </c>
      <c r="AF352" s="14"/>
      <c r="AG352" s="14" t="s">
        <v>224</v>
      </c>
      <c r="AH352" s="14" t="n">
        <v>3</v>
      </c>
      <c r="AI352" s="14" t="s">
        <v>224</v>
      </c>
      <c r="AJ352" s="14" t="s">
        <v>224</v>
      </c>
      <c r="AK352" s="14" t="s">
        <v>453</v>
      </c>
      <c r="AL352" s="19" t="n">
        <f aca="false">ROUND('Start Here'!$B$29*AH352+'Start Here'!$B$30*MIN(IF(AD352="",0,AD352),50)/5+IF(M352&lt;=30000,'Start Here'!$B$31,IF(M352&lt;=60000,'Start Here'!$B$32,0)),1)</f>
        <v>3.7</v>
      </c>
      <c r="AM352" s="6" t="s">
        <v>3136</v>
      </c>
      <c r="AN352" s="6" t="s">
        <v>3137</v>
      </c>
      <c r="AO352" s="6" t="s">
        <v>3138</v>
      </c>
      <c r="AP352" s="14" t="s">
        <v>2239</v>
      </c>
      <c r="AQ352" s="14" t="s">
        <v>952</v>
      </c>
      <c r="AR352" s="20" t="s">
        <v>246</v>
      </c>
      <c r="AS352" s="20"/>
    </row>
    <row r="353" customFormat="false" ht="60" hidden="false" customHeight="true" outlineLevel="0" collapsed="false">
      <c r="A353" s="14" t="n">
        <v>352</v>
      </c>
      <c r="B353" s="14" t="s">
        <v>220</v>
      </c>
      <c r="C353" s="14" t="s">
        <v>221</v>
      </c>
      <c r="D353" s="14" t="s">
        <v>222</v>
      </c>
      <c r="E353" s="14" t="s">
        <v>40</v>
      </c>
      <c r="F353" s="14" t="s">
        <v>224</v>
      </c>
      <c r="G353" s="14" t="s">
        <v>224</v>
      </c>
      <c r="H353" s="14" t="s">
        <v>224</v>
      </c>
      <c r="I353" s="14" t="s">
        <v>308</v>
      </c>
      <c r="J353" s="14" t="s">
        <v>878</v>
      </c>
      <c r="K353" s="14" t="s">
        <v>1301</v>
      </c>
      <c r="L353" s="14" t="s">
        <v>3139</v>
      </c>
      <c r="M353" s="15" t="n">
        <v>66586</v>
      </c>
      <c r="N353" s="14" t="s">
        <v>400</v>
      </c>
      <c r="O353" s="14" t="s">
        <v>2242</v>
      </c>
      <c r="P353" s="16" t="s">
        <v>3140</v>
      </c>
      <c r="Q353" s="6" t="s">
        <v>3141</v>
      </c>
      <c r="R353" s="6" t="s">
        <v>3142</v>
      </c>
      <c r="S353" s="14" t="s">
        <v>255</v>
      </c>
      <c r="T353" s="14" t="s">
        <v>235</v>
      </c>
      <c r="U353" s="14" t="s">
        <v>236</v>
      </c>
      <c r="V353" s="14" t="s">
        <v>237</v>
      </c>
      <c r="W353" s="14" t="s">
        <v>238</v>
      </c>
      <c r="X353" s="14" t="s">
        <v>239</v>
      </c>
      <c r="Y353" s="15" t="n">
        <v>19286</v>
      </c>
      <c r="Z353" s="15" t="n">
        <v>329</v>
      </c>
      <c r="AA353" s="14" t="n">
        <v>33</v>
      </c>
      <c r="AB353" s="14" t="n">
        <v>7</v>
      </c>
      <c r="AC353" s="17" t="n">
        <v>0.0191330498807425</v>
      </c>
      <c r="AD353" s="18" t="n">
        <v>3.58</v>
      </c>
      <c r="AE353" s="18" t="n">
        <f aca="false">IF(AD353="","",MIN(AD353,100))</f>
        <v>3.58</v>
      </c>
      <c r="AF353" s="14" t="n">
        <v>89.9</v>
      </c>
      <c r="AG353" s="14" t="s">
        <v>224</v>
      </c>
      <c r="AH353" s="14" t="n">
        <v>7</v>
      </c>
      <c r="AI353" s="14" t="s">
        <v>224</v>
      </c>
      <c r="AJ353" s="14" t="s">
        <v>224</v>
      </c>
      <c r="AK353" s="14" t="s">
        <v>240</v>
      </c>
      <c r="AL353" s="19" t="n">
        <f aca="false">ROUND('Start Here'!$B$29*AH353+'Start Here'!$B$30*MIN(IF(AD353="",0,AD353),50)/5+IF(M353&lt;=30000,'Start Here'!$B$31,IF(M353&lt;=60000,'Start Here'!$B$32,0)),1)</f>
        <v>3.7</v>
      </c>
      <c r="AM353" s="6" t="s">
        <v>534</v>
      </c>
      <c r="AN353" s="6" t="s">
        <v>840</v>
      </c>
      <c r="AO353" s="6" t="s">
        <v>3143</v>
      </c>
      <c r="AP353" s="14" t="s">
        <v>3144</v>
      </c>
      <c r="AQ353" s="14" t="s">
        <v>1120</v>
      </c>
      <c r="AR353" s="20" t="s">
        <v>246</v>
      </c>
      <c r="AS353" s="20"/>
    </row>
    <row r="354" customFormat="false" ht="60" hidden="false" customHeight="true" outlineLevel="0" collapsed="false">
      <c r="A354" s="14" t="n">
        <v>353</v>
      </c>
      <c r="B354" s="14" t="s">
        <v>374</v>
      </c>
      <c r="C354" s="14" t="s">
        <v>221</v>
      </c>
      <c r="D354" s="14" t="s">
        <v>222</v>
      </c>
      <c r="E354" s="14" t="s">
        <v>40</v>
      </c>
      <c r="F354" s="14" t="s">
        <v>224</v>
      </c>
      <c r="G354" s="14" t="s">
        <v>224</v>
      </c>
      <c r="H354" s="14" t="s">
        <v>224</v>
      </c>
      <c r="I354" s="14" t="s">
        <v>225</v>
      </c>
      <c r="J354" s="14" t="s">
        <v>586</v>
      </c>
      <c r="K354" s="14" t="s">
        <v>3145</v>
      </c>
      <c r="L354" s="14" t="s">
        <v>3146</v>
      </c>
      <c r="M354" s="15" t="n">
        <v>56669</v>
      </c>
      <c r="N354" s="14" t="s">
        <v>400</v>
      </c>
      <c r="O354" s="14" t="s">
        <v>1958</v>
      </c>
      <c r="P354" s="16" t="s">
        <v>3147</v>
      </c>
      <c r="Q354" s="6" t="s">
        <v>3148</v>
      </c>
      <c r="R354" s="6" t="s">
        <v>3149</v>
      </c>
      <c r="S354" s="14" t="s">
        <v>513</v>
      </c>
      <c r="T354" s="14" t="s">
        <v>235</v>
      </c>
      <c r="U354" s="14" t="s">
        <v>236</v>
      </c>
      <c r="V354" s="14" t="s">
        <v>383</v>
      </c>
      <c r="W354" s="14"/>
      <c r="X354" s="14"/>
      <c r="Y354" s="15"/>
      <c r="Z354" s="15" t="n">
        <v>888</v>
      </c>
      <c r="AA354" s="14" t="n">
        <v>113</v>
      </c>
      <c r="AB354" s="14" t="n">
        <v>161</v>
      </c>
      <c r="AC354" s="17" t="n">
        <v>0.0215844710690072</v>
      </c>
      <c r="AD354" s="18" t="n">
        <v>3.48</v>
      </c>
      <c r="AE354" s="18" t="n">
        <f aca="false">IF(AD354="","",MIN(AD354,100))</f>
        <v>3.48</v>
      </c>
      <c r="AF354" s="14" t="n">
        <v>91.8</v>
      </c>
      <c r="AG354" s="14" t="s">
        <v>224</v>
      </c>
      <c r="AH354" s="14" t="n">
        <v>5</v>
      </c>
      <c r="AI354" s="14" t="s">
        <v>224</v>
      </c>
      <c r="AJ354" s="14" t="s">
        <v>224</v>
      </c>
      <c r="AK354" s="14" t="s">
        <v>240</v>
      </c>
      <c r="AL354" s="19" t="n">
        <f aca="false">ROUND('Start Here'!$B$29*AH354+'Start Here'!$B$30*MIN(IF(AD354="",0,AD354),50)/5+IF(M354&lt;=30000,'Start Here'!$B$31,IF(M354&lt;=60000,'Start Here'!$B$32,0)),1)</f>
        <v>3.7</v>
      </c>
      <c r="AM354" s="6" t="s">
        <v>789</v>
      </c>
      <c r="AN354" s="6" t="s">
        <v>1098</v>
      </c>
      <c r="AO354" s="6"/>
      <c r="AP354" s="14"/>
      <c r="AQ354" s="14" t="s">
        <v>3150</v>
      </c>
      <c r="AR354" s="20" t="s">
        <v>246</v>
      </c>
      <c r="AS354" s="20"/>
    </row>
    <row r="355" customFormat="false" ht="60" hidden="false" customHeight="true" outlineLevel="0" collapsed="false">
      <c r="A355" s="14" t="n">
        <v>354</v>
      </c>
      <c r="B355" s="14" t="s">
        <v>220</v>
      </c>
      <c r="C355" s="14" t="s">
        <v>221</v>
      </c>
      <c r="D355" s="14" t="s">
        <v>222</v>
      </c>
      <c r="E355" s="14" t="s">
        <v>38</v>
      </c>
      <c r="F355" s="14" t="s">
        <v>224</v>
      </c>
      <c r="G355" s="14" t="s">
        <v>224</v>
      </c>
      <c r="H355" s="14" t="s">
        <v>223</v>
      </c>
      <c r="I355" s="14" t="s">
        <v>635</v>
      </c>
      <c r="J355" s="14" t="s">
        <v>3151</v>
      </c>
      <c r="K355" s="14" t="s">
        <v>3152</v>
      </c>
      <c r="L355" s="14" t="s">
        <v>3153</v>
      </c>
      <c r="M355" s="15" t="n">
        <v>41427</v>
      </c>
      <c r="N355" s="14" t="s">
        <v>462</v>
      </c>
      <c r="O355" s="14" t="s">
        <v>3154</v>
      </c>
      <c r="P355" s="16" t="s">
        <v>3155</v>
      </c>
      <c r="Q355" s="6" t="s">
        <v>3156</v>
      </c>
      <c r="R355" s="6" t="s">
        <v>3157</v>
      </c>
      <c r="S355" s="14" t="s">
        <v>234</v>
      </c>
      <c r="T355" s="14" t="s">
        <v>673</v>
      </c>
      <c r="U355" s="14" t="s">
        <v>236</v>
      </c>
      <c r="V355" s="14" t="s">
        <v>331</v>
      </c>
      <c r="W355" s="14" t="s">
        <v>3158</v>
      </c>
      <c r="X355" s="14" t="s">
        <v>533</v>
      </c>
      <c r="Y355" s="15" t="n">
        <v>14262623</v>
      </c>
      <c r="Z355" s="15" t="n">
        <v>19886</v>
      </c>
      <c r="AA355" s="14" t="n">
        <v>1246</v>
      </c>
      <c r="AB355" s="14" t="n">
        <v>1842</v>
      </c>
      <c r="AC355" s="17" t="n">
        <v>0.00161078365459145</v>
      </c>
      <c r="AD355" s="18" t="n">
        <v>2.64</v>
      </c>
      <c r="AE355" s="18" t="n">
        <f aca="false">IF(AD355="","",MIN(AD355,100))</f>
        <v>2.64</v>
      </c>
      <c r="AF355" s="14"/>
      <c r="AG355" s="14" t="s">
        <v>224</v>
      </c>
      <c r="AH355" s="14" t="n">
        <v>5.1</v>
      </c>
      <c r="AI355" s="14" t="s">
        <v>223</v>
      </c>
      <c r="AJ355" s="14" t="s">
        <v>223</v>
      </c>
      <c r="AK355" s="14" t="s">
        <v>490</v>
      </c>
      <c r="AL355" s="19" t="n">
        <f aca="false">ROUND('Start Here'!$B$29*AH355+'Start Here'!$B$30*MIN(IF(AD355="",0,AD355),50)/5+IF(M355&lt;=30000,'Start Here'!$B$31,IF(M355&lt;=60000,'Start Here'!$B$32,0)),1)</f>
        <v>3.7</v>
      </c>
      <c r="AM355" s="6" t="s">
        <v>503</v>
      </c>
      <c r="AN355" s="6" t="s">
        <v>3159</v>
      </c>
      <c r="AO355" s="6" t="s">
        <v>3160</v>
      </c>
      <c r="AP355" s="14" t="s">
        <v>3161</v>
      </c>
      <c r="AQ355" s="14" t="s">
        <v>657</v>
      </c>
      <c r="AR355" s="20" t="s">
        <v>246</v>
      </c>
      <c r="AS355" s="20"/>
    </row>
    <row r="356" customFormat="false" ht="60" hidden="false" customHeight="true" outlineLevel="0" collapsed="false">
      <c r="A356" s="14" t="n">
        <v>355</v>
      </c>
      <c r="B356" s="14" t="s">
        <v>247</v>
      </c>
      <c r="C356" s="14" t="s">
        <v>221</v>
      </c>
      <c r="D356" s="14" t="s">
        <v>222</v>
      </c>
      <c r="E356" s="14" t="s">
        <v>40</v>
      </c>
      <c r="F356" s="14" t="s">
        <v>224</v>
      </c>
      <c r="G356" s="14" t="s">
        <v>224</v>
      </c>
      <c r="H356" s="14" t="s">
        <v>224</v>
      </c>
      <c r="I356" s="14" t="s">
        <v>338</v>
      </c>
      <c r="J356" s="14" t="s">
        <v>3162</v>
      </c>
      <c r="K356" s="14" t="s">
        <v>3163</v>
      </c>
      <c r="L356" s="14" t="s">
        <v>3164</v>
      </c>
      <c r="M356" s="15" t="n">
        <v>53674</v>
      </c>
      <c r="N356" s="14" t="s">
        <v>400</v>
      </c>
      <c r="O356" s="14" t="s">
        <v>2641</v>
      </c>
      <c r="P356" s="16" t="s">
        <v>3165</v>
      </c>
      <c r="Q356" s="6" t="s">
        <v>3166</v>
      </c>
      <c r="R356" s="6" t="s">
        <v>3167</v>
      </c>
      <c r="S356" s="14" t="s">
        <v>255</v>
      </c>
      <c r="T356" s="14" t="s">
        <v>235</v>
      </c>
      <c r="U356" s="14" t="s">
        <v>236</v>
      </c>
      <c r="V356" s="14" t="s">
        <v>810</v>
      </c>
      <c r="W356" s="14"/>
      <c r="X356" s="14"/>
      <c r="Y356" s="15" t="n">
        <v>30265</v>
      </c>
      <c r="Z356" s="15" t="n">
        <v>886</v>
      </c>
      <c r="AA356" s="14" t="n">
        <v>25</v>
      </c>
      <c r="AB356" s="14"/>
      <c r="AC356" s="17" t="n">
        <v>0.0301007764744755</v>
      </c>
      <c r="AD356" s="18" t="n">
        <v>3.3</v>
      </c>
      <c r="AE356" s="18" t="n">
        <f aca="false">IF(AD356="","",MIN(AD356,100))</f>
        <v>3.3</v>
      </c>
      <c r="AF356" s="14" t="n">
        <v>71.1</v>
      </c>
      <c r="AG356" s="14" t="s">
        <v>224</v>
      </c>
      <c r="AH356" s="14" t="n">
        <v>5</v>
      </c>
      <c r="AI356" s="14" t="s">
        <v>224</v>
      </c>
      <c r="AJ356" s="14" t="s">
        <v>224</v>
      </c>
      <c r="AK356" s="14" t="s">
        <v>240</v>
      </c>
      <c r="AL356" s="19" t="n">
        <f aca="false">ROUND('Start Here'!$B$29*AH356+'Start Here'!$B$30*MIN(IF(AD356="",0,AD356),50)/5+IF(M356&lt;=30000,'Start Here'!$B$31,IF(M356&lt;=60000,'Start Here'!$B$32,0)),1)</f>
        <v>3.7</v>
      </c>
      <c r="AM356" s="6" t="s">
        <v>534</v>
      </c>
      <c r="AN356" s="6" t="s">
        <v>2227</v>
      </c>
      <c r="AO356" s="6"/>
      <c r="AP356" s="14"/>
      <c r="AQ356" s="14" t="s">
        <v>263</v>
      </c>
      <c r="AR356" s="20" t="s">
        <v>246</v>
      </c>
      <c r="AS356" s="20"/>
    </row>
    <row r="357" customFormat="false" ht="60" hidden="false" customHeight="true" outlineLevel="0" collapsed="false">
      <c r="A357" s="14" t="n">
        <v>356</v>
      </c>
      <c r="B357" s="14" t="s">
        <v>220</v>
      </c>
      <c r="C357" s="14" t="s">
        <v>221</v>
      </c>
      <c r="D357" s="14" t="s">
        <v>222</v>
      </c>
      <c r="E357" s="14" t="s">
        <v>38</v>
      </c>
      <c r="F357" s="14" t="s">
        <v>224</v>
      </c>
      <c r="G357" s="14" t="s">
        <v>224</v>
      </c>
      <c r="H357" s="14" t="s">
        <v>223</v>
      </c>
      <c r="I357" s="14" t="s">
        <v>375</v>
      </c>
      <c r="J357" s="14" t="s">
        <v>322</v>
      </c>
      <c r="K357" s="14" t="s">
        <v>3168</v>
      </c>
      <c r="L357" s="14" t="s">
        <v>3169</v>
      </c>
      <c r="M357" s="15" t="n">
        <v>27952</v>
      </c>
      <c r="N357" s="14" t="s">
        <v>298</v>
      </c>
      <c r="O357" s="14" t="s">
        <v>3170</v>
      </c>
      <c r="P357" s="16" t="s">
        <v>3171</v>
      </c>
      <c r="Q357" s="6" t="s">
        <v>3172</v>
      </c>
      <c r="R357" s="6" t="s">
        <v>3173</v>
      </c>
      <c r="S357" s="14" t="s">
        <v>884</v>
      </c>
      <c r="T357" s="14" t="s">
        <v>235</v>
      </c>
      <c r="U357" s="14" t="s">
        <v>236</v>
      </c>
      <c r="V357" s="14" t="s">
        <v>725</v>
      </c>
      <c r="W357" s="14"/>
      <c r="X357" s="14"/>
      <c r="Y357" s="15" t="n">
        <v>3889658</v>
      </c>
      <c r="Z357" s="15" t="n">
        <v>472</v>
      </c>
      <c r="AA357" s="14" t="n">
        <v>18</v>
      </c>
      <c r="AB357" s="14" t="n">
        <v>71</v>
      </c>
      <c r="AC357" s="17" t="n">
        <v>0.00014422861855721</v>
      </c>
      <c r="AD357" s="18" t="n">
        <v>3.2</v>
      </c>
      <c r="AE357" s="18" t="n">
        <f aca="false">IF(AD357="","",MIN(AD357,100))</f>
        <v>3.2</v>
      </c>
      <c r="AF357" s="14" t="n">
        <v>97</v>
      </c>
      <c r="AG357" s="14" t="s">
        <v>224</v>
      </c>
      <c r="AH357" s="14" t="n">
        <v>3</v>
      </c>
      <c r="AI357" s="14" t="s">
        <v>224</v>
      </c>
      <c r="AJ357" s="14" t="s">
        <v>224</v>
      </c>
      <c r="AK357" s="14" t="s">
        <v>240</v>
      </c>
      <c r="AL357" s="19" t="n">
        <f aca="false">ROUND('Start Here'!$B$29*AH357+'Start Here'!$B$30*MIN(IF(AD357="",0,AD357),50)/5+IF(M357&lt;=30000,'Start Here'!$B$31,IF(M357&lt;=60000,'Start Here'!$B$32,0)),1)</f>
        <v>3.7</v>
      </c>
      <c r="AM357" s="6" t="s">
        <v>1163</v>
      </c>
      <c r="AN357" s="6" t="s">
        <v>2032</v>
      </c>
      <c r="AO357" s="6"/>
      <c r="AP357" s="14"/>
      <c r="AQ357" s="14" t="s">
        <v>524</v>
      </c>
      <c r="AR357" s="20" t="s">
        <v>246</v>
      </c>
      <c r="AS357" s="20"/>
    </row>
    <row r="358" customFormat="false" ht="60" hidden="false" customHeight="true" outlineLevel="0" collapsed="false">
      <c r="A358" s="14" t="n">
        <v>357</v>
      </c>
      <c r="B358" s="14" t="s">
        <v>374</v>
      </c>
      <c r="C358" s="14" t="s">
        <v>221</v>
      </c>
      <c r="D358" s="14" t="s">
        <v>222</v>
      </c>
      <c r="E358" s="14" t="s">
        <v>34</v>
      </c>
      <c r="F358" s="14" t="s">
        <v>223</v>
      </c>
      <c r="G358" s="14" t="s">
        <v>224</v>
      </c>
      <c r="H358" s="14" t="s">
        <v>224</v>
      </c>
      <c r="I358" s="14" t="s">
        <v>635</v>
      </c>
      <c r="J358" s="14" t="s">
        <v>934</v>
      </c>
      <c r="K358" s="14" t="s">
        <v>2007</v>
      </c>
      <c r="L358" s="14" t="s">
        <v>2008</v>
      </c>
      <c r="M358" s="15" t="n">
        <v>100285</v>
      </c>
      <c r="N358" s="14" t="s">
        <v>2009</v>
      </c>
      <c r="O358" s="14" t="s">
        <v>3174</v>
      </c>
      <c r="P358" s="16" t="s">
        <v>3175</v>
      </c>
      <c r="Q358" s="6" t="s">
        <v>3176</v>
      </c>
      <c r="R358" s="6" t="s">
        <v>3177</v>
      </c>
      <c r="S358" s="14" t="s">
        <v>255</v>
      </c>
      <c r="T358" s="14" t="s">
        <v>235</v>
      </c>
      <c r="U358" s="14" t="s">
        <v>236</v>
      </c>
      <c r="V358" s="14" t="s">
        <v>331</v>
      </c>
      <c r="W358" s="14" t="s">
        <v>275</v>
      </c>
      <c r="X358" s="14" t="s">
        <v>239</v>
      </c>
      <c r="Y358" s="15"/>
      <c r="Z358" s="15" t="n">
        <v>970</v>
      </c>
      <c r="AA358" s="14" t="n">
        <v>2848</v>
      </c>
      <c r="AB358" s="14" t="n">
        <v>7</v>
      </c>
      <c r="AC358" s="17" t="n">
        <v>0.0384329407981994</v>
      </c>
      <c r="AD358" s="18" t="n">
        <v>20.35</v>
      </c>
      <c r="AE358" s="18" t="n">
        <f aca="false">IF(AD358="","",MIN(AD358,100))</f>
        <v>20.35</v>
      </c>
      <c r="AF358" s="14" t="n">
        <v>98.4</v>
      </c>
      <c r="AG358" s="14" t="s">
        <v>224</v>
      </c>
      <c r="AH358" s="14" t="n">
        <v>4.9</v>
      </c>
      <c r="AI358" s="14" t="s">
        <v>223</v>
      </c>
      <c r="AJ358" s="14" t="s">
        <v>224</v>
      </c>
      <c r="AK358" s="14" t="s">
        <v>240</v>
      </c>
      <c r="AL358" s="19" t="n">
        <f aca="false">ROUND('Start Here'!$B$29*AH358+'Start Here'!$B$30*MIN(IF(AD358="",0,AD358),50)/5+IF(M358&lt;=30000,'Start Here'!$B$31,IF(M358&lt;=60000,'Start Here'!$B$32,0)),1)</f>
        <v>3.7</v>
      </c>
      <c r="AM358" s="6" t="s">
        <v>491</v>
      </c>
      <c r="AN358" s="6" t="s">
        <v>3178</v>
      </c>
      <c r="AO358" s="6" t="s">
        <v>3179</v>
      </c>
      <c r="AP358" s="14" t="s">
        <v>3180</v>
      </c>
      <c r="AQ358" s="14" t="s">
        <v>2015</v>
      </c>
      <c r="AR358" s="20" t="s">
        <v>246</v>
      </c>
      <c r="AS358" s="20"/>
    </row>
    <row r="359" customFormat="false" ht="60" hidden="false" customHeight="true" outlineLevel="0" collapsed="false">
      <c r="A359" s="14" t="n">
        <v>358</v>
      </c>
      <c r="B359" s="14" t="s">
        <v>374</v>
      </c>
      <c r="C359" s="14" t="s">
        <v>221</v>
      </c>
      <c r="D359" s="14" t="s">
        <v>222</v>
      </c>
      <c r="E359" s="14" t="s">
        <v>34</v>
      </c>
      <c r="F359" s="14" t="s">
        <v>223</v>
      </c>
      <c r="G359" s="14" t="s">
        <v>224</v>
      </c>
      <c r="H359" s="14" t="s">
        <v>224</v>
      </c>
      <c r="I359" s="14" t="s">
        <v>225</v>
      </c>
      <c r="J359" s="14" t="s">
        <v>3162</v>
      </c>
      <c r="K359" s="14" t="s">
        <v>2007</v>
      </c>
      <c r="L359" s="14" t="s">
        <v>2008</v>
      </c>
      <c r="M359" s="15" t="n">
        <v>100285</v>
      </c>
      <c r="N359" s="14" t="s">
        <v>2009</v>
      </c>
      <c r="O359" s="14" t="s">
        <v>3174</v>
      </c>
      <c r="P359" s="16" t="s">
        <v>3181</v>
      </c>
      <c r="Q359" s="6" t="s">
        <v>3176</v>
      </c>
      <c r="R359" s="6" t="s">
        <v>3177</v>
      </c>
      <c r="S359" s="14" t="s">
        <v>255</v>
      </c>
      <c r="T359" s="14" t="s">
        <v>235</v>
      </c>
      <c r="U359" s="14" t="s">
        <v>236</v>
      </c>
      <c r="V359" s="14" t="s">
        <v>331</v>
      </c>
      <c r="W359" s="14" t="s">
        <v>819</v>
      </c>
      <c r="X359" s="14" t="s">
        <v>239</v>
      </c>
      <c r="Y359" s="15"/>
      <c r="Z359" s="15" t="n">
        <v>970</v>
      </c>
      <c r="AA359" s="14" t="n">
        <v>2848</v>
      </c>
      <c r="AB359" s="14" t="n">
        <v>7</v>
      </c>
      <c r="AC359" s="17" t="n">
        <v>0.0384329407981994</v>
      </c>
      <c r="AD359" s="18" t="n">
        <v>20.35</v>
      </c>
      <c r="AE359" s="18" t="n">
        <f aca="false">IF(AD359="","",MIN(AD359,100))</f>
        <v>20.35</v>
      </c>
      <c r="AF359" s="14" t="n">
        <v>98.4</v>
      </c>
      <c r="AG359" s="14" t="s">
        <v>224</v>
      </c>
      <c r="AH359" s="14" t="n">
        <v>4.9</v>
      </c>
      <c r="AI359" s="14" t="s">
        <v>223</v>
      </c>
      <c r="AJ359" s="14" t="s">
        <v>224</v>
      </c>
      <c r="AK359" s="14" t="s">
        <v>240</v>
      </c>
      <c r="AL359" s="19" t="n">
        <f aca="false">ROUND('Start Here'!$B$29*AH359+'Start Here'!$B$30*MIN(IF(AD359="",0,AD359),50)/5+IF(M359&lt;=30000,'Start Here'!$B$31,IF(M359&lt;=60000,'Start Here'!$B$32,0)),1)</f>
        <v>3.7</v>
      </c>
      <c r="AM359" s="6" t="s">
        <v>491</v>
      </c>
      <c r="AN359" s="6" t="s">
        <v>674</v>
      </c>
      <c r="AO359" s="6" t="s">
        <v>3182</v>
      </c>
      <c r="AP359" s="14" t="s">
        <v>3183</v>
      </c>
      <c r="AQ359" s="14" t="s">
        <v>2015</v>
      </c>
      <c r="AR359" s="20" t="s">
        <v>246</v>
      </c>
      <c r="AS359" s="20"/>
    </row>
    <row r="360" customFormat="false" ht="60" hidden="false" customHeight="true" outlineLevel="0" collapsed="false">
      <c r="A360" s="14" t="n">
        <v>359</v>
      </c>
      <c r="B360" s="14" t="s">
        <v>374</v>
      </c>
      <c r="C360" s="14" t="s">
        <v>221</v>
      </c>
      <c r="D360" s="14" t="s">
        <v>222</v>
      </c>
      <c r="E360" s="14" t="s">
        <v>34</v>
      </c>
      <c r="F360" s="14" t="s">
        <v>223</v>
      </c>
      <c r="G360" s="14" t="s">
        <v>224</v>
      </c>
      <c r="H360" s="14" t="s">
        <v>223</v>
      </c>
      <c r="I360" s="14" t="s">
        <v>322</v>
      </c>
      <c r="J360" s="14"/>
      <c r="K360" s="14" t="s">
        <v>3184</v>
      </c>
      <c r="L360" s="14" t="s">
        <v>3185</v>
      </c>
      <c r="M360" s="15" t="n">
        <v>36219</v>
      </c>
      <c r="N360" s="14" t="s">
        <v>462</v>
      </c>
      <c r="O360" s="14" t="s">
        <v>1357</v>
      </c>
      <c r="P360" s="16" t="s">
        <v>3186</v>
      </c>
      <c r="Q360" s="6" t="s">
        <v>3187</v>
      </c>
      <c r="R360" s="6" t="s">
        <v>3188</v>
      </c>
      <c r="S360" s="14" t="s">
        <v>255</v>
      </c>
      <c r="T360" s="14" t="s">
        <v>673</v>
      </c>
      <c r="U360" s="14" t="s">
        <v>236</v>
      </c>
      <c r="V360" s="14" t="s">
        <v>383</v>
      </c>
      <c r="W360" s="14"/>
      <c r="X360" s="14"/>
      <c r="Y360" s="15"/>
      <c r="Z360" s="15" t="n">
        <v>2428</v>
      </c>
      <c r="AA360" s="14" t="n">
        <v>295</v>
      </c>
      <c r="AB360" s="14" t="n">
        <v>128</v>
      </c>
      <c r="AC360" s="17" t="n">
        <v>0.0787155912642536</v>
      </c>
      <c r="AD360" s="18" t="n">
        <v>18.89</v>
      </c>
      <c r="AE360" s="18" t="n">
        <f aca="false">IF(AD360="","",MIN(AD360,100))</f>
        <v>18.89</v>
      </c>
      <c r="AF360" s="14" t="n">
        <v>100</v>
      </c>
      <c r="AG360" s="14" t="s">
        <v>224</v>
      </c>
      <c r="AH360" s="14" t="n">
        <v>3</v>
      </c>
      <c r="AI360" s="14" t="s">
        <v>224</v>
      </c>
      <c r="AJ360" s="14" t="s">
        <v>224</v>
      </c>
      <c r="AK360" s="14" t="s">
        <v>240</v>
      </c>
      <c r="AL360" s="19" t="n">
        <f aca="false">ROUND('Start Here'!$B$29*AH360+'Start Here'!$B$30*MIN(IF(AD360="",0,AD360),50)/5+IF(M360&lt;=30000,'Start Here'!$B$31,IF(M360&lt;=60000,'Start Here'!$B$32,0)),1)</f>
        <v>3.6</v>
      </c>
      <c r="AM360" s="6" t="s">
        <v>534</v>
      </c>
      <c r="AN360" s="6" t="s">
        <v>1969</v>
      </c>
      <c r="AO360" s="6"/>
      <c r="AP360" s="14"/>
      <c r="AQ360" s="14" t="s">
        <v>1672</v>
      </c>
      <c r="AR360" s="20" t="s">
        <v>246</v>
      </c>
      <c r="AS360" s="20"/>
    </row>
    <row r="361" customFormat="false" ht="60" hidden="false" customHeight="true" outlineLevel="0" collapsed="false">
      <c r="A361" s="14" t="n">
        <v>360</v>
      </c>
      <c r="B361" s="14" t="s">
        <v>374</v>
      </c>
      <c r="C361" s="14" t="s">
        <v>221</v>
      </c>
      <c r="D361" s="14" t="s">
        <v>222</v>
      </c>
      <c r="E361" s="14" t="s">
        <v>34</v>
      </c>
      <c r="F361" s="14" t="s">
        <v>223</v>
      </c>
      <c r="G361" s="14" t="s">
        <v>224</v>
      </c>
      <c r="H361" s="14" t="s">
        <v>223</v>
      </c>
      <c r="I361" s="14" t="s">
        <v>586</v>
      </c>
      <c r="J361" s="14" t="s">
        <v>1210</v>
      </c>
      <c r="K361" s="14" t="s">
        <v>3189</v>
      </c>
      <c r="L361" s="14" t="s">
        <v>3190</v>
      </c>
      <c r="M361" s="15" t="n">
        <v>95779</v>
      </c>
      <c r="N361" s="14" t="s">
        <v>400</v>
      </c>
      <c r="O361" s="14" t="s">
        <v>388</v>
      </c>
      <c r="P361" s="16" t="s">
        <v>3191</v>
      </c>
      <c r="Q361" s="6" t="s">
        <v>3192</v>
      </c>
      <c r="R361" s="6" t="s">
        <v>3193</v>
      </c>
      <c r="S361" s="14" t="s">
        <v>255</v>
      </c>
      <c r="T361" s="14" t="s">
        <v>235</v>
      </c>
      <c r="U361" s="14" t="s">
        <v>236</v>
      </c>
      <c r="V361" s="14" t="s">
        <v>331</v>
      </c>
      <c r="W361" s="14" t="s">
        <v>687</v>
      </c>
      <c r="X361" s="14" t="s">
        <v>688</v>
      </c>
      <c r="Y361" s="15"/>
      <c r="Z361" s="15" t="n">
        <v>1819</v>
      </c>
      <c r="AA361" s="14" t="n">
        <v>630</v>
      </c>
      <c r="AB361" s="14" t="n">
        <v>26</v>
      </c>
      <c r="AC361" s="17" t="n">
        <v>0.0288663400979706</v>
      </c>
      <c r="AD361" s="18" t="n">
        <v>10.05</v>
      </c>
      <c r="AE361" s="18" t="n">
        <f aca="false">IF(AD361="","",MIN(AD361,100))</f>
        <v>10.05</v>
      </c>
      <c r="AF361" s="14" t="n">
        <v>95.4</v>
      </c>
      <c r="AG361" s="14" t="s">
        <v>224</v>
      </c>
      <c r="AH361" s="14" t="n">
        <v>6</v>
      </c>
      <c r="AI361" s="14" t="s">
        <v>224</v>
      </c>
      <c r="AJ361" s="14" t="s">
        <v>224</v>
      </c>
      <c r="AK361" s="14" t="s">
        <v>240</v>
      </c>
      <c r="AL361" s="19" t="n">
        <f aca="false">ROUND('Start Here'!$B$29*AH361+'Start Here'!$B$30*MIN(IF(AD361="",0,AD361),50)/5+IF(M361&lt;=30000,'Start Here'!$B$31,IF(M361&lt;=60000,'Start Here'!$B$32,0)),1)</f>
        <v>3.6</v>
      </c>
      <c r="AM361" s="6" t="s">
        <v>491</v>
      </c>
      <c r="AN361" s="6" t="s">
        <v>1428</v>
      </c>
      <c r="AO361" s="6" t="s">
        <v>3194</v>
      </c>
      <c r="AP361" s="14" t="s">
        <v>3195</v>
      </c>
      <c r="AQ361" s="14" t="s">
        <v>718</v>
      </c>
      <c r="AR361" s="20" t="s">
        <v>246</v>
      </c>
      <c r="AS361" s="20"/>
    </row>
    <row r="362" customFormat="false" ht="60" hidden="false" customHeight="true" outlineLevel="0" collapsed="false">
      <c r="A362" s="14" t="n">
        <v>361</v>
      </c>
      <c r="B362" s="14" t="s">
        <v>220</v>
      </c>
      <c r="C362" s="14" t="s">
        <v>221</v>
      </c>
      <c r="D362" s="14" t="s">
        <v>222</v>
      </c>
      <c r="E362" s="14" t="s">
        <v>40</v>
      </c>
      <c r="F362" s="14" t="s">
        <v>224</v>
      </c>
      <c r="G362" s="14" t="s">
        <v>224</v>
      </c>
      <c r="H362" s="14" t="s">
        <v>224</v>
      </c>
      <c r="I362" s="14" t="s">
        <v>322</v>
      </c>
      <c r="J362" s="14"/>
      <c r="K362" s="14" t="s">
        <v>3196</v>
      </c>
      <c r="L362" s="14" t="s">
        <v>3197</v>
      </c>
      <c r="M362" s="15" t="n">
        <v>5036</v>
      </c>
      <c r="N362" s="14" t="s">
        <v>283</v>
      </c>
      <c r="O362" s="14" t="s">
        <v>3198</v>
      </c>
      <c r="P362" s="16" t="s">
        <v>3199</v>
      </c>
      <c r="Q362" s="6" t="s">
        <v>3200</v>
      </c>
      <c r="R362" s="6" t="s">
        <v>3201</v>
      </c>
      <c r="S362" s="14" t="s">
        <v>884</v>
      </c>
      <c r="T362" s="14" t="s">
        <v>235</v>
      </c>
      <c r="U362" s="14" t="s">
        <v>236</v>
      </c>
      <c r="V362" s="14" t="s">
        <v>237</v>
      </c>
      <c r="W362" s="14" t="s">
        <v>238</v>
      </c>
      <c r="X362" s="14" t="s">
        <v>239</v>
      </c>
      <c r="Y362" s="15" t="n">
        <v>1775</v>
      </c>
      <c r="Z362" s="15" t="n">
        <v>39</v>
      </c>
      <c r="AA362" s="14" t="n">
        <v>4</v>
      </c>
      <c r="AB362" s="14" t="n">
        <v>0</v>
      </c>
      <c r="AC362" s="17" t="n">
        <v>0.0242253521126761</v>
      </c>
      <c r="AD362" s="18" t="n">
        <v>1.64</v>
      </c>
      <c r="AE362" s="18" t="n">
        <f aca="false">IF(AD362="","",MIN(AD362,100))</f>
        <v>1.64</v>
      </c>
      <c r="AF362" s="14" t="n">
        <v>78.3</v>
      </c>
      <c r="AG362" s="14" t="s">
        <v>224</v>
      </c>
      <c r="AH362" s="14" t="n">
        <v>3</v>
      </c>
      <c r="AI362" s="14" t="s">
        <v>224</v>
      </c>
      <c r="AJ362" s="14" t="s">
        <v>224</v>
      </c>
      <c r="AK362" s="14" t="s">
        <v>240</v>
      </c>
      <c r="AL362" s="19" t="n">
        <f aca="false">ROUND('Start Here'!$B$29*AH362+'Start Here'!$B$30*MIN(IF(AD362="",0,AD362),50)/5+IF(M362&lt;=30000,'Start Here'!$B$31,IF(M362&lt;=60000,'Start Here'!$B$32,0)),1)</f>
        <v>3.6</v>
      </c>
      <c r="AM362" s="6" t="s">
        <v>1163</v>
      </c>
      <c r="AN362" s="6" t="s">
        <v>1669</v>
      </c>
      <c r="AO362" s="6" t="s">
        <v>3202</v>
      </c>
      <c r="AP362" s="14" t="s">
        <v>3203</v>
      </c>
      <c r="AQ362" s="14" t="s">
        <v>351</v>
      </c>
      <c r="AR362" s="20" t="s">
        <v>246</v>
      </c>
      <c r="AS362" s="20"/>
    </row>
    <row r="363" customFormat="false" ht="60" hidden="false" customHeight="true" outlineLevel="0" collapsed="false">
      <c r="A363" s="14" t="n">
        <v>362</v>
      </c>
      <c r="B363" s="14" t="s">
        <v>374</v>
      </c>
      <c r="C363" s="14" t="s">
        <v>221</v>
      </c>
      <c r="D363" s="14" t="s">
        <v>222</v>
      </c>
      <c r="E363" s="14" t="s">
        <v>38</v>
      </c>
      <c r="F363" s="14" t="s">
        <v>224</v>
      </c>
      <c r="G363" s="14" t="s">
        <v>224</v>
      </c>
      <c r="H363" s="14" t="s">
        <v>223</v>
      </c>
      <c r="I363" s="14" t="s">
        <v>586</v>
      </c>
      <c r="J363" s="14" t="s">
        <v>225</v>
      </c>
      <c r="K363" s="14" t="s">
        <v>3145</v>
      </c>
      <c r="L363" s="14" t="s">
        <v>3146</v>
      </c>
      <c r="M363" s="15" t="n">
        <v>56669</v>
      </c>
      <c r="N363" s="14" t="s">
        <v>400</v>
      </c>
      <c r="O363" s="14" t="s">
        <v>2070</v>
      </c>
      <c r="P363" s="16" t="s">
        <v>3204</v>
      </c>
      <c r="Q363" s="6" t="s">
        <v>3205</v>
      </c>
      <c r="R363" s="6" t="s">
        <v>3206</v>
      </c>
      <c r="S363" s="14" t="s">
        <v>234</v>
      </c>
      <c r="T363" s="14" t="s">
        <v>235</v>
      </c>
      <c r="U363" s="14" t="s">
        <v>236</v>
      </c>
      <c r="V363" s="14" t="s">
        <v>383</v>
      </c>
      <c r="W363" s="14"/>
      <c r="X363" s="14"/>
      <c r="Y363" s="15"/>
      <c r="Z363" s="15" t="n">
        <v>2538</v>
      </c>
      <c r="AA363" s="14" t="n">
        <v>148</v>
      </c>
      <c r="AB363" s="14" t="n">
        <v>173</v>
      </c>
      <c r="AC363" s="17" t="n">
        <v>0.0531067149623851</v>
      </c>
      <c r="AD363" s="18" t="n">
        <v>9.94</v>
      </c>
      <c r="AE363" s="18" t="n">
        <f aca="false">IF(AD363="","",MIN(AD363,100))</f>
        <v>9.94</v>
      </c>
      <c r="AF363" s="14" t="n">
        <v>97.5</v>
      </c>
      <c r="AG363" s="14" t="s">
        <v>224</v>
      </c>
      <c r="AH363" s="14" t="n">
        <v>4</v>
      </c>
      <c r="AI363" s="14" t="s">
        <v>224</v>
      </c>
      <c r="AJ363" s="14" t="s">
        <v>224</v>
      </c>
      <c r="AK363" s="14" t="s">
        <v>240</v>
      </c>
      <c r="AL363" s="19" t="n">
        <f aca="false">ROUND('Start Here'!$B$29*AH363+'Start Here'!$B$30*MIN(IF(AD363="",0,AD363),50)/5+IF(M363&lt;=30000,'Start Here'!$B$31,IF(M363&lt;=60000,'Start Here'!$B$32,0)),1)</f>
        <v>3.6</v>
      </c>
      <c r="AM363" s="6" t="s">
        <v>503</v>
      </c>
      <c r="AN363" s="6" t="s">
        <v>594</v>
      </c>
      <c r="AO363" s="6"/>
      <c r="AP363" s="14"/>
      <c r="AQ363" s="14" t="s">
        <v>1672</v>
      </c>
      <c r="AR363" s="20" t="s">
        <v>246</v>
      </c>
      <c r="AS363" s="20"/>
    </row>
    <row r="364" customFormat="false" ht="60" hidden="false" customHeight="true" outlineLevel="0" collapsed="false">
      <c r="A364" s="14" t="n">
        <v>363</v>
      </c>
      <c r="B364" s="14" t="s">
        <v>374</v>
      </c>
      <c r="C364" s="14" t="s">
        <v>221</v>
      </c>
      <c r="D364" s="14" t="s">
        <v>222</v>
      </c>
      <c r="E364" s="14" t="s">
        <v>34</v>
      </c>
      <c r="F364" s="14" t="s">
        <v>223</v>
      </c>
      <c r="G364" s="14" t="s">
        <v>224</v>
      </c>
      <c r="H364" s="14" t="s">
        <v>223</v>
      </c>
      <c r="I364" s="14" t="s">
        <v>225</v>
      </c>
      <c r="J364" s="14" t="s">
        <v>3207</v>
      </c>
      <c r="K364" s="14" t="s">
        <v>2007</v>
      </c>
      <c r="L364" s="14" t="s">
        <v>2008</v>
      </c>
      <c r="M364" s="15" t="n">
        <v>100285</v>
      </c>
      <c r="N364" s="14" t="s">
        <v>2009</v>
      </c>
      <c r="O364" s="14" t="s">
        <v>3208</v>
      </c>
      <c r="P364" s="16" t="s">
        <v>3209</v>
      </c>
      <c r="Q364" s="6" t="s">
        <v>3210</v>
      </c>
      <c r="R364" s="6" t="s">
        <v>3211</v>
      </c>
      <c r="S364" s="14" t="s">
        <v>330</v>
      </c>
      <c r="T364" s="14" t="s">
        <v>235</v>
      </c>
      <c r="U364" s="14" t="s">
        <v>236</v>
      </c>
      <c r="V364" s="14" t="s">
        <v>331</v>
      </c>
      <c r="W364" s="14" t="s">
        <v>275</v>
      </c>
      <c r="X364" s="14" t="s">
        <v>239</v>
      </c>
      <c r="Y364" s="15"/>
      <c r="Z364" s="15" t="n">
        <v>1425</v>
      </c>
      <c r="AA364" s="14" t="n">
        <v>2128</v>
      </c>
      <c r="AB364" s="14" t="n">
        <v>54</v>
      </c>
      <c r="AC364" s="17" t="n">
        <v>0.0362425143683936</v>
      </c>
      <c r="AD364" s="18" t="n">
        <v>29.9</v>
      </c>
      <c r="AE364" s="18" t="n">
        <f aca="false">IF(AD364="","",MIN(AD364,100))</f>
        <v>29.9</v>
      </c>
      <c r="AF364" s="14" t="n">
        <v>99.5</v>
      </c>
      <c r="AG364" s="14" t="s">
        <v>224</v>
      </c>
      <c r="AH364" s="14" t="n">
        <v>3.6</v>
      </c>
      <c r="AI364" s="14" t="s">
        <v>223</v>
      </c>
      <c r="AJ364" s="14" t="s">
        <v>224</v>
      </c>
      <c r="AK364" s="14" t="s">
        <v>240</v>
      </c>
      <c r="AL364" s="19" t="n">
        <f aca="false">ROUND('Start Here'!$B$29*AH364+'Start Here'!$B$30*MIN(IF(AD364="",0,AD364),50)/5+IF(M364&lt;=30000,'Start Here'!$B$31,IF(M364&lt;=60000,'Start Here'!$B$32,0)),1)</f>
        <v>3.6</v>
      </c>
      <c r="AM364" s="6" t="s">
        <v>1824</v>
      </c>
      <c r="AN364" s="6" t="s">
        <v>416</v>
      </c>
      <c r="AO364" s="6" t="s">
        <v>3212</v>
      </c>
      <c r="AP364" s="14" t="s">
        <v>3213</v>
      </c>
      <c r="AQ364" s="14" t="s">
        <v>2015</v>
      </c>
      <c r="AR364" s="20" t="s">
        <v>246</v>
      </c>
      <c r="AS364" s="20"/>
    </row>
    <row r="365" customFormat="false" ht="60" hidden="false" customHeight="true" outlineLevel="0" collapsed="false">
      <c r="A365" s="14" t="n">
        <v>364</v>
      </c>
      <c r="B365" s="14" t="s">
        <v>220</v>
      </c>
      <c r="C365" s="14" t="s">
        <v>221</v>
      </c>
      <c r="D365" s="14" t="s">
        <v>222</v>
      </c>
      <c r="E365" s="14" t="s">
        <v>40</v>
      </c>
      <c r="F365" s="14" t="s">
        <v>224</v>
      </c>
      <c r="G365" s="14" t="s">
        <v>224</v>
      </c>
      <c r="H365" s="14" t="s">
        <v>224</v>
      </c>
      <c r="I365" s="14" t="s">
        <v>225</v>
      </c>
      <c r="J365" s="14" t="s">
        <v>1174</v>
      </c>
      <c r="K365" s="14" t="s">
        <v>1301</v>
      </c>
      <c r="L365" s="14" t="s">
        <v>3139</v>
      </c>
      <c r="M365" s="15" t="n">
        <v>66586</v>
      </c>
      <c r="N365" s="14" t="s">
        <v>400</v>
      </c>
      <c r="O365" s="14" t="s">
        <v>837</v>
      </c>
      <c r="P365" s="16" t="s">
        <v>3214</v>
      </c>
      <c r="Q365" s="6" t="s">
        <v>3215</v>
      </c>
      <c r="R365" s="6" t="s">
        <v>3216</v>
      </c>
      <c r="S365" s="14" t="s">
        <v>569</v>
      </c>
      <c r="T365" s="14" t="s">
        <v>235</v>
      </c>
      <c r="U365" s="14" t="s">
        <v>236</v>
      </c>
      <c r="V365" s="14" t="s">
        <v>237</v>
      </c>
      <c r="W365" s="14" t="s">
        <v>238</v>
      </c>
      <c r="X365" s="14" t="s">
        <v>258</v>
      </c>
      <c r="Y365" s="15" t="n">
        <v>9583</v>
      </c>
      <c r="Z365" s="15" t="n">
        <v>138</v>
      </c>
      <c r="AA365" s="14" t="n">
        <v>18</v>
      </c>
      <c r="AB365" s="14" t="n">
        <v>6</v>
      </c>
      <c r="AC365" s="17" t="n">
        <v>0.0169049358238547</v>
      </c>
      <c r="AD365" s="18" t="n">
        <v>1.51</v>
      </c>
      <c r="AE365" s="18" t="n">
        <f aca="false">IF(AD365="","",MIN(AD365,100))</f>
        <v>1.51</v>
      </c>
      <c r="AF365" s="14" t="n">
        <v>74.8</v>
      </c>
      <c r="AG365" s="14" t="s">
        <v>224</v>
      </c>
      <c r="AH365" s="14" t="n">
        <v>7</v>
      </c>
      <c r="AI365" s="14" t="s">
        <v>224</v>
      </c>
      <c r="AJ365" s="14" t="s">
        <v>224</v>
      </c>
      <c r="AK365" s="14" t="s">
        <v>240</v>
      </c>
      <c r="AL365" s="19" t="n">
        <f aca="false">ROUND('Start Here'!$B$29*AH365+'Start Here'!$B$30*MIN(IF(AD365="",0,AD365),50)/5+IF(M365&lt;=30000,'Start Here'!$B$31,IF(M365&lt;=60000,'Start Here'!$B$32,0)),1)</f>
        <v>3.6</v>
      </c>
      <c r="AM365" s="6" t="s">
        <v>2915</v>
      </c>
      <c r="AN365" s="6" t="s">
        <v>3217</v>
      </c>
      <c r="AO365" s="6" t="s">
        <v>3218</v>
      </c>
      <c r="AP365" s="14" t="s">
        <v>3219</v>
      </c>
      <c r="AQ365" s="14" t="s">
        <v>351</v>
      </c>
      <c r="AR365" s="20" t="s">
        <v>246</v>
      </c>
      <c r="AS365" s="20"/>
    </row>
    <row r="366" customFormat="false" ht="60" hidden="false" customHeight="true" outlineLevel="0" collapsed="false">
      <c r="A366" s="14" t="n">
        <v>365</v>
      </c>
      <c r="B366" s="14" t="s">
        <v>374</v>
      </c>
      <c r="C366" s="14" t="s">
        <v>221</v>
      </c>
      <c r="D366" s="14" t="s">
        <v>222</v>
      </c>
      <c r="E366" s="14" t="s">
        <v>34</v>
      </c>
      <c r="F366" s="14" t="s">
        <v>223</v>
      </c>
      <c r="G366" s="14" t="s">
        <v>224</v>
      </c>
      <c r="H366" s="14" t="s">
        <v>224</v>
      </c>
      <c r="I366" s="14" t="s">
        <v>364</v>
      </c>
      <c r="J366" s="14" t="s">
        <v>225</v>
      </c>
      <c r="K366" s="14" t="s">
        <v>2828</v>
      </c>
      <c r="L366" s="14" t="s">
        <v>2829</v>
      </c>
      <c r="M366" s="15" t="n">
        <v>50554</v>
      </c>
      <c r="N366" s="14" t="s">
        <v>400</v>
      </c>
      <c r="O366" s="14" t="s">
        <v>2889</v>
      </c>
      <c r="P366" s="16" t="s">
        <v>3220</v>
      </c>
      <c r="Q366" s="6" t="s">
        <v>3221</v>
      </c>
      <c r="R366" s="6" t="s">
        <v>3222</v>
      </c>
      <c r="S366" s="14" t="s">
        <v>234</v>
      </c>
      <c r="T366" s="14" t="s">
        <v>673</v>
      </c>
      <c r="U366" s="14" t="s">
        <v>236</v>
      </c>
      <c r="V366" s="14" t="s">
        <v>383</v>
      </c>
      <c r="W366" s="14"/>
      <c r="X366" s="14"/>
      <c r="Y366" s="15"/>
      <c r="Z366" s="15" t="n">
        <v>753</v>
      </c>
      <c r="AA366" s="14" t="n">
        <v>104</v>
      </c>
      <c r="AB366" s="14" t="n">
        <v>80</v>
      </c>
      <c r="AC366" s="17" t="n">
        <v>0.0185346362305653</v>
      </c>
      <c r="AD366" s="18" t="n">
        <v>17.93</v>
      </c>
      <c r="AE366" s="18" t="n">
        <f aca="false">IF(AD366="","",MIN(AD366,100))</f>
        <v>17.93</v>
      </c>
      <c r="AF366" s="14" t="n">
        <v>99</v>
      </c>
      <c r="AG366" s="14" t="s">
        <v>224</v>
      </c>
      <c r="AH366" s="14" t="n">
        <v>3</v>
      </c>
      <c r="AI366" s="14" t="s">
        <v>224</v>
      </c>
      <c r="AJ366" s="14" t="s">
        <v>224</v>
      </c>
      <c r="AK366" s="14" t="s">
        <v>240</v>
      </c>
      <c r="AL366" s="19" t="n">
        <f aca="false">ROUND('Start Here'!$B$29*AH366+'Start Here'!$B$30*MIN(IF(AD366="",0,AD366),50)/5+IF(M366&lt;=30000,'Start Here'!$B$31,IF(M366&lt;=60000,'Start Here'!$B$32,0)),1)</f>
        <v>3.6</v>
      </c>
      <c r="AM366" s="6" t="s">
        <v>503</v>
      </c>
      <c r="AN366" s="6" t="s">
        <v>1191</v>
      </c>
      <c r="AO366" s="6"/>
      <c r="AP366" s="14"/>
      <c r="AQ366" s="14" t="s">
        <v>1184</v>
      </c>
      <c r="AR366" s="20" t="s">
        <v>246</v>
      </c>
      <c r="AS366" s="20"/>
    </row>
    <row r="367" customFormat="false" ht="60" hidden="false" customHeight="true" outlineLevel="0" collapsed="false">
      <c r="A367" s="14" t="n">
        <v>366</v>
      </c>
      <c r="B367" s="14" t="s">
        <v>374</v>
      </c>
      <c r="C367" s="14" t="s">
        <v>221</v>
      </c>
      <c r="D367" s="14" t="s">
        <v>222</v>
      </c>
      <c r="E367" s="14" t="s">
        <v>34</v>
      </c>
      <c r="F367" s="14" t="s">
        <v>223</v>
      </c>
      <c r="G367" s="14" t="s">
        <v>224</v>
      </c>
      <c r="H367" s="14" t="s">
        <v>224</v>
      </c>
      <c r="I367" s="14" t="s">
        <v>225</v>
      </c>
      <c r="J367" s="14" t="s">
        <v>971</v>
      </c>
      <c r="K367" s="14" t="s">
        <v>2007</v>
      </c>
      <c r="L367" s="14" t="s">
        <v>2008</v>
      </c>
      <c r="M367" s="15" t="n">
        <v>100285</v>
      </c>
      <c r="N367" s="14" t="s">
        <v>2009</v>
      </c>
      <c r="O367" s="14" t="s">
        <v>2532</v>
      </c>
      <c r="P367" s="16" t="s">
        <v>3223</v>
      </c>
      <c r="Q367" s="6" t="s">
        <v>3224</v>
      </c>
      <c r="R367" s="6" t="s">
        <v>3225</v>
      </c>
      <c r="S367" s="14" t="s">
        <v>255</v>
      </c>
      <c r="T367" s="14" t="s">
        <v>235</v>
      </c>
      <c r="U367" s="14" t="s">
        <v>236</v>
      </c>
      <c r="V367" s="14" t="s">
        <v>331</v>
      </c>
      <c r="W367" s="14" t="s">
        <v>257</v>
      </c>
      <c r="X367" s="14" t="s">
        <v>239</v>
      </c>
      <c r="Y367" s="15"/>
      <c r="Z367" s="15" t="n">
        <v>859</v>
      </c>
      <c r="AA367" s="14" t="n">
        <v>3036</v>
      </c>
      <c r="AB367" s="14" t="n">
        <v>29</v>
      </c>
      <c r="AC367" s="17" t="n">
        <v>0.0394276757365058</v>
      </c>
      <c r="AD367" s="18" t="n">
        <v>18.09</v>
      </c>
      <c r="AE367" s="18" t="n">
        <f aca="false">IF(AD367="","",MIN(AD367,100))</f>
        <v>18.09</v>
      </c>
      <c r="AF367" s="14" t="n">
        <v>98.1</v>
      </c>
      <c r="AG367" s="14" t="s">
        <v>224</v>
      </c>
      <c r="AH367" s="14" t="n">
        <v>4.9</v>
      </c>
      <c r="AI367" s="14" t="s">
        <v>223</v>
      </c>
      <c r="AJ367" s="14" t="s">
        <v>224</v>
      </c>
      <c r="AK367" s="14" t="s">
        <v>240</v>
      </c>
      <c r="AL367" s="19" t="n">
        <f aca="false">ROUND('Start Here'!$B$29*AH367+'Start Here'!$B$30*MIN(IF(AD367="",0,AD367),50)/5+IF(M367&lt;=30000,'Start Here'!$B$31,IF(M367&lt;=60000,'Start Here'!$B$32,0)),1)</f>
        <v>3.5</v>
      </c>
      <c r="AM367" s="6" t="s">
        <v>491</v>
      </c>
      <c r="AN367" s="6" t="s">
        <v>674</v>
      </c>
      <c r="AO367" s="6" t="s">
        <v>3226</v>
      </c>
      <c r="AP367" s="14" t="s">
        <v>3227</v>
      </c>
      <c r="AQ367" s="14" t="s">
        <v>2015</v>
      </c>
      <c r="AR367" s="20" t="s">
        <v>246</v>
      </c>
      <c r="AS367" s="20"/>
    </row>
    <row r="368" customFormat="false" ht="60" hidden="false" customHeight="true" outlineLevel="0" collapsed="false">
      <c r="A368" s="14" t="n">
        <v>367</v>
      </c>
      <c r="B368" s="14" t="s">
        <v>374</v>
      </c>
      <c r="C368" s="14" t="s">
        <v>221</v>
      </c>
      <c r="D368" s="14" t="s">
        <v>222</v>
      </c>
      <c r="E368" s="14" t="s">
        <v>38</v>
      </c>
      <c r="F368" s="14" t="s">
        <v>224</v>
      </c>
      <c r="G368" s="14" t="s">
        <v>224</v>
      </c>
      <c r="H368" s="14" t="s">
        <v>223</v>
      </c>
      <c r="I368" s="14" t="s">
        <v>225</v>
      </c>
      <c r="J368" s="14" t="s">
        <v>322</v>
      </c>
      <c r="K368" s="14" t="s">
        <v>2764</v>
      </c>
      <c r="L368" s="14" t="s">
        <v>2765</v>
      </c>
      <c r="M368" s="15" t="n">
        <v>56288</v>
      </c>
      <c r="N368" s="14" t="s">
        <v>400</v>
      </c>
      <c r="O368" s="14" t="s">
        <v>3228</v>
      </c>
      <c r="P368" s="16" t="s">
        <v>3229</v>
      </c>
      <c r="Q368" s="6" t="s">
        <v>3230</v>
      </c>
      <c r="R368" s="6" t="s">
        <v>3231</v>
      </c>
      <c r="S368" s="14" t="s">
        <v>234</v>
      </c>
      <c r="T368" s="14" t="s">
        <v>235</v>
      </c>
      <c r="U368" s="14" t="s">
        <v>236</v>
      </c>
      <c r="V368" s="14" t="s">
        <v>331</v>
      </c>
      <c r="W368" s="14" t="s">
        <v>275</v>
      </c>
      <c r="X368" s="14" t="s">
        <v>333</v>
      </c>
      <c r="Y368" s="15"/>
      <c r="Z368" s="15" t="n">
        <v>2562</v>
      </c>
      <c r="AA368" s="14" t="n">
        <v>341</v>
      </c>
      <c r="AB368" s="14" t="n">
        <v>38</v>
      </c>
      <c r="AC368" s="17" t="n">
        <v>0.0522491472427516</v>
      </c>
      <c r="AD368" s="18" t="n">
        <v>8.87</v>
      </c>
      <c r="AE368" s="18" t="n">
        <f aca="false">IF(AD368="","",MIN(AD368,100))</f>
        <v>8.87</v>
      </c>
      <c r="AF368" s="14" t="n">
        <v>99</v>
      </c>
      <c r="AG368" s="14" t="s">
        <v>224</v>
      </c>
      <c r="AH368" s="14" t="n">
        <v>4</v>
      </c>
      <c r="AI368" s="14" t="s">
        <v>224</v>
      </c>
      <c r="AJ368" s="14" t="s">
        <v>224</v>
      </c>
      <c r="AK368" s="14" t="s">
        <v>453</v>
      </c>
      <c r="AL368" s="19" t="n">
        <f aca="false">ROUND('Start Here'!$B$29*AH368+'Start Here'!$B$30*MIN(IF(AD368="",0,AD368),50)/5+IF(M368&lt;=30000,'Start Here'!$B$31,IF(M368&lt;=60000,'Start Here'!$B$32,0)),1)</f>
        <v>3.5</v>
      </c>
      <c r="AM368" s="6" t="s">
        <v>958</v>
      </c>
      <c r="AN368" s="6" t="s">
        <v>3232</v>
      </c>
      <c r="AO368" s="6" t="s">
        <v>3233</v>
      </c>
      <c r="AP368" s="14" t="s">
        <v>3234</v>
      </c>
      <c r="AQ368" s="14" t="s">
        <v>2772</v>
      </c>
      <c r="AR368" s="20" t="s">
        <v>246</v>
      </c>
      <c r="AS368" s="20"/>
    </row>
    <row r="369" customFormat="false" ht="60" hidden="false" customHeight="true" outlineLevel="0" collapsed="false">
      <c r="A369" s="14" t="n">
        <v>368</v>
      </c>
      <c r="B369" s="14" t="s">
        <v>247</v>
      </c>
      <c r="C369" s="14" t="s">
        <v>221</v>
      </c>
      <c r="D369" s="14" t="s">
        <v>222</v>
      </c>
      <c r="E369" s="14" t="s">
        <v>34</v>
      </c>
      <c r="F369" s="14" t="s">
        <v>223</v>
      </c>
      <c r="G369" s="14" t="s">
        <v>224</v>
      </c>
      <c r="H369" s="14" t="s">
        <v>224</v>
      </c>
      <c r="I369" s="14" t="s">
        <v>338</v>
      </c>
      <c r="J369" s="14" t="s">
        <v>472</v>
      </c>
      <c r="K369" s="14" t="s">
        <v>3235</v>
      </c>
      <c r="L369" s="14" t="s">
        <v>3236</v>
      </c>
      <c r="M369" s="15" t="n">
        <v>77188</v>
      </c>
      <c r="N369" s="14" t="s">
        <v>400</v>
      </c>
      <c r="O369" s="14" t="s">
        <v>3237</v>
      </c>
      <c r="P369" s="16" t="s">
        <v>3238</v>
      </c>
      <c r="Q369" s="6" t="s">
        <v>3239</v>
      </c>
      <c r="R369" s="6" t="s">
        <v>3240</v>
      </c>
      <c r="S369" s="14" t="s">
        <v>330</v>
      </c>
      <c r="T369" s="14" t="s">
        <v>235</v>
      </c>
      <c r="U369" s="14" t="s">
        <v>236</v>
      </c>
      <c r="V369" s="14" t="s">
        <v>288</v>
      </c>
      <c r="W369" s="14" t="s">
        <v>257</v>
      </c>
      <c r="X369" s="14" t="s">
        <v>239</v>
      </c>
      <c r="Y369" s="15" t="n">
        <v>108494</v>
      </c>
      <c r="Z369" s="15" t="n">
        <v>148</v>
      </c>
      <c r="AA369" s="14" t="n">
        <v>93</v>
      </c>
      <c r="AB369" s="14"/>
      <c r="AC369" s="17" t="n">
        <v>0.00222132099470939</v>
      </c>
      <c r="AD369" s="18" t="n">
        <v>12.83</v>
      </c>
      <c r="AE369" s="18" t="n">
        <f aca="false">IF(AD369="","",MIN(AD369,100))</f>
        <v>12.83</v>
      </c>
      <c r="AF369" s="14" t="n">
        <v>97.7</v>
      </c>
      <c r="AG369" s="14" t="s">
        <v>224</v>
      </c>
      <c r="AH369" s="14" t="n">
        <v>5.5</v>
      </c>
      <c r="AI369" s="14" t="s">
        <v>224</v>
      </c>
      <c r="AJ369" s="14" t="s">
        <v>223</v>
      </c>
      <c r="AK369" s="14" t="s">
        <v>490</v>
      </c>
      <c r="AL369" s="19" t="n">
        <f aca="false">ROUND('Start Here'!$B$29*AH369+'Start Here'!$B$30*MIN(IF(AD369="",0,AD369),50)/5+IF(M369&lt;=30000,'Start Here'!$B$31,IF(M369&lt;=60000,'Start Here'!$B$32,0)),1)</f>
        <v>3.5</v>
      </c>
      <c r="AM369" s="6" t="s">
        <v>1824</v>
      </c>
      <c r="AN369" s="6" t="s">
        <v>3241</v>
      </c>
      <c r="AO369" s="6" t="s">
        <v>3242</v>
      </c>
      <c r="AP369" s="14" t="s">
        <v>3243</v>
      </c>
      <c r="AQ369" s="14" t="s">
        <v>263</v>
      </c>
      <c r="AR369" s="20" t="s">
        <v>246</v>
      </c>
      <c r="AS369" s="20"/>
    </row>
    <row r="370" customFormat="false" ht="60" hidden="false" customHeight="true" outlineLevel="0" collapsed="false">
      <c r="A370" s="14" t="n">
        <v>369</v>
      </c>
      <c r="B370" s="14" t="s">
        <v>374</v>
      </c>
      <c r="C370" s="14" t="s">
        <v>221</v>
      </c>
      <c r="D370" s="14" t="s">
        <v>222</v>
      </c>
      <c r="E370" s="14" t="s">
        <v>34</v>
      </c>
      <c r="F370" s="14" t="s">
        <v>223</v>
      </c>
      <c r="G370" s="14" t="s">
        <v>224</v>
      </c>
      <c r="H370" s="14" t="s">
        <v>223</v>
      </c>
      <c r="I370" s="14" t="s">
        <v>225</v>
      </c>
      <c r="J370" s="14" t="s">
        <v>3244</v>
      </c>
      <c r="K370" s="14" t="s">
        <v>3245</v>
      </c>
      <c r="L370" s="14" t="s">
        <v>3246</v>
      </c>
      <c r="M370" s="15" t="n">
        <v>61406</v>
      </c>
      <c r="N370" s="14" t="s">
        <v>400</v>
      </c>
      <c r="O370" s="14" t="s">
        <v>3247</v>
      </c>
      <c r="P370" s="16" t="s">
        <v>3248</v>
      </c>
      <c r="Q370" s="6" t="s">
        <v>3249</v>
      </c>
      <c r="R370" s="6" t="s">
        <v>3250</v>
      </c>
      <c r="S370" s="14" t="s">
        <v>255</v>
      </c>
      <c r="T370" s="14" t="s">
        <v>235</v>
      </c>
      <c r="U370" s="14" t="s">
        <v>236</v>
      </c>
      <c r="V370" s="14" t="s">
        <v>331</v>
      </c>
      <c r="W370" s="14" t="s">
        <v>332</v>
      </c>
      <c r="X370" s="14" t="s">
        <v>546</v>
      </c>
      <c r="Y370" s="15"/>
      <c r="Z370" s="15" t="n">
        <v>2578</v>
      </c>
      <c r="AA370" s="14" t="n">
        <v>280</v>
      </c>
      <c r="AB370" s="14" t="n">
        <v>154</v>
      </c>
      <c r="AC370" s="17" t="n">
        <v>0.0569850158922355</v>
      </c>
      <c r="AD370" s="18" t="n">
        <v>16.78</v>
      </c>
      <c r="AE370" s="18" t="n">
        <f aca="false">IF(AD370="","",MIN(AD370,100))</f>
        <v>16.78</v>
      </c>
      <c r="AF370" s="14" t="n">
        <v>97</v>
      </c>
      <c r="AG370" s="14" t="s">
        <v>224</v>
      </c>
      <c r="AH370" s="14" t="n">
        <v>5</v>
      </c>
      <c r="AI370" s="14" t="s">
        <v>224</v>
      </c>
      <c r="AJ370" s="14" t="s">
        <v>224</v>
      </c>
      <c r="AK370" s="14" t="s">
        <v>240</v>
      </c>
      <c r="AL370" s="19" t="n">
        <f aca="false">ROUND('Start Here'!$B$29*AH370+'Start Here'!$B$30*MIN(IF(AD370="",0,AD370),50)/5+IF(M370&lt;=30000,'Start Here'!$B$31,IF(M370&lt;=60000,'Start Here'!$B$32,0)),1)</f>
        <v>3.5</v>
      </c>
      <c r="AM370" s="6" t="s">
        <v>534</v>
      </c>
      <c r="AN370" s="6" t="s">
        <v>674</v>
      </c>
      <c r="AO370" s="6" t="s">
        <v>3251</v>
      </c>
      <c r="AP370" s="14" t="s">
        <v>3252</v>
      </c>
      <c r="AQ370" s="14" t="s">
        <v>2015</v>
      </c>
      <c r="AR370" s="20" t="s">
        <v>246</v>
      </c>
      <c r="AS370" s="20"/>
    </row>
    <row r="371" customFormat="false" ht="60" hidden="false" customHeight="true" outlineLevel="0" collapsed="false">
      <c r="A371" s="14" t="n">
        <v>370</v>
      </c>
      <c r="B371" s="14" t="s">
        <v>247</v>
      </c>
      <c r="C371" s="14" t="s">
        <v>221</v>
      </c>
      <c r="D371" s="14" t="s">
        <v>222</v>
      </c>
      <c r="E371" s="14" t="s">
        <v>40</v>
      </c>
      <c r="F371" s="14" t="s">
        <v>224</v>
      </c>
      <c r="G371" s="14" t="s">
        <v>224</v>
      </c>
      <c r="H371" s="14" t="s">
        <v>224</v>
      </c>
      <c r="I371" s="14" t="s">
        <v>225</v>
      </c>
      <c r="J371" s="14" t="s">
        <v>1962</v>
      </c>
      <c r="K371" s="14" t="s">
        <v>2817</v>
      </c>
      <c r="L371" s="14" t="s">
        <v>2818</v>
      </c>
      <c r="M371" s="15" t="n">
        <v>33656</v>
      </c>
      <c r="N371" s="14" t="s">
        <v>462</v>
      </c>
      <c r="O371" s="14" t="s">
        <v>3253</v>
      </c>
      <c r="P371" s="16" t="s">
        <v>3254</v>
      </c>
      <c r="Q371" s="6" t="s">
        <v>3255</v>
      </c>
      <c r="R371" s="6" t="s">
        <v>3256</v>
      </c>
      <c r="S371" s="14" t="s">
        <v>330</v>
      </c>
      <c r="T371" s="14" t="s">
        <v>235</v>
      </c>
      <c r="U371" s="14" t="s">
        <v>236</v>
      </c>
      <c r="V371" s="14" t="s">
        <v>256</v>
      </c>
      <c r="W371" s="14" t="s">
        <v>275</v>
      </c>
      <c r="X371" s="14" t="s">
        <v>333</v>
      </c>
      <c r="Y371" s="15" t="n">
        <v>131843</v>
      </c>
      <c r="Z371" s="15" t="n">
        <v>3</v>
      </c>
      <c r="AA371" s="14" t="n">
        <v>7</v>
      </c>
      <c r="AB371" s="14"/>
      <c r="AC371" s="17" t="n">
        <v>7.58477886577217E-005</v>
      </c>
      <c r="AD371" s="18" t="n">
        <v>7.77</v>
      </c>
      <c r="AE371" s="18" t="n">
        <f aca="false">IF(AD371="","",MIN(AD371,100))</f>
        <v>7.77</v>
      </c>
      <c r="AF371" s="14" t="n">
        <v>80.2</v>
      </c>
      <c r="AG371" s="14" t="s">
        <v>224</v>
      </c>
      <c r="AH371" s="14" t="n">
        <v>4</v>
      </c>
      <c r="AI371" s="14" t="s">
        <v>224</v>
      </c>
      <c r="AJ371" s="14" t="s">
        <v>224</v>
      </c>
      <c r="AK371" s="14" t="s">
        <v>453</v>
      </c>
      <c r="AL371" s="19" t="n">
        <f aca="false">ROUND('Start Here'!$B$29*AH371+'Start Here'!$B$30*MIN(IF(AD371="",0,AD371),50)/5+IF(M371&lt;=30000,'Start Here'!$B$31,IF(M371&lt;=60000,'Start Here'!$B$32,0)),1)</f>
        <v>3.5</v>
      </c>
      <c r="AM371" s="6" t="s">
        <v>1455</v>
      </c>
      <c r="AN371" s="6" t="s">
        <v>773</v>
      </c>
      <c r="AO371" s="6" t="s">
        <v>3257</v>
      </c>
      <c r="AP371" s="14" t="s">
        <v>3258</v>
      </c>
      <c r="AQ371" s="14" t="s">
        <v>1203</v>
      </c>
      <c r="AR371" s="20" t="s">
        <v>246</v>
      </c>
      <c r="AS371" s="20"/>
    </row>
    <row r="372" customFormat="false" ht="60" hidden="false" customHeight="true" outlineLevel="0" collapsed="false">
      <c r="A372" s="14" t="n">
        <v>371</v>
      </c>
      <c r="B372" s="14" t="s">
        <v>374</v>
      </c>
      <c r="C372" s="14" t="s">
        <v>221</v>
      </c>
      <c r="D372" s="14" t="s">
        <v>222</v>
      </c>
      <c r="E372" s="14" t="s">
        <v>38</v>
      </c>
      <c r="F372" s="14" t="s">
        <v>224</v>
      </c>
      <c r="G372" s="14" t="s">
        <v>224</v>
      </c>
      <c r="H372" s="14" t="s">
        <v>223</v>
      </c>
      <c r="I372" s="14" t="s">
        <v>586</v>
      </c>
      <c r="J372" s="14" t="s">
        <v>225</v>
      </c>
      <c r="K372" s="14" t="s">
        <v>1799</v>
      </c>
      <c r="L372" s="14" t="s">
        <v>3259</v>
      </c>
      <c r="M372" s="15" t="n">
        <v>88690</v>
      </c>
      <c r="N372" s="14" t="s">
        <v>400</v>
      </c>
      <c r="O372" s="14" t="s">
        <v>1020</v>
      </c>
      <c r="P372" s="16" t="s">
        <v>3260</v>
      </c>
      <c r="Q372" s="6" t="s">
        <v>3261</v>
      </c>
      <c r="R372" s="6" t="s">
        <v>3262</v>
      </c>
      <c r="S372" s="14" t="s">
        <v>255</v>
      </c>
      <c r="T372" s="14" t="s">
        <v>235</v>
      </c>
      <c r="U372" s="14" t="s">
        <v>236</v>
      </c>
      <c r="V372" s="14" t="s">
        <v>331</v>
      </c>
      <c r="W372" s="14" t="s">
        <v>238</v>
      </c>
      <c r="X372" s="14" t="s">
        <v>333</v>
      </c>
      <c r="Y372" s="15"/>
      <c r="Z372" s="15" t="n">
        <v>2898</v>
      </c>
      <c r="AA372" s="14" t="n">
        <v>188</v>
      </c>
      <c r="AB372" s="14" t="n">
        <v>79</v>
      </c>
      <c r="AC372" s="17" t="n">
        <v>0.0357582673340037</v>
      </c>
      <c r="AD372" s="18" t="n">
        <v>7.27</v>
      </c>
      <c r="AE372" s="18" t="n">
        <f aca="false">IF(AD372="","",MIN(AD372,100))</f>
        <v>7.27</v>
      </c>
      <c r="AF372" s="14" t="n">
        <v>100</v>
      </c>
      <c r="AG372" s="14" t="s">
        <v>224</v>
      </c>
      <c r="AH372" s="14" t="n">
        <v>6</v>
      </c>
      <c r="AI372" s="14" t="s">
        <v>224</v>
      </c>
      <c r="AJ372" s="14" t="s">
        <v>224</v>
      </c>
      <c r="AK372" s="14" t="s">
        <v>240</v>
      </c>
      <c r="AL372" s="19" t="n">
        <f aca="false">ROUND('Start Here'!$B$29*AH372+'Start Here'!$B$30*MIN(IF(AD372="",0,AD372),50)/5+IF(M372&lt;=30000,'Start Here'!$B$31,IF(M372&lt;=60000,'Start Here'!$B$32,0)),1)</f>
        <v>3.4</v>
      </c>
      <c r="AM372" s="6" t="s">
        <v>534</v>
      </c>
      <c r="AN372" s="6" t="s">
        <v>1428</v>
      </c>
      <c r="AO372" s="6" t="s">
        <v>3263</v>
      </c>
      <c r="AP372" s="14" t="s">
        <v>3264</v>
      </c>
      <c r="AQ372" s="14" t="s">
        <v>1672</v>
      </c>
      <c r="AR372" s="20" t="s">
        <v>246</v>
      </c>
      <c r="AS372" s="20"/>
    </row>
    <row r="373" customFormat="false" ht="60" hidden="false" customHeight="true" outlineLevel="0" collapsed="false">
      <c r="A373" s="14" t="n">
        <v>372</v>
      </c>
      <c r="B373" s="14" t="s">
        <v>374</v>
      </c>
      <c r="C373" s="14" t="s">
        <v>221</v>
      </c>
      <c r="D373" s="14" t="s">
        <v>222</v>
      </c>
      <c r="E373" s="14" t="s">
        <v>38</v>
      </c>
      <c r="F373" s="14" t="s">
        <v>224</v>
      </c>
      <c r="G373" s="14" t="s">
        <v>224</v>
      </c>
      <c r="H373" s="14" t="s">
        <v>223</v>
      </c>
      <c r="I373" s="14" t="s">
        <v>264</v>
      </c>
      <c r="J373" s="14" t="s">
        <v>878</v>
      </c>
      <c r="K373" s="14" t="s">
        <v>2240</v>
      </c>
      <c r="L373" s="14" t="s">
        <v>2241</v>
      </c>
      <c r="M373" s="15" t="n">
        <v>68759</v>
      </c>
      <c r="N373" s="14" t="s">
        <v>400</v>
      </c>
      <c r="O373" s="14" t="s">
        <v>3198</v>
      </c>
      <c r="P373" s="16" t="s">
        <v>3265</v>
      </c>
      <c r="Q373" s="6" t="s">
        <v>3266</v>
      </c>
      <c r="R373" s="6" t="s">
        <v>3267</v>
      </c>
      <c r="S373" s="14" t="s">
        <v>255</v>
      </c>
      <c r="T373" s="14" t="s">
        <v>235</v>
      </c>
      <c r="U373" s="14" t="s">
        <v>236</v>
      </c>
      <c r="V373" s="14" t="s">
        <v>288</v>
      </c>
      <c r="W373" s="14" t="s">
        <v>257</v>
      </c>
      <c r="X373" s="14" t="s">
        <v>258</v>
      </c>
      <c r="Y373" s="15"/>
      <c r="Z373" s="15" t="n">
        <v>1365</v>
      </c>
      <c r="AA373" s="14" t="n">
        <v>137</v>
      </c>
      <c r="AB373" s="14" t="n">
        <v>107</v>
      </c>
      <c r="AC373" s="17" t="n">
        <v>0.0242140589023161</v>
      </c>
      <c r="AD373" s="18" t="n">
        <v>7.14</v>
      </c>
      <c r="AE373" s="18" t="n">
        <f aca="false">IF(AD373="","",MIN(AD373,100))</f>
        <v>7.14</v>
      </c>
      <c r="AF373" s="14" t="n">
        <v>98.1</v>
      </c>
      <c r="AG373" s="14" t="s">
        <v>224</v>
      </c>
      <c r="AH373" s="14" t="n">
        <v>6</v>
      </c>
      <c r="AI373" s="14" t="s">
        <v>224</v>
      </c>
      <c r="AJ373" s="14" t="s">
        <v>224</v>
      </c>
      <c r="AK373" s="14" t="s">
        <v>240</v>
      </c>
      <c r="AL373" s="19" t="n">
        <f aca="false">ROUND('Start Here'!$B$29*AH373+'Start Here'!$B$30*MIN(IF(AD373="",0,AD373),50)/5+IF(M373&lt;=30000,'Start Here'!$B$31,IF(M373&lt;=60000,'Start Here'!$B$32,0)),1)</f>
        <v>3.4</v>
      </c>
      <c r="AM373" s="6" t="s">
        <v>534</v>
      </c>
      <c r="AN373" s="6" t="s">
        <v>1752</v>
      </c>
      <c r="AO373" s="6" t="s">
        <v>3268</v>
      </c>
      <c r="AP373" s="14" t="s">
        <v>3269</v>
      </c>
      <c r="AQ373" s="14" t="s">
        <v>3150</v>
      </c>
      <c r="AR373" s="20" t="s">
        <v>246</v>
      </c>
      <c r="AS373" s="20"/>
    </row>
    <row r="374" customFormat="false" ht="60" hidden="false" customHeight="true" outlineLevel="0" collapsed="false">
      <c r="A374" s="14" t="n">
        <v>373</v>
      </c>
      <c r="B374" s="14" t="s">
        <v>374</v>
      </c>
      <c r="C374" s="14" t="s">
        <v>221</v>
      </c>
      <c r="D374" s="14" t="s">
        <v>222</v>
      </c>
      <c r="E374" s="14" t="s">
        <v>38</v>
      </c>
      <c r="F374" s="14" t="s">
        <v>224</v>
      </c>
      <c r="G374" s="14" t="s">
        <v>224</v>
      </c>
      <c r="H374" s="14" t="s">
        <v>223</v>
      </c>
      <c r="I374" s="14" t="s">
        <v>225</v>
      </c>
      <c r="J374" s="14" t="s">
        <v>338</v>
      </c>
      <c r="K374" s="14" t="s">
        <v>3270</v>
      </c>
      <c r="L374" s="14" t="s">
        <v>3271</v>
      </c>
      <c r="M374" s="15" t="n">
        <v>44409</v>
      </c>
      <c r="N374" s="14" t="s">
        <v>462</v>
      </c>
      <c r="O374" s="14" t="s">
        <v>1909</v>
      </c>
      <c r="P374" s="16" t="s">
        <v>3272</v>
      </c>
      <c r="Q374" s="6" t="s">
        <v>3273</v>
      </c>
      <c r="R374" s="6" t="s">
        <v>3274</v>
      </c>
      <c r="S374" s="14" t="s">
        <v>234</v>
      </c>
      <c r="T374" s="14" t="s">
        <v>235</v>
      </c>
      <c r="U374" s="14" t="s">
        <v>346</v>
      </c>
      <c r="V374" s="14" t="s">
        <v>331</v>
      </c>
      <c r="W374" s="14" t="s">
        <v>332</v>
      </c>
      <c r="X374" s="14" t="s">
        <v>239</v>
      </c>
      <c r="Y374" s="15"/>
      <c r="Z374" s="15" t="n">
        <v>1557</v>
      </c>
      <c r="AA374" s="14" t="n">
        <v>146</v>
      </c>
      <c r="AB374" s="14" t="n">
        <v>6</v>
      </c>
      <c r="AC374" s="17" t="n">
        <v>0.0384840569266799</v>
      </c>
      <c r="AD374" s="18" t="n">
        <v>6.53</v>
      </c>
      <c r="AE374" s="18" t="n">
        <f aca="false">IF(AD374="","",MIN(AD374,100))</f>
        <v>6.53</v>
      </c>
      <c r="AF374" s="14" t="n">
        <v>97.6</v>
      </c>
      <c r="AG374" s="14" t="s">
        <v>224</v>
      </c>
      <c r="AH374" s="14" t="n">
        <v>4</v>
      </c>
      <c r="AI374" s="14" t="s">
        <v>224</v>
      </c>
      <c r="AJ374" s="14" t="s">
        <v>224</v>
      </c>
      <c r="AK374" s="14" t="s">
        <v>240</v>
      </c>
      <c r="AL374" s="19" t="n">
        <f aca="false">ROUND('Start Here'!$B$29*AH374+'Start Here'!$B$30*MIN(IF(AD374="",0,AD374),50)/5+IF(M374&lt;=30000,'Start Here'!$B$31,IF(M374&lt;=60000,'Start Here'!$B$32,0)),1)</f>
        <v>3.4</v>
      </c>
      <c r="AM374" s="6" t="s">
        <v>503</v>
      </c>
      <c r="AN374" s="6" t="s">
        <v>242</v>
      </c>
      <c r="AO374" s="6" t="s">
        <v>3275</v>
      </c>
      <c r="AP374" s="14" t="s">
        <v>3276</v>
      </c>
      <c r="AQ374" s="14" t="s">
        <v>2399</v>
      </c>
      <c r="AR374" s="20" t="s">
        <v>246</v>
      </c>
      <c r="AS374" s="20"/>
    </row>
    <row r="375" customFormat="false" ht="60" hidden="false" customHeight="true" outlineLevel="0" collapsed="false">
      <c r="A375" s="14" t="n">
        <v>374</v>
      </c>
      <c r="B375" s="14" t="s">
        <v>374</v>
      </c>
      <c r="C375" s="14" t="s">
        <v>221</v>
      </c>
      <c r="D375" s="14" t="s">
        <v>222</v>
      </c>
      <c r="E375" s="14" t="s">
        <v>34</v>
      </c>
      <c r="F375" s="14" t="s">
        <v>223</v>
      </c>
      <c r="G375" s="14" t="s">
        <v>224</v>
      </c>
      <c r="H375" s="14" t="s">
        <v>224</v>
      </c>
      <c r="I375" s="14" t="s">
        <v>225</v>
      </c>
      <c r="J375" s="14" t="s">
        <v>971</v>
      </c>
      <c r="K375" s="14" t="s">
        <v>2007</v>
      </c>
      <c r="L375" s="14" t="s">
        <v>2008</v>
      </c>
      <c r="M375" s="15" t="n">
        <v>100285</v>
      </c>
      <c r="N375" s="14" t="s">
        <v>2009</v>
      </c>
      <c r="O375" s="14" t="s">
        <v>2532</v>
      </c>
      <c r="P375" s="16" t="s">
        <v>3277</v>
      </c>
      <c r="Q375" s="6" t="s">
        <v>3224</v>
      </c>
      <c r="R375" s="6" t="s">
        <v>3225</v>
      </c>
      <c r="S375" s="14" t="s">
        <v>255</v>
      </c>
      <c r="T375" s="14" t="s">
        <v>235</v>
      </c>
      <c r="U375" s="14" t="s">
        <v>236</v>
      </c>
      <c r="V375" s="14" t="s">
        <v>331</v>
      </c>
      <c r="W375" s="14" t="s">
        <v>257</v>
      </c>
      <c r="X375" s="14" t="s">
        <v>258</v>
      </c>
      <c r="Y375" s="15"/>
      <c r="Z375" s="15" t="n">
        <v>859</v>
      </c>
      <c r="AA375" s="14" t="n">
        <v>3036</v>
      </c>
      <c r="AB375" s="14" t="n">
        <v>29</v>
      </c>
      <c r="AC375" s="17" t="n">
        <v>0.0394276757365058</v>
      </c>
      <c r="AD375" s="18" t="n">
        <v>18.09</v>
      </c>
      <c r="AE375" s="18" t="n">
        <f aca="false">IF(AD375="","",MIN(AD375,100))</f>
        <v>18.09</v>
      </c>
      <c r="AF375" s="14" t="n">
        <v>98.1</v>
      </c>
      <c r="AG375" s="14" t="s">
        <v>224</v>
      </c>
      <c r="AH375" s="14" t="n">
        <v>4.6</v>
      </c>
      <c r="AI375" s="14" t="s">
        <v>223</v>
      </c>
      <c r="AJ375" s="14" t="s">
        <v>224</v>
      </c>
      <c r="AK375" s="14" t="s">
        <v>240</v>
      </c>
      <c r="AL375" s="19" t="n">
        <f aca="false">ROUND('Start Here'!$B$29*AH375+'Start Here'!$B$30*MIN(IF(AD375="",0,AD375),50)/5+IF(M375&lt;=30000,'Start Here'!$B$31,IF(M375&lt;=60000,'Start Here'!$B$32,0)),1)</f>
        <v>3.4</v>
      </c>
      <c r="AM375" s="6" t="s">
        <v>491</v>
      </c>
      <c r="AN375" s="6" t="s">
        <v>674</v>
      </c>
      <c r="AO375" s="6" t="s">
        <v>3278</v>
      </c>
      <c r="AP375" s="14" t="s">
        <v>3279</v>
      </c>
      <c r="AQ375" s="14" t="s">
        <v>2015</v>
      </c>
      <c r="AR375" s="20" t="s">
        <v>246</v>
      </c>
      <c r="AS375" s="20"/>
    </row>
    <row r="376" customFormat="false" ht="60" hidden="false" customHeight="true" outlineLevel="0" collapsed="false">
      <c r="A376" s="14" t="n">
        <v>375</v>
      </c>
      <c r="B376" s="14" t="s">
        <v>247</v>
      </c>
      <c r="C376" s="14" t="s">
        <v>221</v>
      </c>
      <c r="D376" s="14" t="s">
        <v>222</v>
      </c>
      <c r="E376" s="14" t="s">
        <v>34</v>
      </c>
      <c r="F376" s="14" t="s">
        <v>223</v>
      </c>
      <c r="G376" s="14" t="s">
        <v>224</v>
      </c>
      <c r="H376" s="14" t="s">
        <v>224</v>
      </c>
      <c r="I376" s="14" t="s">
        <v>635</v>
      </c>
      <c r="J376" s="14" t="s">
        <v>2059</v>
      </c>
      <c r="K376" s="14" t="s">
        <v>2060</v>
      </c>
      <c r="L376" s="14" t="s">
        <v>2061</v>
      </c>
      <c r="M376" s="15" t="n">
        <v>46457</v>
      </c>
      <c r="N376" s="14" t="s">
        <v>462</v>
      </c>
      <c r="O376" s="14" t="s">
        <v>3280</v>
      </c>
      <c r="P376" s="16" t="s">
        <v>3281</v>
      </c>
      <c r="Q376" s="6" t="s">
        <v>2064</v>
      </c>
      <c r="R376" s="6" t="s">
        <v>2065</v>
      </c>
      <c r="S376" s="14" t="s">
        <v>255</v>
      </c>
      <c r="T376" s="14" t="s">
        <v>316</v>
      </c>
      <c r="U376" s="14" t="s">
        <v>236</v>
      </c>
      <c r="V376" s="14" t="s">
        <v>810</v>
      </c>
      <c r="W376" s="14"/>
      <c r="X376" s="14"/>
      <c r="Y376" s="15" t="n">
        <v>19599</v>
      </c>
      <c r="Z376" s="15" t="n">
        <v>683</v>
      </c>
      <c r="AA376" s="14" t="n">
        <v>373</v>
      </c>
      <c r="AB376" s="14"/>
      <c r="AC376" s="17" t="n">
        <v>0.0538803000153069</v>
      </c>
      <c r="AD376" s="18" t="n">
        <v>11.98</v>
      </c>
      <c r="AE376" s="18" t="n">
        <f aca="false">IF(AD376="","",MIN(AD376,100))</f>
        <v>11.98</v>
      </c>
      <c r="AF376" s="14" t="n">
        <v>93.7</v>
      </c>
      <c r="AG376" s="14" t="s">
        <v>224</v>
      </c>
      <c r="AH376" s="14" t="n">
        <v>3.3</v>
      </c>
      <c r="AI376" s="14" t="s">
        <v>224</v>
      </c>
      <c r="AJ376" s="14" t="s">
        <v>224</v>
      </c>
      <c r="AK376" s="14" t="s">
        <v>240</v>
      </c>
      <c r="AL376" s="19" t="n">
        <f aca="false">ROUND('Start Here'!$B$29*AH376+'Start Here'!$B$30*MIN(IF(AD376="",0,AD376),50)/5+IF(M376&lt;=30000,'Start Here'!$B$31,IF(M376&lt;=60000,'Start Here'!$B$32,0)),1)</f>
        <v>3.4</v>
      </c>
      <c r="AM376" s="6" t="s">
        <v>491</v>
      </c>
      <c r="AN376" s="6" t="s">
        <v>2066</v>
      </c>
      <c r="AO376" s="6"/>
      <c r="AP376" s="14"/>
      <c r="AQ376" s="14" t="s">
        <v>495</v>
      </c>
      <c r="AR376" s="20" t="s">
        <v>246</v>
      </c>
      <c r="AS376" s="20"/>
    </row>
    <row r="377" customFormat="false" ht="60" hidden="false" customHeight="true" outlineLevel="0" collapsed="false">
      <c r="A377" s="14" t="n">
        <v>376</v>
      </c>
      <c r="B377" s="14" t="s">
        <v>374</v>
      </c>
      <c r="C377" s="14" t="s">
        <v>221</v>
      </c>
      <c r="D377" s="14" t="s">
        <v>222</v>
      </c>
      <c r="E377" s="14" t="s">
        <v>34</v>
      </c>
      <c r="F377" s="14" t="s">
        <v>223</v>
      </c>
      <c r="G377" s="14" t="s">
        <v>224</v>
      </c>
      <c r="H377" s="14" t="s">
        <v>223</v>
      </c>
      <c r="I377" s="14" t="s">
        <v>308</v>
      </c>
      <c r="J377" s="14" t="s">
        <v>225</v>
      </c>
      <c r="K377" s="14" t="s">
        <v>3282</v>
      </c>
      <c r="L377" s="14" t="s">
        <v>3283</v>
      </c>
      <c r="M377" s="15" t="n">
        <v>63918</v>
      </c>
      <c r="N377" s="14" t="s">
        <v>400</v>
      </c>
      <c r="O377" s="14" t="s">
        <v>3284</v>
      </c>
      <c r="P377" s="16" t="s">
        <v>3285</v>
      </c>
      <c r="Q377" s="6" t="s">
        <v>3286</v>
      </c>
      <c r="R377" s="6" t="s">
        <v>3287</v>
      </c>
      <c r="S377" s="14" t="s">
        <v>330</v>
      </c>
      <c r="T377" s="14" t="s">
        <v>316</v>
      </c>
      <c r="U377" s="14" t="s">
        <v>236</v>
      </c>
      <c r="V377" s="14" t="s">
        <v>237</v>
      </c>
      <c r="W377" s="14" t="s">
        <v>257</v>
      </c>
      <c r="X377" s="14" t="s">
        <v>239</v>
      </c>
      <c r="Y377" s="15"/>
      <c r="Z377" s="15" t="n">
        <v>1482</v>
      </c>
      <c r="AA377" s="14" t="n">
        <v>62</v>
      </c>
      <c r="AB377" s="14" t="n">
        <v>50</v>
      </c>
      <c r="AC377" s="17" t="n">
        <v>0.0261805042292847</v>
      </c>
      <c r="AD377" s="18" t="n">
        <v>27.23</v>
      </c>
      <c r="AE377" s="18" t="n">
        <f aca="false">IF(AD377="","",MIN(AD377,100))</f>
        <v>27.23</v>
      </c>
      <c r="AF377" s="14" t="n">
        <v>99.2</v>
      </c>
      <c r="AG377" s="14" t="s">
        <v>224</v>
      </c>
      <c r="AH377" s="14" t="n">
        <v>3.3</v>
      </c>
      <c r="AI377" s="14" t="s">
        <v>224</v>
      </c>
      <c r="AJ377" s="14" t="s">
        <v>224</v>
      </c>
      <c r="AK377" s="14" t="s">
        <v>240</v>
      </c>
      <c r="AL377" s="19" t="n">
        <f aca="false">ROUND('Start Here'!$B$29*AH377+'Start Here'!$B$30*MIN(IF(AD377="",0,AD377),50)/5+IF(M377&lt;=30000,'Start Here'!$B$31,IF(M377&lt;=60000,'Start Here'!$B$32,0)),1)</f>
        <v>3.3</v>
      </c>
      <c r="AM377" s="6" t="s">
        <v>1117</v>
      </c>
      <c r="AN377" s="6" t="s">
        <v>1230</v>
      </c>
      <c r="AO377" s="6" t="s">
        <v>3288</v>
      </c>
      <c r="AP377" s="14" t="s">
        <v>3289</v>
      </c>
      <c r="AQ377" s="14" t="s">
        <v>363</v>
      </c>
      <c r="AR377" s="20" t="s">
        <v>246</v>
      </c>
      <c r="AS377" s="20"/>
    </row>
    <row r="378" customFormat="false" ht="60" hidden="false" customHeight="true" outlineLevel="0" collapsed="false">
      <c r="A378" s="14" t="n">
        <v>377</v>
      </c>
      <c r="B378" s="14" t="s">
        <v>247</v>
      </c>
      <c r="C378" s="14" t="s">
        <v>221</v>
      </c>
      <c r="D378" s="14" t="s">
        <v>222</v>
      </c>
      <c r="E378" s="14" t="s">
        <v>40</v>
      </c>
      <c r="F378" s="14" t="s">
        <v>224</v>
      </c>
      <c r="G378" s="14" t="s">
        <v>224</v>
      </c>
      <c r="H378" s="14" t="s">
        <v>224</v>
      </c>
      <c r="I378" s="14" t="s">
        <v>225</v>
      </c>
      <c r="J378" s="14" t="s">
        <v>3290</v>
      </c>
      <c r="K378" s="14" t="s">
        <v>2060</v>
      </c>
      <c r="L378" s="14" t="s">
        <v>2061</v>
      </c>
      <c r="M378" s="15" t="n">
        <v>46457</v>
      </c>
      <c r="N378" s="14" t="s">
        <v>462</v>
      </c>
      <c r="O378" s="14" t="s">
        <v>3003</v>
      </c>
      <c r="P378" s="16" t="s">
        <v>3291</v>
      </c>
      <c r="Q378" s="6" t="s">
        <v>2064</v>
      </c>
      <c r="R378" s="6" t="s">
        <v>3292</v>
      </c>
      <c r="S378" s="14" t="s">
        <v>255</v>
      </c>
      <c r="T378" s="14" t="s">
        <v>316</v>
      </c>
      <c r="U378" s="14" t="s">
        <v>236</v>
      </c>
      <c r="V378" s="14" t="s">
        <v>810</v>
      </c>
      <c r="W378" s="14"/>
      <c r="X378" s="14"/>
      <c r="Y378" s="15" t="n">
        <v>7031</v>
      </c>
      <c r="Z378" s="15" t="n">
        <v>97</v>
      </c>
      <c r="AA378" s="14" t="n">
        <v>48</v>
      </c>
      <c r="AB378" s="14"/>
      <c r="AC378" s="17" t="n">
        <v>0.0206229554828616</v>
      </c>
      <c r="AD378" s="18" t="n">
        <v>5.01</v>
      </c>
      <c r="AE378" s="18" t="n">
        <f aca="false">IF(AD378="","",MIN(AD378,100))</f>
        <v>5.01</v>
      </c>
      <c r="AF378" s="14" t="n">
        <v>81.1</v>
      </c>
      <c r="AG378" s="14" t="s">
        <v>224</v>
      </c>
      <c r="AH378" s="14" t="n">
        <v>3.8</v>
      </c>
      <c r="AI378" s="14" t="s">
        <v>224</v>
      </c>
      <c r="AJ378" s="14" t="s">
        <v>223</v>
      </c>
      <c r="AK378" s="14" t="s">
        <v>490</v>
      </c>
      <c r="AL378" s="19" t="n">
        <f aca="false">ROUND('Start Here'!$B$29*AH378+'Start Here'!$B$30*MIN(IF(AD378="",0,AD378),50)/5+IF(M378&lt;=30000,'Start Here'!$B$31,IF(M378&lt;=60000,'Start Here'!$B$32,0)),1)</f>
        <v>3.2</v>
      </c>
      <c r="AM378" s="6" t="s">
        <v>491</v>
      </c>
      <c r="AN378" s="6" t="s">
        <v>3293</v>
      </c>
      <c r="AO378" s="6"/>
      <c r="AP378" s="14"/>
      <c r="AQ378" s="14" t="s">
        <v>409</v>
      </c>
      <c r="AR378" s="20" t="s">
        <v>246</v>
      </c>
      <c r="AS378" s="20"/>
    </row>
    <row r="379" customFormat="false" ht="60" hidden="false" customHeight="true" outlineLevel="0" collapsed="false">
      <c r="A379" s="14" t="n">
        <v>378</v>
      </c>
      <c r="B379" s="14" t="s">
        <v>374</v>
      </c>
      <c r="C379" s="14" t="s">
        <v>221</v>
      </c>
      <c r="D379" s="14" t="s">
        <v>222</v>
      </c>
      <c r="E379" s="14" t="s">
        <v>38</v>
      </c>
      <c r="F379" s="14" t="s">
        <v>224</v>
      </c>
      <c r="G379" s="14" t="s">
        <v>224</v>
      </c>
      <c r="H379" s="14" t="s">
        <v>223</v>
      </c>
      <c r="I379" s="14" t="s">
        <v>225</v>
      </c>
      <c r="J379" s="14" t="s">
        <v>1174</v>
      </c>
      <c r="K379" s="14" t="s">
        <v>3294</v>
      </c>
      <c r="L379" s="14" t="s">
        <v>3295</v>
      </c>
      <c r="M379" s="15" t="n">
        <v>68546</v>
      </c>
      <c r="N379" s="14" t="s">
        <v>400</v>
      </c>
      <c r="O379" s="14" t="s">
        <v>2648</v>
      </c>
      <c r="P379" s="16" t="s">
        <v>3296</v>
      </c>
      <c r="Q379" s="6" t="s">
        <v>3297</v>
      </c>
      <c r="R379" s="6" t="s">
        <v>3298</v>
      </c>
      <c r="S379" s="14" t="s">
        <v>1495</v>
      </c>
      <c r="T379" s="14" t="s">
        <v>235</v>
      </c>
      <c r="U379" s="14" t="s">
        <v>236</v>
      </c>
      <c r="V379" s="14" t="s">
        <v>383</v>
      </c>
      <c r="W379" s="14"/>
      <c r="X379" s="14"/>
      <c r="Y379" s="15"/>
      <c r="Z379" s="15" t="n">
        <v>1283</v>
      </c>
      <c r="AA379" s="14" t="n">
        <v>283</v>
      </c>
      <c r="AB379" s="14" t="n">
        <v>5</v>
      </c>
      <c r="AC379" s="17" t="n">
        <v>0.022918915764596</v>
      </c>
      <c r="AD379" s="18" t="n">
        <v>2.96</v>
      </c>
      <c r="AE379" s="18" t="n">
        <f aca="false">IF(AD379="","",MIN(AD379,100))</f>
        <v>2.96</v>
      </c>
      <c r="AF379" s="14" t="n">
        <v>99.6</v>
      </c>
      <c r="AG379" s="14" t="s">
        <v>224</v>
      </c>
      <c r="AH379" s="14" t="n">
        <v>6</v>
      </c>
      <c r="AI379" s="14" t="s">
        <v>224</v>
      </c>
      <c r="AJ379" s="14" t="s">
        <v>224</v>
      </c>
      <c r="AK379" s="14" t="s">
        <v>240</v>
      </c>
      <c r="AL379" s="19" t="n">
        <f aca="false">ROUND('Start Here'!$B$29*AH379+'Start Here'!$B$30*MIN(IF(AD379="",0,AD379),50)/5+IF(M379&lt;=30000,'Start Here'!$B$31,IF(M379&lt;=60000,'Start Here'!$B$32,0)),1)</f>
        <v>3.2</v>
      </c>
      <c r="AM379" s="6" t="s">
        <v>1987</v>
      </c>
      <c r="AN379" s="6" t="s">
        <v>1497</v>
      </c>
      <c r="AO379" s="6"/>
      <c r="AP379" s="14"/>
      <c r="AQ379" s="14" t="s">
        <v>1672</v>
      </c>
      <c r="AR379" s="20" t="s">
        <v>246</v>
      </c>
      <c r="AS379" s="20"/>
    </row>
    <row r="380" customFormat="false" ht="60" hidden="false" customHeight="true" outlineLevel="0" collapsed="false">
      <c r="A380" s="14" t="n">
        <v>379</v>
      </c>
      <c r="B380" s="14" t="s">
        <v>220</v>
      </c>
      <c r="C380" s="14" t="s">
        <v>221</v>
      </c>
      <c r="D380" s="14" t="s">
        <v>222</v>
      </c>
      <c r="E380" s="14" t="s">
        <v>40</v>
      </c>
      <c r="F380" s="14" t="s">
        <v>224</v>
      </c>
      <c r="G380" s="14" t="s">
        <v>224</v>
      </c>
      <c r="H380" s="14" t="s">
        <v>224</v>
      </c>
      <c r="I380" s="14" t="s">
        <v>586</v>
      </c>
      <c r="J380" s="14" t="s">
        <v>3299</v>
      </c>
      <c r="K380" s="14" t="s">
        <v>3300</v>
      </c>
      <c r="L380" s="14" t="s">
        <v>3301</v>
      </c>
      <c r="M380" s="15" t="n">
        <v>62639</v>
      </c>
      <c r="N380" s="14" t="s">
        <v>400</v>
      </c>
      <c r="O380" s="14" t="s">
        <v>3302</v>
      </c>
      <c r="P380" s="16" t="s">
        <v>3303</v>
      </c>
      <c r="Q380" s="6" t="s">
        <v>3304</v>
      </c>
      <c r="R380" s="6" t="s">
        <v>3305</v>
      </c>
      <c r="S380" s="14" t="s">
        <v>255</v>
      </c>
      <c r="T380" s="14" t="s">
        <v>235</v>
      </c>
      <c r="U380" s="14" t="s">
        <v>236</v>
      </c>
      <c r="V380" s="14" t="s">
        <v>439</v>
      </c>
      <c r="W380" s="14"/>
      <c r="X380" s="14"/>
      <c r="Y380" s="15" t="n">
        <v>303496</v>
      </c>
      <c r="Z380" s="15" t="n">
        <v>1503</v>
      </c>
      <c r="AA380" s="14" t="n">
        <v>180</v>
      </c>
      <c r="AB380" s="14" t="n">
        <v>148</v>
      </c>
      <c r="AC380" s="17" t="n">
        <v>0.0060330284418905</v>
      </c>
      <c r="AD380" s="18" t="n">
        <v>0.87</v>
      </c>
      <c r="AE380" s="18" t="n">
        <f aca="false">IF(AD380="","",MIN(AD380,100))</f>
        <v>0.87</v>
      </c>
      <c r="AF380" s="14" t="n">
        <v>98.8</v>
      </c>
      <c r="AG380" s="14" t="s">
        <v>224</v>
      </c>
      <c r="AH380" s="14" t="n">
        <v>6</v>
      </c>
      <c r="AI380" s="14" t="s">
        <v>224</v>
      </c>
      <c r="AJ380" s="14" t="s">
        <v>224</v>
      </c>
      <c r="AK380" s="14" t="s">
        <v>240</v>
      </c>
      <c r="AL380" s="19" t="n">
        <f aca="false">ROUND('Start Here'!$B$29*AH380+'Start Here'!$B$30*MIN(IF(AD380="",0,AD380),50)/5+IF(M380&lt;=30000,'Start Here'!$B$31,IF(M380&lt;=60000,'Start Here'!$B$32,0)),1)</f>
        <v>3.1</v>
      </c>
      <c r="AM380" s="6" t="s">
        <v>534</v>
      </c>
      <c r="AN380" s="6" t="s">
        <v>1428</v>
      </c>
      <c r="AO380" s="6"/>
      <c r="AP380" s="14"/>
      <c r="AQ380" s="14" t="s">
        <v>677</v>
      </c>
      <c r="AR380" s="20" t="s">
        <v>246</v>
      </c>
      <c r="AS380" s="20"/>
    </row>
    <row r="381" customFormat="false" ht="60" hidden="false" customHeight="true" outlineLevel="0" collapsed="false">
      <c r="A381" s="14" t="n">
        <v>380</v>
      </c>
      <c r="B381" s="14" t="s">
        <v>247</v>
      </c>
      <c r="C381" s="14" t="s">
        <v>221</v>
      </c>
      <c r="D381" s="14" t="s">
        <v>222</v>
      </c>
      <c r="E381" s="14" t="s">
        <v>34</v>
      </c>
      <c r="F381" s="14" t="s">
        <v>223</v>
      </c>
      <c r="G381" s="14" t="s">
        <v>224</v>
      </c>
      <c r="H381" s="14" t="s">
        <v>224</v>
      </c>
      <c r="I381" s="14" t="s">
        <v>338</v>
      </c>
      <c r="J381" s="14" t="s">
        <v>339</v>
      </c>
      <c r="K381" s="14" t="s">
        <v>2873</v>
      </c>
      <c r="L381" s="14" t="s">
        <v>2874</v>
      </c>
      <c r="M381" s="15" t="n">
        <v>87329</v>
      </c>
      <c r="N381" s="14" t="s">
        <v>400</v>
      </c>
      <c r="O381" s="14" t="s">
        <v>1233</v>
      </c>
      <c r="P381" s="16" t="s">
        <v>3306</v>
      </c>
      <c r="Q381" s="6" t="s">
        <v>3307</v>
      </c>
      <c r="R381" s="6" t="s">
        <v>3308</v>
      </c>
      <c r="S381" s="14" t="s">
        <v>330</v>
      </c>
      <c r="T381" s="14" t="s">
        <v>235</v>
      </c>
      <c r="U381" s="14" t="s">
        <v>236</v>
      </c>
      <c r="V381" s="14" t="s">
        <v>1013</v>
      </c>
      <c r="W381" s="14" t="s">
        <v>332</v>
      </c>
      <c r="X381" s="14" t="s">
        <v>239</v>
      </c>
      <c r="Y381" s="15"/>
      <c r="Z381" s="15" t="n">
        <v>279</v>
      </c>
      <c r="AA381" s="14" t="n">
        <v>22</v>
      </c>
      <c r="AB381" s="14"/>
      <c r="AC381" s="17" t="n">
        <v>0.0045342934184957</v>
      </c>
      <c r="AD381" s="18" t="n">
        <v>21.69</v>
      </c>
      <c r="AE381" s="18" t="n">
        <f aca="false">IF(AD381="","",MIN(AD381,100))</f>
        <v>21.69</v>
      </c>
      <c r="AF381" s="14" t="n">
        <v>84.2</v>
      </c>
      <c r="AG381" s="14" t="s">
        <v>224</v>
      </c>
      <c r="AH381" s="14" t="n">
        <v>3.1</v>
      </c>
      <c r="AI381" s="14" t="s">
        <v>223</v>
      </c>
      <c r="AJ381" s="14" t="s">
        <v>223</v>
      </c>
      <c r="AK381" s="14" t="s">
        <v>490</v>
      </c>
      <c r="AL381" s="19" t="n">
        <f aca="false">ROUND('Start Here'!$B$29*AH381+'Start Here'!$B$30*MIN(IF(AD381="",0,AD381),50)/5+IF(M381&lt;=30000,'Start Here'!$B$31,IF(M381&lt;=60000,'Start Here'!$B$32,0)),1)</f>
        <v>2.9</v>
      </c>
      <c r="AM381" s="6" t="s">
        <v>1117</v>
      </c>
      <c r="AN381" s="6" t="s">
        <v>3241</v>
      </c>
      <c r="AO381" s="6" t="s">
        <v>3309</v>
      </c>
      <c r="AP381" s="14" t="s">
        <v>3310</v>
      </c>
      <c r="AQ381" s="14" t="s">
        <v>538</v>
      </c>
      <c r="AR381" s="20" t="s">
        <v>246</v>
      </c>
      <c r="AS381" s="20"/>
    </row>
    <row r="382" customFormat="false" ht="60" hidden="false" customHeight="true" outlineLevel="0" collapsed="false">
      <c r="A382" s="14" t="n">
        <v>381</v>
      </c>
      <c r="B382" s="14" t="s">
        <v>374</v>
      </c>
      <c r="C382" s="14" t="s">
        <v>221</v>
      </c>
      <c r="D382" s="14" t="s">
        <v>222</v>
      </c>
      <c r="E382" s="14" t="s">
        <v>38</v>
      </c>
      <c r="F382" s="14" t="s">
        <v>224</v>
      </c>
      <c r="G382" s="14" t="s">
        <v>224</v>
      </c>
      <c r="H382" s="14" t="s">
        <v>223</v>
      </c>
      <c r="I382" s="14" t="s">
        <v>635</v>
      </c>
      <c r="J382" s="14" t="s">
        <v>1250</v>
      </c>
      <c r="K382" s="14" t="s">
        <v>2240</v>
      </c>
      <c r="L382" s="14" t="s">
        <v>2241</v>
      </c>
      <c r="M382" s="15" t="n">
        <v>68759</v>
      </c>
      <c r="N382" s="14" t="s">
        <v>400</v>
      </c>
      <c r="O382" s="14" t="s">
        <v>846</v>
      </c>
      <c r="P382" s="16" t="s">
        <v>3311</v>
      </c>
      <c r="Q382" s="6" t="s">
        <v>3266</v>
      </c>
      <c r="R382" s="6" t="s">
        <v>3312</v>
      </c>
      <c r="S382" s="14" t="s">
        <v>255</v>
      </c>
      <c r="T382" s="14" t="s">
        <v>235</v>
      </c>
      <c r="U382" s="14" t="s">
        <v>236</v>
      </c>
      <c r="V382" s="14" t="s">
        <v>237</v>
      </c>
      <c r="W382" s="14" t="s">
        <v>257</v>
      </c>
      <c r="X382" s="14" t="s">
        <v>239</v>
      </c>
      <c r="Y382" s="15"/>
      <c r="Z382" s="15" t="n">
        <v>1014</v>
      </c>
      <c r="AA382" s="14" t="n">
        <v>133</v>
      </c>
      <c r="AB382" s="14" t="n">
        <v>71</v>
      </c>
      <c r="AC382" s="17" t="n">
        <v>0.0191145776117763</v>
      </c>
      <c r="AD382" s="18" t="n">
        <v>5.52</v>
      </c>
      <c r="AE382" s="18" t="n">
        <f aca="false">IF(AD382="","",MIN(AD382,100))</f>
        <v>5.52</v>
      </c>
      <c r="AF382" s="14" t="n">
        <v>97.3</v>
      </c>
      <c r="AG382" s="14" t="s">
        <v>224</v>
      </c>
      <c r="AH382" s="14" t="n">
        <v>5</v>
      </c>
      <c r="AI382" s="14" t="s">
        <v>224</v>
      </c>
      <c r="AJ382" s="14" t="s">
        <v>224</v>
      </c>
      <c r="AK382" s="14" t="s">
        <v>240</v>
      </c>
      <c r="AL382" s="19" t="n">
        <f aca="false">ROUND('Start Here'!$B$29*AH382+'Start Here'!$B$30*MIN(IF(AD382="",0,AD382),50)/5+IF(M382&lt;=30000,'Start Here'!$B$31,IF(M382&lt;=60000,'Start Here'!$B$32,0)),1)</f>
        <v>2.8</v>
      </c>
      <c r="AM382" s="6" t="s">
        <v>534</v>
      </c>
      <c r="AN382" s="6" t="s">
        <v>3178</v>
      </c>
      <c r="AO382" s="6" t="s">
        <v>3313</v>
      </c>
      <c r="AP382" s="14" t="s">
        <v>3314</v>
      </c>
      <c r="AQ382" s="14" t="s">
        <v>2399</v>
      </c>
      <c r="AR382" s="20" t="s">
        <v>246</v>
      </c>
      <c r="AS382" s="20"/>
    </row>
    <row r="383" customFormat="false" ht="60" hidden="false" customHeight="true" outlineLevel="0" collapsed="false">
      <c r="A383" s="14" t="n">
        <v>382</v>
      </c>
      <c r="B383" s="14" t="s">
        <v>247</v>
      </c>
      <c r="C383" s="14" t="s">
        <v>221</v>
      </c>
      <c r="D383" s="14" t="s">
        <v>222</v>
      </c>
      <c r="E383" s="14" t="s">
        <v>40</v>
      </c>
      <c r="F383" s="14" t="s">
        <v>224</v>
      </c>
      <c r="G383" s="14" t="s">
        <v>224</v>
      </c>
      <c r="H383" s="14" t="s">
        <v>224</v>
      </c>
      <c r="I383" s="14" t="s">
        <v>338</v>
      </c>
      <c r="J383" s="14" t="s">
        <v>322</v>
      </c>
      <c r="K383" s="14" t="s">
        <v>3315</v>
      </c>
      <c r="L383" s="14" t="s">
        <v>3316</v>
      </c>
      <c r="M383" s="15" t="n">
        <v>37939</v>
      </c>
      <c r="N383" s="14" t="s">
        <v>462</v>
      </c>
      <c r="O383" s="14" t="s">
        <v>3317</v>
      </c>
      <c r="P383" s="16" t="s">
        <v>3318</v>
      </c>
      <c r="Q383" s="6" t="s">
        <v>3319</v>
      </c>
      <c r="R383" s="6" t="s">
        <v>3320</v>
      </c>
      <c r="S383" s="14" t="s">
        <v>741</v>
      </c>
      <c r="T383" s="14" t="s">
        <v>235</v>
      </c>
      <c r="U383" s="14" t="s">
        <v>236</v>
      </c>
      <c r="V383" s="14" t="s">
        <v>810</v>
      </c>
      <c r="W383" s="14"/>
      <c r="X383" s="14"/>
      <c r="Y383" s="15" t="n">
        <v>3279</v>
      </c>
      <c r="Z383" s="15" t="n">
        <v>20</v>
      </c>
      <c r="AA383" s="14" t="n">
        <v>4</v>
      </c>
      <c r="AB383" s="14"/>
      <c r="AC383" s="17" t="n">
        <v>0.00731930466605673</v>
      </c>
      <c r="AD383" s="18" t="n">
        <v>3.74</v>
      </c>
      <c r="AE383" s="18" t="n">
        <f aca="false">IF(AD383="","",MIN(AD383,100))</f>
        <v>3.74</v>
      </c>
      <c r="AF383" s="14" t="n">
        <v>91.7</v>
      </c>
      <c r="AG383" s="14" t="s">
        <v>224</v>
      </c>
      <c r="AH383" s="14" t="n">
        <v>3</v>
      </c>
      <c r="AI383" s="14" t="s">
        <v>224</v>
      </c>
      <c r="AJ383" s="14" t="s">
        <v>224</v>
      </c>
      <c r="AK383" s="14" t="s">
        <v>240</v>
      </c>
      <c r="AL383" s="19" t="n">
        <f aca="false">ROUND('Start Here'!$B$29*AH383+'Start Here'!$B$30*MIN(IF(AD383="",0,AD383),50)/5+IF(M383&lt;=30000,'Start Here'!$B$31,IF(M383&lt;=60000,'Start Here'!$B$32,0)),1)</f>
        <v>2.7</v>
      </c>
      <c r="AM383" s="6" t="s">
        <v>2405</v>
      </c>
      <c r="AN383" s="6" t="s">
        <v>744</v>
      </c>
      <c r="AO383" s="6"/>
      <c r="AP383" s="14"/>
      <c r="AQ383" s="14" t="s">
        <v>538</v>
      </c>
      <c r="AR383" s="20" t="s">
        <v>246</v>
      </c>
      <c r="AS383" s="20"/>
    </row>
    <row r="384" customFormat="false" ht="60" hidden="false" customHeight="true" outlineLevel="0" collapsed="false">
      <c r="A384" s="14" t="n">
        <v>383</v>
      </c>
      <c r="B384" s="14" t="s">
        <v>374</v>
      </c>
      <c r="C384" s="14" t="s">
        <v>221</v>
      </c>
      <c r="D384" s="14" t="s">
        <v>222</v>
      </c>
      <c r="E384" s="14" t="s">
        <v>38</v>
      </c>
      <c r="F384" s="14" t="s">
        <v>224</v>
      </c>
      <c r="G384" s="14" t="s">
        <v>224</v>
      </c>
      <c r="H384" s="14" t="s">
        <v>223</v>
      </c>
      <c r="I384" s="14" t="s">
        <v>338</v>
      </c>
      <c r="J384" s="14" t="s">
        <v>225</v>
      </c>
      <c r="K384" s="14" t="s">
        <v>3321</v>
      </c>
      <c r="L384" s="14" t="s">
        <v>3322</v>
      </c>
      <c r="M384" s="15" t="n">
        <v>40619</v>
      </c>
      <c r="N384" s="14" t="s">
        <v>462</v>
      </c>
      <c r="O384" s="14" t="s">
        <v>3154</v>
      </c>
      <c r="P384" s="16" t="s">
        <v>3323</v>
      </c>
      <c r="Q384" s="6" t="s">
        <v>3324</v>
      </c>
      <c r="R384" s="6" t="s">
        <v>3325</v>
      </c>
      <c r="S384" s="14" t="s">
        <v>255</v>
      </c>
      <c r="T384" s="14" t="s">
        <v>235</v>
      </c>
      <c r="U384" s="14" t="s">
        <v>236</v>
      </c>
      <c r="V384" s="14" t="s">
        <v>1013</v>
      </c>
      <c r="W384" s="14" t="s">
        <v>332</v>
      </c>
      <c r="X384" s="14" t="s">
        <v>333</v>
      </c>
      <c r="Y384" s="15"/>
      <c r="Z384" s="15" t="n">
        <v>2028</v>
      </c>
      <c r="AA384" s="14" t="n">
        <v>157</v>
      </c>
      <c r="AB384" s="14" t="n">
        <v>7</v>
      </c>
      <c r="AC384" s="17" t="n">
        <v>0.0557633112009972</v>
      </c>
      <c r="AD384" s="18" t="n">
        <v>2.84</v>
      </c>
      <c r="AE384" s="18" t="n">
        <f aca="false">IF(AD384="","",MIN(AD384,100))</f>
        <v>2.84</v>
      </c>
      <c r="AF384" s="14" t="n">
        <v>99.2</v>
      </c>
      <c r="AG384" s="14" t="s">
        <v>224</v>
      </c>
      <c r="AH384" s="14" t="n">
        <v>3</v>
      </c>
      <c r="AI384" s="14" t="s">
        <v>224</v>
      </c>
      <c r="AJ384" s="14" t="s">
        <v>224</v>
      </c>
      <c r="AK384" s="14" t="s">
        <v>453</v>
      </c>
      <c r="AL384" s="19" t="n">
        <f aca="false">ROUND('Start Here'!$B$29*AH384+'Start Here'!$B$30*MIN(IF(AD384="",0,AD384),50)/5+IF(M384&lt;=30000,'Start Here'!$B$31,IF(M384&lt;=60000,'Start Here'!$B$32,0)),1)</f>
        <v>2.7</v>
      </c>
      <c r="AM384" s="6" t="s">
        <v>534</v>
      </c>
      <c r="AN384" s="6" t="s">
        <v>3326</v>
      </c>
      <c r="AO384" s="6" t="s">
        <v>3327</v>
      </c>
      <c r="AP384" s="14" t="s">
        <v>3328</v>
      </c>
      <c r="AQ384" s="14" t="s">
        <v>2772</v>
      </c>
      <c r="AR384" s="20" t="s">
        <v>246</v>
      </c>
      <c r="AS384" s="20"/>
    </row>
    <row r="385" customFormat="false" ht="60" hidden="false" customHeight="true" outlineLevel="0" collapsed="false">
      <c r="A385" s="14" t="n">
        <v>384</v>
      </c>
      <c r="B385" s="14" t="s">
        <v>374</v>
      </c>
      <c r="C385" s="14" t="s">
        <v>221</v>
      </c>
      <c r="D385" s="14" t="s">
        <v>222</v>
      </c>
      <c r="E385" s="14" t="s">
        <v>34</v>
      </c>
      <c r="F385" s="14" t="s">
        <v>223</v>
      </c>
      <c r="G385" s="14" t="s">
        <v>224</v>
      </c>
      <c r="H385" s="14" t="s">
        <v>223</v>
      </c>
      <c r="I385" s="14" t="s">
        <v>338</v>
      </c>
      <c r="J385" s="14" t="s">
        <v>308</v>
      </c>
      <c r="K385" s="14" t="s">
        <v>3329</v>
      </c>
      <c r="L385" s="14" t="s">
        <v>3330</v>
      </c>
      <c r="M385" s="15" t="n">
        <v>96495</v>
      </c>
      <c r="N385" s="14" t="s">
        <v>400</v>
      </c>
      <c r="O385" s="14" t="s">
        <v>3331</v>
      </c>
      <c r="P385" s="16" t="s">
        <v>3332</v>
      </c>
      <c r="Q385" s="6" t="s">
        <v>3333</v>
      </c>
      <c r="R385" s="6" t="s">
        <v>3334</v>
      </c>
      <c r="S385" s="14" t="s">
        <v>330</v>
      </c>
      <c r="T385" s="14" t="s">
        <v>917</v>
      </c>
      <c r="U385" s="14" t="s">
        <v>236</v>
      </c>
      <c r="V385" s="14" t="s">
        <v>331</v>
      </c>
      <c r="W385" s="14" t="s">
        <v>257</v>
      </c>
      <c r="X385" s="14" t="s">
        <v>258</v>
      </c>
      <c r="Y385" s="15"/>
      <c r="Z385" s="15" t="n">
        <v>1429</v>
      </c>
      <c r="AA385" s="14" t="n">
        <v>92</v>
      </c>
      <c r="AB385" s="14" t="n">
        <v>158</v>
      </c>
      <c r="AC385" s="17" t="n">
        <v>0.0187455341193283</v>
      </c>
      <c r="AD385" s="18" t="n">
        <v>11.43</v>
      </c>
      <c r="AE385" s="18" t="n">
        <f aca="false">IF(AD385="","",MIN(AD385,100))</f>
        <v>11.43</v>
      </c>
      <c r="AF385" s="14" t="n">
        <v>99.3</v>
      </c>
      <c r="AG385" s="14" t="s">
        <v>224</v>
      </c>
      <c r="AH385" s="14" t="n">
        <v>3.9</v>
      </c>
      <c r="AI385" s="14" t="s">
        <v>223</v>
      </c>
      <c r="AJ385" s="14" t="s">
        <v>224</v>
      </c>
      <c r="AK385" s="14" t="s">
        <v>240</v>
      </c>
      <c r="AL385" s="19" t="n">
        <f aca="false">ROUND('Start Here'!$B$29*AH385+'Start Here'!$B$30*MIN(IF(AD385="",0,AD385),50)/5+IF(M385&lt;=30000,'Start Here'!$B$31,IF(M385&lt;=60000,'Start Here'!$B$32,0)),1)</f>
        <v>2.6</v>
      </c>
      <c r="AM385" s="6" t="s">
        <v>1117</v>
      </c>
      <c r="AN385" s="6" t="s">
        <v>732</v>
      </c>
      <c r="AO385" s="6" t="s">
        <v>3335</v>
      </c>
      <c r="AP385" s="14" t="s">
        <v>3336</v>
      </c>
      <c r="AQ385" s="14" t="s">
        <v>1184</v>
      </c>
      <c r="AR385" s="20" t="s">
        <v>246</v>
      </c>
      <c r="AS385" s="20"/>
    </row>
    <row r="386" customFormat="false" ht="60" hidden="false" customHeight="true" outlineLevel="0" collapsed="false">
      <c r="A386" s="14" t="n">
        <v>385</v>
      </c>
      <c r="B386" s="14" t="s">
        <v>374</v>
      </c>
      <c r="C386" s="14" t="s">
        <v>221</v>
      </c>
      <c r="D386" s="14" t="s">
        <v>222</v>
      </c>
      <c r="E386" s="14" t="s">
        <v>34</v>
      </c>
      <c r="F386" s="14" t="s">
        <v>223</v>
      </c>
      <c r="G386" s="14" t="s">
        <v>224</v>
      </c>
      <c r="H386" s="14" t="s">
        <v>224</v>
      </c>
      <c r="I386" s="14" t="s">
        <v>308</v>
      </c>
      <c r="J386" s="14" t="s">
        <v>635</v>
      </c>
      <c r="K386" s="14" t="s">
        <v>2007</v>
      </c>
      <c r="L386" s="14" t="s">
        <v>2008</v>
      </c>
      <c r="M386" s="15" t="n">
        <v>100285</v>
      </c>
      <c r="N386" s="14" t="s">
        <v>2009</v>
      </c>
      <c r="O386" s="14" t="s">
        <v>3337</v>
      </c>
      <c r="P386" s="16" t="s">
        <v>3338</v>
      </c>
      <c r="Q386" s="6" t="s">
        <v>3339</v>
      </c>
      <c r="R386" s="6" t="s">
        <v>3340</v>
      </c>
      <c r="S386" s="14" t="s">
        <v>255</v>
      </c>
      <c r="T386" s="14" t="s">
        <v>235</v>
      </c>
      <c r="U386" s="14" t="s">
        <v>236</v>
      </c>
      <c r="V386" s="14" t="s">
        <v>383</v>
      </c>
      <c r="W386" s="14"/>
      <c r="X386" s="14"/>
      <c r="Y386" s="15"/>
      <c r="Z386" s="15" t="n">
        <v>867</v>
      </c>
      <c r="AA386" s="14" t="n">
        <v>2253</v>
      </c>
      <c r="AB386" s="14" t="n">
        <v>35</v>
      </c>
      <c r="AC386" s="17" t="n">
        <v>0.0317008962662272</v>
      </c>
      <c r="AD386" s="18" t="n">
        <v>18.19</v>
      </c>
      <c r="AE386" s="18" t="n">
        <f aca="false">IF(AD386="","",MIN(AD386,100))</f>
        <v>18.19</v>
      </c>
      <c r="AF386" s="14" t="n">
        <v>98.1</v>
      </c>
      <c r="AG386" s="14" t="s">
        <v>224</v>
      </c>
      <c r="AH386" s="14" t="n">
        <v>3</v>
      </c>
      <c r="AI386" s="14" t="s">
        <v>224</v>
      </c>
      <c r="AJ386" s="14" t="s">
        <v>224</v>
      </c>
      <c r="AK386" s="14" t="s">
        <v>240</v>
      </c>
      <c r="AL386" s="19" t="n">
        <f aca="false">ROUND('Start Here'!$B$29*AH386+'Start Here'!$B$30*MIN(IF(AD386="",0,AD386),50)/5+IF(M386&lt;=30000,'Start Here'!$B$31,IF(M386&lt;=60000,'Start Here'!$B$32,0)),1)</f>
        <v>2.6</v>
      </c>
      <c r="AM386" s="6" t="s">
        <v>491</v>
      </c>
      <c r="AN386" s="6" t="s">
        <v>840</v>
      </c>
      <c r="AO386" s="6"/>
      <c r="AP386" s="14"/>
      <c r="AQ386" s="14" t="s">
        <v>1662</v>
      </c>
      <c r="AR386" s="20" t="s">
        <v>246</v>
      </c>
      <c r="AS386" s="20"/>
    </row>
    <row r="387" customFormat="false" ht="60" hidden="false" customHeight="true" outlineLevel="0" collapsed="false">
      <c r="A387" s="14" t="n">
        <v>386</v>
      </c>
      <c r="B387" s="14" t="s">
        <v>374</v>
      </c>
      <c r="C387" s="14" t="s">
        <v>221</v>
      </c>
      <c r="D387" s="14" t="s">
        <v>222</v>
      </c>
      <c r="E387" s="14" t="s">
        <v>34</v>
      </c>
      <c r="F387" s="14" t="s">
        <v>223</v>
      </c>
      <c r="G387" s="14" t="s">
        <v>224</v>
      </c>
      <c r="H387" s="14" t="s">
        <v>224</v>
      </c>
      <c r="I387" s="14" t="s">
        <v>308</v>
      </c>
      <c r="J387" s="14" t="s">
        <v>635</v>
      </c>
      <c r="K387" s="14" t="s">
        <v>2007</v>
      </c>
      <c r="L387" s="14" t="s">
        <v>2008</v>
      </c>
      <c r="M387" s="15" t="n">
        <v>100285</v>
      </c>
      <c r="N387" s="14" t="s">
        <v>2009</v>
      </c>
      <c r="O387" s="14" t="s">
        <v>3337</v>
      </c>
      <c r="P387" s="16" t="s">
        <v>3341</v>
      </c>
      <c r="Q387" s="6" t="s">
        <v>3339</v>
      </c>
      <c r="R387" s="6" t="s">
        <v>3340</v>
      </c>
      <c r="S387" s="14" t="s">
        <v>255</v>
      </c>
      <c r="T387" s="14" t="s">
        <v>235</v>
      </c>
      <c r="U387" s="14" t="s">
        <v>236</v>
      </c>
      <c r="V387" s="14" t="s">
        <v>383</v>
      </c>
      <c r="W387" s="14"/>
      <c r="X387" s="14"/>
      <c r="Y387" s="15"/>
      <c r="Z387" s="15" t="n">
        <v>867</v>
      </c>
      <c r="AA387" s="14" t="n">
        <v>2253</v>
      </c>
      <c r="AB387" s="14" t="n">
        <v>35</v>
      </c>
      <c r="AC387" s="17" t="n">
        <v>0.0317008962662272</v>
      </c>
      <c r="AD387" s="18" t="n">
        <v>18.19</v>
      </c>
      <c r="AE387" s="18" t="n">
        <f aca="false">IF(AD387="","",MIN(AD387,100))</f>
        <v>18.19</v>
      </c>
      <c r="AF387" s="14" t="n">
        <v>98.1</v>
      </c>
      <c r="AG387" s="14" t="s">
        <v>224</v>
      </c>
      <c r="AH387" s="14" t="n">
        <v>3</v>
      </c>
      <c r="AI387" s="14" t="s">
        <v>224</v>
      </c>
      <c r="AJ387" s="14" t="s">
        <v>224</v>
      </c>
      <c r="AK387" s="14" t="s">
        <v>240</v>
      </c>
      <c r="AL387" s="19" t="n">
        <f aca="false">ROUND('Start Here'!$B$29*AH387+'Start Here'!$B$30*MIN(IF(AD387="",0,AD387),50)/5+IF(M387&lt;=30000,'Start Here'!$B$31,IF(M387&lt;=60000,'Start Here'!$B$32,0)),1)</f>
        <v>2.6</v>
      </c>
      <c r="AM387" s="6" t="s">
        <v>491</v>
      </c>
      <c r="AN387" s="6" t="s">
        <v>840</v>
      </c>
      <c r="AO387" s="6"/>
      <c r="AP387" s="14"/>
      <c r="AQ387" s="14" t="s">
        <v>1310</v>
      </c>
      <c r="AR387" s="20" t="s">
        <v>246</v>
      </c>
      <c r="AS387" s="20"/>
    </row>
    <row r="388" customFormat="false" ht="60" hidden="false" customHeight="true" outlineLevel="0" collapsed="false">
      <c r="A388" s="14" t="n">
        <v>387</v>
      </c>
      <c r="B388" s="14" t="s">
        <v>220</v>
      </c>
      <c r="C388" s="14" t="s">
        <v>221</v>
      </c>
      <c r="D388" s="14" t="s">
        <v>222</v>
      </c>
      <c r="E388" s="14" t="s">
        <v>40</v>
      </c>
      <c r="F388" s="14" t="s">
        <v>224</v>
      </c>
      <c r="G388" s="14" t="s">
        <v>224</v>
      </c>
      <c r="H388" s="14" t="s">
        <v>224</v>
      </c>
      <c r="I388" s="14" t="s">
        <v>322</v>
      </c>
      <c r="J388" s="14" t="s">
        <v>225</v>
      </c>
      <c r="K388" s="14" t="s">
        <v>2754</v>
      </c>
      <c r="L388" s="14" t="s">
        <v>2755</v>
      </c>
      <c r="M388" s="15" t="n">
        <v>76503</v>
      </c>
      <c r="N388" s="14" t="s">
        <v>400</v>
      </c>
      <c r="O388" s="14" t="s">
        <v>3342</v>
      </c>
      <c r="P388" s="16" t="s">
        <v>3343</v>
      </c>
      <c r="Q388" s="6" t="s">
        <v>3344</v>
      </c>
      <c r="R388" s="6" t="s">
        <v>3345</v>
      </c>
      <c r="S388" s="14" t="s">
        <v>685</v>
      </c>
      <c r="T388" s="14" t="s">
        <v>235</v>
      </c>
      <c r="U388" s="14" t="s">
        <v>686</v>
      </c>
      <c r="V388" s="14" t="s">
        <v>237</v>
      </c>
      <c r="W388" s="14" t="s">
        <v>238</v>
      </c>
      <c r="X388" s="14" t="s">
        <v>688</v>
      </c>
      <c r="Y388" s="15" t="n">
        <v>26315</v>
      </c>
      <c r="Z388" s="15" t="n">
        <v>161</v>
      </c>
      <c r="AA388" s="14" t="n">
        <v>6</v>
      </c>
      <c r="AB388" s="14" t="n">
        <v>11</v>
      </c>
      <c r="AC388" s="17" t="n">
        <v>0.00676420292608778</v>
      </c>
      <c r="AD388" s="18" t="n">
        <v>8.32</v>
      </c>
      <c r="AE388" s="18" t="n">
        <f aca="false">IF(AD388="","",MIN(AD388,100))</f>
        <v>8.32</v>
      </c>
      <c r="AF388" s="14" t="n">
        <v>95</v>
      </c>
      <c r="AG388" s="14" t="s">
        <v>224</v>
      </c>
      <c r="AH388" s="14" t="n">
        <v>4</v>
      </c>
      <c r="AI388" s="14" t="s">
        <v>224</v>
      </c>
      <c r="AJ388" s="14" t="s">
        <v>224</v>
      </c>
      <c r="AK388" s="14" t="s">
        <v>240</v>
      </c>
      <c r="AL388" s="19" t="n">
        <f aca="false">ROUND('Start Here'!$B$29*AH388+'Start Here'!$B$30*MIN(IF(AD388="",0,AD388),50)/5+IF(M388&lt;=30000,'Start Here'!$B$31,IF(M388&lt;=60000,'Start Here'!$B$32,0)),1)</f>
        <v>2.5</v>
      </c>
      <c r="AM388" s="6" t="s">
        <v>1316</v>
      </c>
      <c r="AN388" s="6" t="s">
        <v>727</v>
      </c>
      <c r="AO388" s="6" t="s">
        <v>3346</v>
      </c>
      <c r="AP388" s="14"/>
      <c r="AQ388" s="14" t="s">
        <v>524</v>
      </c>
      <c r="AR388" s="20" t="s">
        <v>246</v>
      </c>
      <c r="AS388" s="20"/>
    </row>
    <row r="389" customFormat="false" ht="60" hidden="false" customHeight="true" outlineLevel="0" collapsed="false">
      <c r="A389" s="14" t="n">
        <v>388</v>
      </c>
      <c r="B389" s="14" t="s">
        <v>374</v>
      </c>
      <c r="C389" s="14" t="s">
        <v>221</v>
      </c>
      <c r="D389" s="14" t="s">
        <v>222</v>
      </c>
      <c r="E389" s="14" t="s">
        <v>38</v>
      </c>
      <c r="F389" s="14" t="s">
        <v>224</v>
      </c>
      <c r="G389" s="14" t="s">
        <v>224</v>
      </c>
      <c r="H389" s="14" t="s">
        <v>223</v>
      </c>
      <c r="I389" s="14" t="s">
        <v>225</v>
      </c>
      <c r="J389" s="14" t="s">
        <v>2670</v>
      </c>
      <c r="K389" s="14" t="s">
        <v>3329</v>
      </c>
      <c r="L389" s="14" t="s">
        <v>3330</v>
      </c>
      <c r="M389" s="15" t="n">
        <v>96495</v>
      </c>
      <c r="N389" s="14" t="s">
        <v>400</v>
      </c>
      <c r="O389" s="14" t="s">
        <v>1213</v>
      </c>
      <c r="P389" s="16" t="s">
        <v>3347</v>
      </c>
      <c r="Q389" s="6" t="s">
        <v>3348</v>
      </c>
      <c r="R389" s="6" t="s">
        <v>3349</v>
      </c>
      <c r="S389" s="14" t="s">
        <v>330</v>
      </c>
      <c r="T389" s="14" t="s">
        <v>917</v>
      </c>
      <c r="U389" s="14" t="s">
        <v>236</v>
      </c>
      <c r="V389" s="14" t="s">
        <v>331</v>
      </c>
      <c r="W389" s="14" t="s">
        <v>257</v>
      </c>
      <c r="X389" s="14" t="s">
        <v>239</v>
      </c>
      <c r="Y389" s="15"/>
      <c r="Z389" s="15" t="n">
        <v>1043</v>
      </c>
      <c r="AA389" s="14" t="n">
        <v>217</v>
      </c>
      <c r="AB389" s="14" t="n">
        <v>132</v>
      </c>
      <c r="AC389" s="17" t="n">
        <v>0.015330565314596</v>
      </c>
      <c r="AD389" s="18" t="n">
        <v>8.34</v>
      </c>
      <c r="AE389" s="18" t="n">
        <f aca="false">IF(AD389="","",MIN(AD389,100))</f>
        <v>8.34</v>
      </c>
      <c r="AF389" s="14" t="n">
        <v>98.9</v>
      </c>
      <c r="AG389" s="14" t="s">
        <v>224</v>
      </c>
      <c r="AH389" s="14" t="n">
        <v>3.9</v>
      </c>
      <c r="AI389" s="14" t="s">
        <v>223</v>
      </c>
      <c r="AJ389" s="14" t="s">
        <v>224</v>
      </c>
      <c r="AK389" s="14" t="s">
        <v>240</v>
      </c>
      <c r="AL389" s="19" t="n">
        <f aca="false">ROUND('Start Here'!$B$29*AH389+'Start Here'!$B$30*MIN(IF(AD389="",0,AD389),50)/5+IF(M389&lt;=30000,'Start Here'!$B$31,IF(M389&lt;=60000,'Start Here'!$B$32,0)),1)</f>
        <v>2.5</v>
      </c>
      <c r="AM389" s="6" t="s">
        <v>1117</v>
      </c>
      <c r="AN389" s="6" t="s">
        <v>416</v>
      </c>
      <c r="AO389" s="6" t="s">
        <v>3350</v>
      </c>
      <c r="AP389" s="14" t="s">
        <v>3351</v>
      </c>
      <c r="AQ389" s="14" t="s">
        <v>1184</v>
      </c>
      <c r="AR389" s="20" t="s">
        <v>246</v>
      </c>
      <c r="AS389" s="20"/>
    </row>
    <row r="390" customFormat="false" ht="60" hidden="false" customHeight="true" outlineLevel="0" collapsed="false">
      <c r="A390" s="14" t="n">
        <v>389</v>
      </c>
      <c r="B390" s="14" t="s">
        <v>374</v>
      </c>
      <c r="C390" s="14" t="s">
        <v>221</v>
      </c>
      <c r="D390" s="14" t="s">
        <v>222</v>
      </c>
      <c r="E390" s="14" t="s">
        <v>40</v>
      </c>
      <c r="F390" s="14" t="s">
        <v>224</v>
      </c>
      <c r="G390" s="14" t="s">
        <v>224</v>
      </c>
      <c r="H390" s="14" t="s">
        <v>224</v>
      </c>
      <c r="I390" s="14" t="s">
        <v>322</v>
      </c>
      <c r="J390" s="14" t="s">
        <v>225</v>
      </c>
      <c r="K390" s="14" t="s">
        <v>3352</v>
      </c>
      <c r="L390" s="14" t="s">
        <v>3353</v>
      </c>
      <c r="M390" s="15" t="n">
        <v>87585</v>
      </c>
      <c r="N390" s="14" t="s">
        <v>400</v>
      </c>
      <c r="O390" s="14" t="s">
        <v>3020</v>
      </c>
      <c r="P390" s="16" t="s">
        <v>3354</v>
      </c>
      <c r="Q390" s="6" t="s">
        <v>3355</v>
      </c>
      <c r="R390" s="6" t="s">
        <v>3356</v>
      </c>
      <c r="S390" s="14" t="s">
        <v>255</v>
      </c>
      <c r="T390" s="14" t="s">
        <v>235</v>
      </c>
      <c r="U390" s="14" t="s">
        <v>236</v>
      </c>
      <c r="V390" s="14" t="s">
        <v>237</v>
      </c>
      <c r="W390" s="14" t="s">
        <v>687</v>
      </c>
      <c r="X390" s="14" t="s">
        <v>239</v>
      </c>
      <c r="Y390" s="15"/>
      <c r="Z390" s="15" t="n">
        <v>833</v>
      </c>
      <c r="AA390" s="14" t="n">
        <v>78</v>
      </c>
      <c r="AB390" s="14" t="n">
        <v>42</v>
      </c>
      <c r="AC390" s="17" t="n">
        <v>0.0114198751363075</v>
      </c>
      <c r="AD390" s="18" t="n">
        <v>7.16</v>
      </c>
      <c r="AE390" s="18" t="n">
        <f aca="false">IF(AD390="","",MIN(AD390,100))</f>
        <v>7.16</v>
      </c>
      <c r="AF390" s="14" t="n">
        <v>94.2</v>
      </c>
      <c r="AG390" s="14" t="s">
        <v>224</v>
      </c>
      <c r="AH390" s="14" t="n">
        <v>4</v>
      </c>
      <c r="AI390" s="14" t="s">
        <v>224</v>
      </c>
      <c r="AJ390" s="14" t="s">
        <v>224</v>
      </c>
      <c r="AK390" s="14" t="s">
        <v>240</v>
      </c>
      <c r="AL390" s="19" t="n">
        <f aca="false">ROUND('Start Here'!$B$29*AH390+'Start Here'!$B$30*MIN(IF(AD390="",0,AD390),50)/5+IF(M390&lt;=30000,'Start Here'!$B$31,IF(M390&lt;=60000,'Start Here'!$B$32,0)),1)</f>
        <v>2.4</v>
      </c>
      <c r="AM390" s="6" t="s">
        <v>534</v>
      </c>
      <c r="AN390" s="6" t="s">
        <v>1969</v>
      </c>
      <c r="AO390" s="6" t="s">
        <v>3357</v>
      </c>
      <c r="AP390" s="14" t="s">
        <v>3358</v>
      </c>
      <c r="AQ390" s="14" t="s">
        <v>2399</v>
      </c>
      <c r="AR390" s="20" t="s">
        <v>246</v>
      </c>
      <c r="AS390" s="20"/>
    </row>
    <row r="391" customFormat="false" ht="60" hidden="false" customHeight="true" outlineLevel="0" collapsed="false">
      <c r="A391" s="14" t="n">
        <v>390</v>
      </c>
      <c r="B391" s="14" t="s">
        <v>374</v>
      </c>
      <c r="C391" s="14" t="s">
        <v>221</v>
      </c>
      <c r="D391" s="14" t="s">
        <v>222</v>
      </c>
      <c r="E391" s="14" t="s">
        <v>40</v>
      </c>
      <c r="F391" s="14" t="s">
        <v>224</v>
      </c>
      <c r="G391" s="14" t="s">
        <v>224</v>
      </c>
      <c r="H391" s="14" t="s">
        <v>224</v>
      </c>
      <c r="I391" s="14" t="s">
        <v>225</v>
      </c>
      <c r="J391" s="14" t="s">
        <v>338</v>
      </c>
      <c r="K391" s="14" t="s">
        <v>2370</v>
      </c>
      <c r="L391" s="14" t="s">
        <v>2371</v>
      </c>
      <c r="M391" s="15" t="n">
        <v>81732</v>
      </c>
      <c r="N391" s="14" t="s">
        <v>400</v>
      </c>
      <c r="O391" s="14" t="s">
        <v>705</v>
      </c>
      <c r="P391" s="16" t="s">
        <v>3359</v>
      </c>
      <c r="Q391" s="6" t="s">
        <v>3360</v>
      </c>
      <c r="R391" s="6" t="s">
        <v>3361</v>
      </c>
      <c r="S391" s="14" t="s">
        <v>234</v>
      </c>
      <c r="T391" s="14" t="s">
        <v>235</v>
      </c>
      <c r="U391" s="14" t="s">
        <v>236</v>
      </c>
      <c r="V391" s="14" t="s">
        <v>237</v>
      </c>
      <c r="W391" s="14" t="s">
        <v>332</v>
      </c>
      <c r="X391" s="14" t="s">
        <v>333</v>
      </c>
      <c r="Y391" s="15"/>
      <c r="Z391" s="15" t="n">
        <v>797</v>
      </c>
      <c r="AA391" s="14" t="n">
        <v>423</v>
      </c>
      <c r="AB391" s="14" t="n">
        <v>9</v>
      </c>
      <c r="AC391" s="17" t="n">
        <v>0.0164500542088849</v>
      </c>
      <c r="AD391" s="18" t="n">
        <v>4.93</v>
      </c>
      <c r="AE391" s="18" t="n">
        <f aca="false">IF(AD391="","",MIN(AD391,100))</f>
        <v>4.93</v>
      </c>
      <c r="AF391" s="14" t="n">
        <v>98.1</v>
      </c>
      <c r="AG391" s="14" t="s">
        <v>224</v>
      </c>
      <c r="AH391" s="14" t="n">
        <v>4</v>
      </c>
      <c r="AI391" s="14" t="s">
        <v>224</v>
      </c>
      <c r="AJ391" s="14" t="s">
        <v>224</v>
      </c>
      <c r="AK391" s="14" t="s">
        <v>240</v>
      </c>
      <c r="AL391" s="19" t="n">
        <f aca="false">ROUND('Start Here'!$B$29*AH391+'Start Here'!$B$30*MIN(IF(AD391="",0,AD391),50)/5+IF(M391&lt;=30000,'Start Here'!$B$31,IF(M391&lt;=60000,'Start Here'!$B$32,0)),1)</f>
        <v>2.3</v>
      </c>
      <c r="AM391" s="6" t="s">
        <v>2263</v>
      </c>
      <c r="AN391" s="6" t="s">
        <v>242</v>
      </c>
      <c r="AO391" s="6" t="s">
        <v>3362</v>
      </c>
      <c r="AP391" s="14" t="s">
        <v>3363</v>
      </c>
      <c r="AQ391" s="14" t="s">
        <v>718</v>
      </c>
      <c r="AR391" s="20" t="s">
        <v>246</v>
      </c>
      <c r="AS391" s="20"/>
    </row>
    <row r="392" customFormat="false" ht="60" hidden="false" customHeight="true" outlineLevel="0" collapsed="false">
      <c r="A392" s="14" t="n">
        <v>391</v>
      </c>
      <c r="B392" s="14" t="s">
        <v>374</v>
      </c>
      <c r="C392" s="14" t="s">
        <v>221</v>
      </c>
      <c r="D392" s="14" t="s">
        <v>222</v>
      </c>
      <c r="E392" s="14" t="s">
        <v>40</v>
      </c>
      <c r="F392" s="14" t="s">
        <v>224</v>
      </c>
      <c r="G392" s="14" t="s">
        <v>224</v>
      </c>
      <c r="H392" s="14" t="s">
        <v>224</v>
      </c>
      <c r="I392" s="14" t="s">
        <v>225</v>
      </c>
      <c r="J392" s="14" t="s">
        <v>322</v>
      </c>
      <c r="K392" s="14" t="s">
        <v>3364</v>
      </c>
      <c r="L392" s="14" t="s">
        <v>3365</v>
      </c>
      <c r="M392" s="15" t="n">
        <v>114864</v>
      </c>
      <c r="N392" s="14" t="s">
        <v>2009</v>
      </c>
      <c r="O392" s="14" t="s">
        <v>977</v>
      </c>
      <c r="P392" s="16" t="s">
        <v>3366</v>
      </c>
      <c r="Q392" s="6" t="s">
        <v>3367</v>
      </c>
      <c r="R392" s="6" t="s">
        <v>3368</v>
      </c>
      <c r="S392" s="14" t="s">
        <v>513</v>
      </c>
      <c r="T392" s="14" t="s">
        <v>235</v>
      </c>
      <c r="U392" s="14" t="s">
        <v>236</v>
      </c>
      <c r="V392" s="14" t="s">
        <v>237</v>
      </c>
      <c r="W392" s="14" t="s">
        <v>238</v>
      </c>
      <c r="X392" s="14" t="s">
        <v>239</v>
      </c>
      <c r="Y392" s="15"/>
      <c r="Z392" s="15" t="n">
        <v>831</v>
      </c>
      <c r="AA392" s="14" t="n">
        <v>202</v>
      </c>
      <c r="AB392" s="14" t="n">
        <v>22</v>
      </c>
      <c r="AC392" s="17" t="n">
        <v>0.00919911060731569</v>
      </c>
      <c r="AD392" s="18" t="n">
        <v>4.27</v>
      </c>
      <c r="AE392" s="18" t="n">
        <f aca="false">IF(AD392="","",MIN(AD392,100))</f>
        <v>4.27</v>
      </c>
      <c r="AF392" s="14" t="n">
        <v>91.8</v>
      </c>
      <c r="AG392" s="14" t="s">
        <v>224</v>
      </c>
      <c r="AH392" s="14" t="n">
        <v>4</v>
      </c>
      <c r="AI392" s="14" t="s">
        <v>224</v>
      </c>
      <c r="AJ392" s="14" t="s">
        <v>224</v>
      </c>
      <c r="AK392" s="14" t="s">
        <v>240</v>
      </c>
      <c r="AL392" s="19" t="n">
        <f aca="false">ROUND('Start Here'!$B$29*AH392+'Start Here'!$B$30*MIN(IF(AD392="",0,AD392),50)/5+IF(M392&lt;=30000,'Start Here'!$B$31,IF(M392&lt;=60000,'Start Here'!$B$32,0)),1)</f>
        <v>2.3</v>
      </c>
      <c r="AM392" s="6" t="s">
        <v>789</v>
      </c>
      <c r="AN392" s="6" t="s">
        <v>1098</v>
      </c>
      <c r="AO392" s="6" t="s">
        <v>3369</v>
      </c>
      <c r="AP392" s="14" t="s">
        <v>3370</v>
      </c>
      <c r="AQ392" s="14" t="s">
        <v>351</v>
      </c>
      <c r="AR392" s="20" t="s">
        <v>246</v>
      </c>
      <c r="AS392" s="20"/>
    </row>
    <row r="393" customFormat="false" ht="60" hidden="false" customHeight="true" outlineLevel="0" collapsed="false">
      <c r="A393" s="14" t="n">
        <v>392</v>
      </c>
      <c r="B393" s="14" t="s">
        <v>374</v>
      </c>
      <c r="C393" s="14" t="s">
        <v>221</v>
      </c>
      <c r="D393" s="14" t="s">
        <v>222</v>
      </c>
      <c r="E393" s="14" t="s">
        <v>38</v>
      </c>
      <c r="F393" s="14" t="s">
        <v>224</v>
      </c>
      <c r="G393" s="14" t="s">
        <v>224</v>
      </c>
      <c r="H393" s="14" t="s">
        <v>223</v>
      </c>
      <c r="I393" s="14" t="s">
        <v>308</v>
      </c>
      <c r="J393" s="14" t="s">
        <v>635</v>
      </c>
      <c r="K393" s="14" t="s">
        <v>3294</v>
      </c>
      <c r="L393" s="14" t="s">
        <v>3295</v>
      </c>
      <c r="M393" s="15" t="n">
        <v>68546</v>
      </c>
      <c r="N393" s="14" t="s">
        <v>400</v>
      </c>
      <c r="O393" s="14" t="s">
        <v>2273</v>
      </c>
      <c r="P393" s="16" t="s">
        <v>3371</v>
      </c>
      <c r="Q393" s="6" t="s">
        <v>3372</v>
      </c>
      <c r="R393" s="6" t="s">
        <v>3373</v>
      </c>
      <c r="S393" s="14" t="s">
        <v>513</v>
      </c>
      <c r="T393" s="14" t="s">
        <v>235</v>
      </c>
      <c r="U393" s="14" t="s">
        <v>236</v>
      </c>
      <c r="V393" s="14" t="s">
        <v>383</v>
      </c>
      <c r="W393" s="14"/>
      <c r="X393" s="14"/>
      <c r="Y393" s="15"/>
      <c r="Z393" s="15" t="n">
        <v>1035</v>
      </c>
      <c r="AA393" s="14" t="n">
        <v>310</v>
      </c>
      <c r="AB393" s="14" t="n">
        <v>8</v>
      </c>
      <c r="AC393" s="17" t="n">
        <v>0.0197385697196044</v>
      </c>
      <c r="AD393" s="18" t="n">
        <v>2.39</v>
      </c>
      <c r="AE393" s="18" t="n">
        <f aca="false">IF(AD393="","",MIN(AD393,100))</f>
        <v>2.39</v>
      </c>
      <c r="AF393" s="14" t="n">
        <v>98.8</v>
      </c>
      <c r="AG393" s="14" t="s">
        <v>224</v>
      </c>
      <c r="AH393" s="14" t="n">
        <v>4</v>
      </c>
      <c r="AI393" s="14" t="s">
        <v>224</v>
      </c>
      <c r="AJ393" s="14" t="s">
        <v>224</v>
      </c>
      <c r="AK393" s="14" t="s">
        <v>240</v>
      </c>
      <c r="AL393" s="19" t="n">
        <f aca="false">ROUND('Start Here'!$B$29*AH393+'Start Here'!$B$30*MIN(IF(AD393="",0,AD393),50)/5+IF(M393&lt;=30000,'Start Here'!$B$31,IF(M393&lt;=60000,'Start Here'!$B$32,0)),1)</f>
        <v>2.1</v>
      </c>
      <c r="AM393" s="6" t="s">
        <v>1361</v>
      </c>
      <c r="AN393" s="6" t="s">
        <v>1237</v>
      </c>
      <c r="AO393" s="6"/>
      <c r="AP393" s="14"/>
      <c r="AQ393" s="14" t="s">
        <v>3374</v>
      </c>
      <c r="AR393" s="20" t="s">
        <v>246</v>
      </c>
      <c r="AS393" s="20"/>
    </row>
    <row r="394" customFormat="false" ht="60" hidden="false" customHeight="true" outlineLevel="0" collapsed="false">
      <c r="A394" s="14" t="n">
        <v>393</v>
      </c>
      <c r="B394" s="14" t="s">
        <v>374</v>
      </c>
      <c r="C394" s="14" t="s">
        <v>221</v>
      </c>
      <c r="D394" s="14" t="s">
        <v>222</v>
      </c>
      <c r="E394" s="14" t="s">
        <v>38</v>
      </c>
      <c r="F394" s="14" t="s">
        <v>224</v>
      </c>
      <c r="G394" s="14" t="s">
        <v>224</v>
      </c>
      <c r="H394" s="14" t="s">
        <v>223</v>
      </c>
      <c r="I394" s="14" t="s">
        <v>225</v>
      </c>
      <c r="J394" s="14"/>
      <c r="K394" s="14" t="s">
        <v>3189</v>
      </c>
      <c r="L394" s="14" t="s">
        <v>3190</v>
      </c>
      <c r="M394" s="15" t="n">
        <v>95779</v>
      </c>
      <c r="N394" s="14" t="s">
        <v>400</v>
      </c>
      <c r="O394" s="14" t="s">
        <v>2599</v>
      </c>
      <c r="P394" s="16" t="s">
        <v>3375</v>
      </c>
      <c r="Q394" s="6" t="s">
        <v>3376</v>
      </c>
      <c r="R394" s="6" t="s">
        <v>3377</v>
      </c>
      <c r="S394" s="14" t="s">
        <v>3017</v>
      </c>
      <c r="T394" s="14" t="s">
        <v>235</v>
      </c>
      <c r="U394" s="14" t="s">
        <v>236</v>
      </c>
      <c r="V394" s="14" t="s">
        <v>288</v>
      </c>
      <c r="W394" s="14" t="s">
        <v>819</v>
      </c>
      <c r="X394" s="14" t="s">
        <v>239</v>
      </c>
      <c r="Y394" s="15"/>
      <c r="Z394" s="15" t="n">
        <v>1740</v>
      </c>
      <c r="AA394" s="14" t="n">
        <v>169</v>
      </c>
      <c r="AB394" s="14" t="n">
        <v>63</v>
      </c>
      <c r="AC394" s="17" t="n">
        <v>0.0209175285070273</v>
      </c>
      <c r="AD394" s="18" t="n">
        <v>8.74</v>
      </c>
      <c r="AE394" s="18" t="n">
        <f aca="false">IF(AD394="","",MIN(AD394,100))</f>
        <v>8.74</v>
      </c>
      <c r="AF394" s="14" t="n">
        <v>94.8</v>
      </c>
      <c r="AG394" s="14" t="s">
        <v>224</v>
      </c>
      <c r="AH394" s="14" t="n">
        <v>3</v>
      </c>
      <c r="AI394" s="14" t="s">
        <v>224</v>
      </c>
      <c r="AJ394" s="14" t="s">
        <v>224</v>
      </c>
      <c r="AK394" s="14" t="s">
        <v>240</v>
      </c>
      <c r="AL394" s="19" t="n">
        <f aca="false">ROUND('Start Here'!$B$29*AH394+'Start Here'!$B$30*MIN(IF(AD394="",0,AD394),50)/5+IF(M394&lt;=30000,'Start Here'!$B$31,IF(M394&lt;=60000,'Start Here'!$B$32,0)),1)</f>
        <v>2</v>
      </c>
      <c r="AM394" s="6" t="s">
        <v>534</v>
      </c>
      <c r="AN394" s="6" t="s">
        <v>3378</v>
      </c>
      <c r="AO394" s="6" t="s">
        <v>3379</v>
      </c>
      <c r="AP394" s="14" t="s">
        <v>3380</v>
      </c>
      <c r="AQ394" s="14" t="s">
        <v>1184</v>
      </c>
      <c r="AR394" s="20" t="s">
        <v>246</v>
      </c>
      <c r="AS394" s="20"/>
    </row>
    <row r="395" customFormat="false" ht="60" hidden="false" customHeight="true" outlineLevel="0" collapsed="false">
      <c r="A395" s="14" t="n">
        <v>394</v>
      </c>
      <c r="B395" s="14" t="s">
        <v>220</v>
      </c>
      <c r="C395" s="14" t="s">
        <v>221</v>
      </c>
      <c r="D395" s="14" t="s">
        <v>222</v>
      </c>
      <c r="E395" s="14" t="s">
        <v>38</v>
      </c>
      <c r="F395" s="14" t="s">
        <v>224</v>
      </c>
      <c r="G395" s="14" t="s">
        <v>224</v>
      </c>
      <c r="H395" s="14" t="s">
        <v>223</v>
      </c>
      <c r="I395" s="14" t="s">
        <v>225</v>
      </c>
      <c r="J395" s="14" t="s">
        <v>2017</v>
      </c>
      <c r="K395" s="14" t="s">
        <v>3381</v>
      </c>
      <c r="L395" s="14" t="s">
        <v>3382</v>
      </c>
      <c r="M395" s="15" t="n">
        <v>143156</v>
      </c>
      <c r="N395" s="14" t="s">
        <v>2009</v>
      </c>
      <c r="O395" s="14" t="s">
        <v>1958</v>
      </c>
      <c r="P395" s="16" t="s">
        <v>3383</v>
      </c>
      <c r="Q395" s="6" t="s">
        <v>3384</v>
      </c>
      <c r="R395" s="6" t="s">
        <v>3385</v>
      </c>
      <c r="S395" s="14" t="s">
        <v>255</v>
      </c>
      <c r="T395" s="14" t="s">
        <v>673</v>
      </c>
      <c r="U395" s="14" t="s">
        <v>236</v>
      </c>
      <c r="V395" s="14" t="s">
        <v>288</v>
      </c>
      <c r="W395" s="14" t="s">
        <v>275</v>
      </c>
      <c r="X395" s="14" t="s">
        <v>239</v>
      </c>
      <c r="Y395" s="15" t="n">
        <v>919931</v>
      </c>
      <c r="Z395" s="15" t="n">
        <v>3047</v>
      </c>
      <c r="AA395" s="14" t="n">
        <v>215</v>
      </c>
      <c r="AB395" s="14" t="n">
        <v>448</v>
      </c>
      <c r="AC395" s="17" t="n">
        <v>0.00403291116398947</v>
      </c>
      <c r="AD395" s="18" t="n">
        <v>4.69</v>
      </c>
      <c r="AE395" s="18" t="n">
        <f aca="false">IF(AD395="","",MIN(AD395,100))</f>
        <v>4.69</v>
      </c>
      <c r="AF395" s="14" t="n">
        <v>95.2</v>
      </c>
      <c r="AG395" s="14" t="s">
        <v>224</v>
      </c>
      <c r="AH395" s="14" t="n">
        <v>3.3</v>
      </c>
      <c r="AI395" s="14" t="s">
        <v>224</v>
      </c>
      <c r="AJ395" s="14" t="s">
        <v>224</v>
      </c>
      <c r="AK395" s="14" t="s">
        <v>240</v>
      </c>
      <c r="AL395" s="19" t="n">
        <f aca="false">ROUND('Start Here'!$B$29*AH395+'Start Here'!$B$30*MIN(IF(AD395="",0,AD395),50)/5+IF(M395&lt;=30000,'Start Here'!$B$31,IF(M395&lt;=60000,'Start Here'!$B$32,0)),1)</f>
        <v>1.9</v>
      </c>
      <c r="AM395" s="6" t="s">
        <v>534</v>
      </c>
      <c r="AN395" s="6" t="s">
        <v>674</v>
      </c>
      <c r="AO395" s="6" t="s">
        <v>3386</v>
      </c>
      <c r="AP395" s="14" t="s">
        <v>3387</v>
      </c>
      <c r="AQ395" s="14" t="s">
        <v>735</v>
      </c>
      <c r="AR395" s="20" t="s">
        <v>246</v>
      </c>
      <c r="AS395" s="20"/>
    </row>
    <row r="396" customFormat="false" ht="60" hidden="false" customHeight="true" outlineLevel="0" collapsed="false">
      <c r="A396" s="14" t="n">
        <v>395</v>
      </c>
      <c r="B396" s="14" t="s">
        <v>220</v>
      </c>
      <c r="C396" s="14" t="s">
        <v>221</v>
      </c>
      <c r="D396" s="14" t="s">
        <v>222</v>
      </c>
      <c r="E396" s="14" t="s">
        <v>40</v>
      </c>
      <c r="F396" s="14" t="s">
        <v>224</v>
      </c>
      <c r="G396" s="14" t="s">
        <v>224</v>
      </c>
      <c r="H396" s="14" t="s">
        <v>224</v>
      </c>
      <c r="I396" s="14" t="s">
        <v>322</v>
      </c>
      <c r="J396" s="14" t="s">
        <v>338</v>
      </c>
      <c r="K396" s="14" t="s">
        <v>3388</v>
      </c>
      <c r="L396" s="14" t="s">
        <v>3389</v>
      </c>
      <c r="M396" s="15" t="n">
        <v>253389</v>
      </c>
      <c r="N396" s="14" t="s">
        <v>2009</v>
      </c>
      <c r="O396" s="14" t="s">
        <v>3390</v>
      </c>
      <c r="P396" s="16" t="s">
        <v>3391</v>
      </c>
      <c r="Q396" s="6" t="s">
        <v>3392</v>
      </c>
      <c r="R396" s="6" t="s">
        <v>3393</v>
      </c>
      <c r="S396" s="14" t="s">
        <v>1495</v>
      </c>
      <c r="T396" s="14" t="s">
        <v>235</v>
      </c>
      <c r="U396" s="14" t="s">
        <v>236</v>
      </c>
      <c r="V396" s="14" t="s">
        <v>237</v>
      </c>
      <c r="W396" s="14" t="s">
        <v>238</v>
      </c>
      <c r="X396" s="14" t="s">
        <v>239</v>
      </c>
      <c r="Y396" s="15" t="n">
        <v>24901</v>
      </c>
      <c r="Z396" s="15" t="n">
        <v>182</v>
      </c>
      <c r="AA396" s="14" t="n">
        <v>35</v>
      </c>
      <c r="AB396" s="14" t="n">
        <v>8</v>
      </c>
      <c r="AC396" s="17" t="n">
        <v>0.00903578169551424</v>
      </c>
      <c r="AD396" s="18" t="n">
        <v>5.48</v>
      </c>
      <c r="AE396" s="18" t="n">
        <f aca="false">IF(AD396="","",MIN(AD396,100))</f>
        <v>5.48</v>
      </c>
      <c r="AF396" s="14" t="n">
        <v>94.5</v>
      </c>
      <c r="AG396" s="14" t="s">
        <v>224</v>
      </c>
      <c r="AH396" s="14" t="n">
        <v>3</v>
      </c>
      <c r="AI396" s="14" t="s">
        <v>224</v>
      </c>
      <c r="AJ396" s="14" t="s">
        <v>224</v>
      </c>
      <c r="AK396" s="14" t="s">
        <v>240</v>
      </c>
      <c r="AL396" s="19" t="n">
        <f aca="false">ROUND('Start Here'!$B$29*AH396+'Start Here'!$B$30*MIN(IF(AD396="",0,AD396),50)/5+IF(M396&lt;=30000,'Start Here'!$B$31,IF(M396&lt;=60000,'Start Here'!$B$32,0)),1)</f>
        <v>1.8</v>
      </c>
      <c r="AM396" s="6" t="s">
        <v>1987</v>
      </c>
      <c r="AN396" s="6" t="s">
        <v>1788</v>
      </c>
      <c r="AO396" s="6" t="s">
        <v>3394</v>
      </c>
      <c r="AP396" s="14" t="s">
        <v>3395</v>
      </c>
      <c r="AQ396" s="14" t="s">
        <v>351</v>
      </c>
      <c r="AR396" s="20" t="s">
        <v>246</v>
      </c>
      <c r="AS396" s="20"/>
    </row>
  </sheetData>
  <autoFilter ref="A1:AS396"/>
  <conditionalFormatting sqref="AL2:AL396">
    <cfRule type="colorScale" priority="2">
      <colorScale>
        <cfvo type="min" val="0"/>
        <cfvo type="percentile" val="50"/>
        <cfvo type="max" val="0"/>
        <color rgb="FFF8696B"/>
        <color rgb="FFFFEB84"/>
        <color rgb="FF63BE7B"/>
      </colorScale>
    </cfRule>
  </conditionalFormatting>
  <conditionalFormatting sqref="AH2:AH396">
    <cfRule type="colorScale" priority="3">
      <colorScale>
        <cfvo type="num" val="3"/>
        <cfvo type="num" val="10"/>
        <color rgb="FFFFFFFF"/>
        <color rgb="FF63BE7B"/>
      </colorScale>
    </cfRule>
  </conditionalFormatting>
  <conditionalFormatting sqref="E2:E396">
    <cfRule type="cellIs" priority="4" operator="equal" aboveAverage="0" equalAverage="0" bottom="0" percent="0" rank="0" text="" dxfId="116">
      <formula>"Hidden Gem"</formula>
    </cfRule>
    <cfRule type="cellIs" priority="5" operator="equal" aboveAverage="0" equalAverage="0" bottom="0" percent="0" rank="0" text="" dxfId="117">
      <formula>"Breakout"</formula>
    </cfRule>
    <cfRule type="cellIs" priority="6" operator="equal" aboveAverage="0" equalAverage="0" bottom="0" percent="0" rank="0" text="" dxfId="118">
      <formula>"Viral"</formula>
    </cfRule>
  </conditionalFormatting>
  <conditionalFormatting sqref="AG2:AG396">
    <cfRule type="cellIs" priority="7" operator="equal" aboveAverage="0" equalAverage="0" bottom="0" percent="0" rank="0" text="" dxfId="119">
      <formula>"Yes"</formula>
    </cfRule>
  </conditionalFormatting>
  <dataValidations count="1">
    <dataValidation allowBlank="true" errorStyle="stop" operator="between" showDropDown="false" showErrorMessage="false" showInputMessage="false" sqref="AR2:AR396" type="list">
      <formula1>"Backlog,Shortlisted,Drafting,Scheduled,Published,Skip"</formula1>
      <formula2>0</formula2>
    </dataValidation>
  </dataValidations>
  <hyperlinks>
    <hyperlink ref="P2" r:id="rId2" display="https://x.com/fromzerotomill/status/1992916088544256502"/>
    <hyperlink ref="P3" r:id="rId3" display="https://www.instagram.com/reel/DeKt5O_Sz9_/"/>
    <hyperlink ref="P4" r:id="rId4" display="https://www.instagram.com/reel/DYo8Da5PPe3/"/>
    <hyperlink ref="P5" r:id="rId5" display="https://www.instagram.com/reel/DeIN6T6zB0G/"/>
    <hyperlink ref="P6" r:id="rId6" display="https://www.instagram.com/reel/DW8TbCSDWOZ/"/>
    <hyperlink ref="P7" r:id="rId7" display="https://x.com/theroborourke/status/1990343987148775791"/>
    <hyperlink ref="P8" r:id="rId8" display="https://x.com/romanbuildsaas/status/2047825608030494758"/>
    <hyperlink ref="P9" r:id="rId9" display="https://x.com/NickB2005/status/2095121648710037913"/>
    <hyperlink ref="P10" r:id="rId10" display="https://x.com/TheMattBerman/status/2024678503598235963"/>
    <hyperlink ref="P11" r:id="rId11" display="https://x.com/theroborourke/status/1990376468736618997"/>
    <hyperlink ref="P12" r:id="rId12" display="https://www.linkedin.com/feed/update/urn:li:activity:7422654796735807491"/>
    <hyperlink ref="P13" r:id="rId13" display="https://x.com/theroborourke/status/2016436919505146264"/>
    <hyperlink ref="P14" r:id="rId14" display="https://www.instagram.com/reel/DWb9bMukmwe/"/>
    <hyperlink ref="P15" r:id="rId15" display="https://x.com/fromzerotomill/status/2015743611237785804"/>
    <hyperlink ref="P16" r:id="rId16" display="https://x.com/MichLieben/status/2039432665078923529"/>
    <hyperlink ref="P17" r:id="rId17" display="https://x.com/MarketingMax/status/2019410776201506904"/>
    <hyperlink ref="P18" r:id="rId18" display="https://www.instagram.com/reel/DcGk3BOI4_r/"/>
    <hyperlink ref="P19" r:id="rId19" display="https://www.instagram.com/reel/Dcy173UgAVR/"/>
    <hyperlink ref="P20" r:id="rId20" display="https://x.com/fin465/status/2055137077868814804"/>
    <hyperlink ref="P21" r:id="rId21" display="https://www.instagram.com/reel/DYE9F6qN8uX/"/>
    <hyperlink ref="P22" r:id="rId22" display="https://x.com/boomerrbryan/status/2105927263208570959"/>
    <hyperlink ref="P23" r:id="rId23" display="https://x.com/ecomchigga/status/2014040307755528491"/>
    <hyperlink ref="P24" r:id="rId24" display="https://www.linkedin.com/feed/update/urn:li:activity:7421567657579196416"/>
    <hyperlink ref="P25" r:id="rId25" display="https://www.instagram.com/reel/DeNIahOMks5/"/>
    <hyperlink ref="P26" r:id="rId26" display="https://x.com/Hartdrawss/status/2029852118723551289"/>
    <hyperlink ref="P27" r:id="rId27" display="https://www.instagram.com/reel/Db58c4nCOXN/"/>
    <hyperlink ref="P28" r:id="rId28" display="https://www.instagram.com/reel/Db8S4BmJlfM/"/>
    <hyperlink ref="P29" r:id="rId29" display="https://x.com/TimStodz/status/2108161648506609947"/>
    <hyperlink ref="P30" r:id="rId30" display="https://x.com/imsehej/status/2007850577326456879"/>
    <hyperlink ref="P31" r:id="rId31" display="https://x.com/theroborourke/status/2000523290205364430"/>
    <hyperlink ref="P32" r:id="rId32" display="https://x.com/theroborourke/status/1984891228635255217"/>
    <hyperlink ref="P33" r:id="rId33" display="https://www.instagram.com/reel/DWQxe0VjcyN/"/>
    <hyperlink ref="P34" r:id="rId34" display="https://www.instagram.com/reel/DZpxfcdhO3g/"/>
    <hyperlink ref="P35" r:id="rId35" display="https://www.instagram.com/reel/Dbl6NsgSR9R/"/>
    <hyperlink ref="P36" r:id="rId36" display="https://x.com/marlowxbt/status/2059288973101486502"/>
    <hyperlink ref="P37" r:id="rId37" display="https://www.linkedin.com/feed/update/urn:li:activity:7385915021148438528"/>
    <hyperlink ref="P38" r:id="rId38" display="https://x.com/FinancialPhys/status/2079933243650982238"/>
    <hyperlink ref="P39" r:id="rId39" display="https://x.com/scott_bair/status/2043596395580670401"/>
    <hyperlink ref="P40" r:id="rId40" display="https://www.instagram.com/reel/DRbhwTODVM1/"/>
    <hyperlink ref="P41" r:id="rId41" display="https://www.linkedin.com/feed/update/urn:li:activity:7396917745914781696"/>
    <hyperlink ref="P42" r:id="rId42" display="https://www.linkedin.com/feed/update/urn:li:activity:7447674013230841856"/>
    <hyperlink ref="P43" r:id="rId43" display="https://x.com/RetentionAdam/status/2016190513251287229"/>
    <hyperlink ref="P44" r:id="rId44" display="https://x.com/marlowxbt/status/2064014528401277174"/>
    <hyperlink ref="P45" r:id="rId45" display="https://www.instagram.com/reel/DblbBF0gJ8g/"/>
    <hyperlink ref="P46" r:id="rId46" display="https://www.instagram.com/reel/Ddr6DBaRrL7/"/>
    <hyperlink ref="P47" r:id="rId47" display="https://www.instagram.com/reel/DV2q3zoErC3/"/>
    <hyperlink ref="P48" r:id="rId48" display="https://www.instagram.com/reel/DXwmJB0S7TG/"/>
    <hyperlink ref="P49" r:id="rId49" display="https://x.com/TheMattBerman/status/2027220216409723296"/>
    <hyperlink ref="P50" r:id="rId50" display="https://x.com/parsedpatterns/status/2006786675741962478"/>
    <hyperlink ref="P51" r:id="rId51" display="https://www.instagram.com/reel/DcriHRDS7Gt/"/>
    <hyperlink ref="P52" r:id="rId52" display="https://www.instagram.com/reel/DZMEp61IK8J/"/>
    <hyperlink ref="P53" r:id="rId53" display="https://www.linkedin.com/feed/update/urn:li:activity:7470938105974362112"/>
    <hyperlink ref="P54" r:id="rId54" display="https://www.instagram.com/reel/DdL7H1QFDHh/"/>
    <hyperlink ref="P55" r:id="rId55" display="https://x.com/TechSalesGuy/status/2092971899659681881"/>
    <hyperlink ref="P56" r:id="rId56" display="https://x.com/CartuneNetwerk/status/2063291410049065307"/>
    <hyperlink ref="P57" r:id="rId57" display="https://x.com/theo_jil/status/2040494043713425822"/>
    <hyperlink ref="P58" r:id="rId58" display="https://x.com/scaling_shields/status/2014306814054244421"/>
    <hyperlink ref="P59" r:id="rId59" display="https://x.com/cailynyongyong/status/2043832596304670749"/>
    <hyperlink ref="P60" r:id="rId60" display="https://x.com/om_patel5/status/2040295631793635465"/>
    <hyperlink ref="P61" r:id="rId61" display="https://www.instagram.com/reel/Dcbe_AuOO3L/"/>
    <hyperlink ref="P62" r:id="rId62" display="https://www.instagram.com/reel/Ddl5gR1xz9b/"/>
    <hyperlink ref="P63" r:id="rId63" display="https://www.instagram.com/reel/DbOTspij6yZ/"/>
    <hyperlink ref="P64" r:id="rId64" display="https://www.instagram.com/reel/DclVkO-ym1J/"/>
    <hyperlink ref="P65" r:id="rId65" display="https://www.instagram.com/reel/DbpURTwRL_W/"/>
    <hyperlink ref="P66" r:id="rId66" display="https://www.instagram.com/reel/DbYHkLmtIBv/"/>
    <hyperlink ref="P67" r:id="rId67" display="https://x.com/jonnym1ller/status/2096786649149825058"/>
    <hyperlink ref="P68" r:id="rId68" display="https://x.com/WorkflowWhisper/status/2012590119929172319"/>
    <hyperlink ref="P69" r:id="rId69" display="https://www.instagram.com/reel/Db_hVF_P5lF/"/>
    <hyperlink ref="P70" r:id="rId70" display="https://x.com/theroborourke/status/2097222027950125427"/>
    <hyperlink ref="P71" r:id="rId71" display="https://x.com/MichLieben/status/2109690075546329232"/>
    <hyperlink ref="P72" r:id="rId72" display="https://www.instagram.com/reel/DdcS_4aiYdH/"/>
    <hyperlink ref="P73" r:id="rId73" display="https://x.com/ianwong_/status/2090454226011091033"/>
    <hyperlink ref="P74" r:id="rId74" display="https://x.com/ecomchigga/status/1994132401853722732"/>
    <hyperlink ref="P75" r:id="rId75" display="https://x.com/freddiexpott/status/2108739030569361744"/>
    <hyperlink ref="P76" r:id="rId76" display="https://x.com/danielfazio/status/2092685995686666242"/>
    <hyperlink ref="P77" r:id="rId77" display="https://x.com/ConnorAbene/status/2101380828399882659"/>
    <hyperlink ref="P78" r:id="rId78" display="https://www.linkedin.com/feed/update/urn:li:activity:7434606028261892096"/>
    <hyperlink ref="P79" r:id="rId79" display="https://x.com/WifiMoneyPlant/status/1982521712475316314"/>
    <hyperlink ref="P80" r:id="rId80" display="https://x.com/JamesEbringer/status/1993780615901003863"/>
    <hyperlink ref="P81" r:id="rId81" display="https://x.com/lochan_twt/status/2101990918002012357"/>
    <hyperlink ref="P82" r:id="rId82" display="https://x.com/ecomchigga/status/1990191674086039953"/>
    <hyperlink ref="P83" r:id="rId83" display="https://x.com/paolo_scales/status/2012583400318574774"/>
    <hyperlink ref="P84" r:id="rId84" display="https://x.com/jasoncfox/status/2005610481969504723"/>
    <hyperlink ref="P85" r:id="rId85" display="https://x.com/ItsMeBenChan/status/2095894359766118712"/>
    <hyperlink ref="P86" r:id="rId86" display="https://www.linkedin.com/feed/update/urn:li:activity:7505943146720165888"/>
    <hyperlink ref="P87" r:id="rId87" display="https://x.com/ConnorAbene/status/2100260277967081695"/>
    <hyperlink ref="P88" r:id="rId88" display="https://www.instagram.com/reel/DbDrqpnDu9d/"/>
    <hyperlink ref="P89" r:id="rId89" display="https://x.com/dimitarangg/status/2022410074593939657"/>
    <hyperlink ref="P90" r:id="rId90" display="https://x.com/levikmunneke/status/2035123865463267798"/>
    <hyperlink ref="P91" r:id="rId91" display="https://x.com/paolo_scales/status/2097335350930588073"/>
    <hyperlink ref="P92" r:id="rId92" display="https://x.com/romanbuildsaas/status/2017670516719432131"/>
    <hyperlink ref="P93" r:id="rId93" display="https://www.linkedin.com/feed/update/urn:li:activity:7511422825266688001"/>
    <hyperlink ref="P94" r:id="rId94" display="https://x.com/dangreenheck/status/2102137910921240807"/>
    <hyperlink ref="P95" r:id="rId95" display="https://www.instagram.com/reel/DW9CNBigZnZ/"/>
    <hyperlink ref="P96" r:id="rId96" display="https://x.com/bryantchou/status/2067246888231866803"/>
    <hyperlink ref="P97" r:id="rId97" display="https://x.com/mustufa4socials/status/2054258775222284442"/>
    <hyperlink ref="P98" r:id="rId98" display="https://x.com/mustufa4socials/status/2016885450863169982"/>
    <hyperlink ref="P99" r:id="rId99" display="https://x.com/sammarelich/status/2021341379839000663"/>
    <hyperlink ref="P100" r:id="rId100" display="https://x.com/fin465/status/2056468083271926258"/>
    <hyperlink ref="P101" r:id="rId101" display="https://www.instagram.com/reel/Db59Qt3ztrJ/"/>
    <hyperlink ref="P102" r:id="rId102" display="https://www.instagram.com/reel/DctTCKgO6JQ/"/>
    <hyperlink ref="P103" r:id="rId103" display="https://www.instagram.com/reel/Dbw5GydgGij/"/>
    <hyperlink ref="P104" r:id="rId104" display="https://www.instagram.com/reel/DeDwgVQhW9c/"/>
    <hyperlink ref="P105" r:id="rId105" display="https://www.instagram.com/reel/DbYjVyLuzzP/"/>
    <hyperlink ref="P106" r:id="rId106" display="https://x.com/lukepierceops/status/2110899653717737517"/>
    <hyperlink ref="P107" r:id="rId107" display="https://www.linkedin.com/feed/update/urn:li:activity:7424882262791598080"/>
    <hyperlink ref="P108" r:id="rId108" display="https://x.com/scaling_shields/status/2011801978087633235"/>
    <hyperlink ref="P109" r:id="rId109" display="https://www.instagram.com/reel/DciGZoSIpME/"/>
    <hyperlink ref="P110" r:id="rId110" display="https://www.linkedin.com/feed/update/urn:li:activity:7432431813991538688"/>
    <hyperlink ref="P111" r:id="rId111" display="https://www.linkedin.com/feed/update/urn:li:activity:7419725664758693888"/>
    <hyperlink ref="P112" r:id="rId112" display="https://www.instagram.com/reel/Dbsxb8IhIXA/"/>
    <hyperlink ref="P113" r:id="rId113" display="https://www.instagram.com/reel/DcJW1_5OCmB/"/>
    <hyperlink ref="P114" r:id="rId114" display="https://x.com/AlfieJCarter/status/2057848330902745536"/>
    <hyperlink ref="P115" r:id="rId115" display="https://x.com/NickB2005/status/2090770944356733366"/>
    <hyperlink ref="P116" r:id="rId116" display="https://www.instagram.com/reel/DbwWMyFCT2n/"/>
    <hyperlink ref="P117" r:id="rId117" display="https://x.com/WifiMoneyPlant/status/2016608038711407000"/>
    <hyperlink ref="P118" r:id="rId118" display="https://www.instagram.com/reel/DbY84VUgCRz/"/>
    <hyperlink ref="P119" r:id="rId119" display="https://www.instagram.com/reel/DchttGrpIa6/"/>
    <hyperlink ref="P120" r:id="rId120" display="https://www.linkedin.com/feed/update/urn:li:activity:7499119006935617536"/>
    <hyperlink ref="P121" r:id="rId121" display="https://www.linkedin.com/feed/update/urn:li:activity:7483506353366515712"/>
    <hyperlink ref="P122" r:id="rId122" display="https://www.instagram.com/reel/DcUL4NTSnZA/"/>
    <hyperlink ref="P123" r:id="rId123" display="https://x.com/sourfraser/status/2035454870204100810"/>
    <hyperlink ref="P124" r:id="rId124" display="https://www.linkedin.com/feed/update/urn:li:activity:7507859803386511361"/>
    <hyperlink ref="P125" r:id="rId125" display="https://x.com/ecomchigga/status/2011933685008781359"/>
    <hyperlink ref="P126" r:id="rId126" display="https://www.linkedin.com/feed/update/urn:li:activity:7510089893650321408"/>
    <hyperlink ref="P127" r:id="rId127" display="https://x.com/francesafetytra/status/2091815041586856396"/>
    <hyperlink ref="P128" r:id="rId128" display="https://www.instagram.com/reel/DdYuYOjTZnS/"/>
    <hyperlink ref="P129" r:id="rId129" display="https://x.com/CAronitpereira/status/2010993908382343528"/>
    <hyperlink ref="P130" r:id="rId130" display="https://x.com/CAronitpereira/status/2054862822564364779"/>
    <hyperlink ref="P131" r:id="rId131" display="https://x.com/mustufa4socials/status/2049518414377480218"/>
    <hyperlink ref="P132" r:id="rId132" display="https://www.instagram.com/reel/DdAftEkumIU/"/>
    <hyperlink ref="P133" r:id="rId133" display="https://x.com/dimitarangg/status/2022896228493627606"/>
    <hyperlink ref="P134" r:id="rId134" display="https://x.com/hyojun_at/status/1986236078999900277"/>
    <hyperlink ref="P135" r:id="rId135" display="https://www.instagram.com/reel/DctXXS8DjnA/"/>
    <hyperlink ref="P136" r:id="rId136" display="https://www.instagram.com/reel/DbL3kepRXBz/"/>
    <hyperlink ref="P137" r:id="rId137" display="https://www.instagram.com/reel/DcFoz5ch63i/"/>
    <hyperlink ref="P138" r:id="rId138" display="https://www.instagram.com/reel/DdEKK0ThxVu/"/>
    <hyperlink ref="P139" r:id="rId139" display="https://www.instagram.com/reel/DbYPh8AxEoP/"/>
    <hyperlink ref="P140" r:id="rId140" display="https://www.instagram.com/reel/DcD3bofMQF1/"/>
    <hyperlink ref="P141" r:id="rId141" display="https://www.instagram.com/reel/DbPCpZvzM0l/"/>
    <hyperlink ref="P142" r:id="rId142" display="https://www.instagram.com/reel/Db0WCUkOUwe/"/>
    <hyperlink ref="P143" r:id="rId143" display="https://www.instagram.com/reel/Dbaj1-HI7r5/"/>
    <hyperlink ref="P144" r:id="rId144" display="https://www.instagram.com/reel/DbLnqZTDHNd/"/>
    <hyperlink ref="P145" r:id="rId145" display="https://www.instagram.com/reel/DbAzTiqSg8j/"/>
    <hyperlink ref="P146" r:id="rId146" display="https://www.instagram.com/reel/Db73Km_sekv/"/>
    <hyperlink ref="P147" r:id="rId147" display="https://www.instagram.com/reel/DdeQ4Ndq_h_/"/>
    <hyperlink ref="P148" r:id="rId148" display="https://x.com/georgeclem/status/2013251109268418603"/>
    <hyperlink ref="P149" r:id="rId149" display="https://www.linkedin.com/feed/update/urn:li:activity:7455938006865297408"/>
    <hyperlink ref="P150" r:id="rId150" display="https://www.linkedin.com/feed/update/urn:li:activity:7462731940933193728"/>
    <hyperlink ref="P151" r:id="rId151" display="https://www.instagram.com/reel/DbJYp_OP6M1/"/>
    <hyperlink ref="P152" r:id="rId152" display="https://www.linkedin.com/feed/update/urn:li:activity:7434874964790644738"/>
    <hyperlink ref="P153" r:id="rId153" display="https://www.instagram.com/reel/DbHIs-aSgsS/"/>
    <hyperlink ref="P154" r:id="rId154" display="https://x.com/NickB2005/status/2105326872758235176"/>
    <hyperlink ref="P155" r:id="rId155" display="https://x.com/WorkflowWhisper/status/2020557627416023335"/>
    <hyperlink ref="P156" r:id="rId156" display="https://www.instagram.com/reel/DbjoFw9xS8R/"/>
    <hyperlink ref="P157" r:id="rId157" display="https://x.com/draprints/status/2095133643182322119"/>
    <hyperlink ref="P158" r:id="rId158" display="https://www.instagram.com/reel/DbTSnDZBQGM/"/>
    <hyperlink ref="P159" r:id="rId159" display="https://x.com/EliXPampa/status/2100548320964096222"/>
    <hyperlink ref="P160" r:id="rId160" display="https://www.linkedin.com/feed/update/urn:li:activity:7508299114216968193"/>
    <hyperlink ref="P161" r:id="rId161" display="https://www.instagram.com/reel/Db_AqZjoN_r/"/>
    <hyperlink ref="P162" r:id="rId162" display="https://www.linkedin.com/feed/update/urn:li:activity:7507034368746508288"/>
    <hyperlink ref="P163" r:id="rId163" display="https://www.linkedin.com/feed/update/urn:li:activity:7507787563672317953"/>
    <hyperlink ref="P164" r:id="rId164" display="https://www.linkedin.com/feed/update/urn:li:activity:7430219623037407232"/>
    <hyperlink ref="P165" r:id="rId165" display="https://x.com/paolo_scales/status/2032000149744984176"/>
    <hyperlink ref="P166" r:id="rId166" display="https://www.instagram.com/reel/Dcgp5WGs_H9/"/>
    <hyperlink ref="P167" r:id="rId167" display="https://www.linkedin.com/feed/update/urn:li:activity:7454831538892099584"/>
    <hyperlink ref="P168" r:id="rId168" display="https://x.com/maverickecom/status/2035008437910675748"/>
    <hyperlink ref="P169" r:id="rId169" display="https://x.com/0xmitsurii/status/2038156449088749889"/>
    <hyperlink ref="P170" r:id="rId170" display="https://www.instagram.com/reel/DUps_9Ak1Ld/"/>
    <hyperlink ref="P171" r:id="rId171" display="https://x.com/TechnicalBben/status/2003721429435445579"/>
    <hyperlink ref="P172" r:id="rId172" display="https://www.instagram.com/p/DThOGx3gZ6T/"/>
    <hyperlink ref="P173" r:id="rId173" display="https://www.instagram.com/reel/Dbep7NPO3Zg/"/>
    <hyperlink ref="P174" r:id="rId174" display="https://www.instagram.com/reel/DcSBJPCogrr/"/>
    <hyperlink ref="P175" r:id="rId175" display="https://www.instagram.com/reel/DbT8pmksSud/"/>
    <hyperlink ref="P176" r:id="rId176" display="https://www.instagram.com/reel/DcaHgBHkv8z/"/>
    <hyperlink ref="P177" r:id="rId177" display="https://x.com/coreyhainesco/status/2025592984927150367"/>
    <hyperlink ref="P178" r:id="rId178" display="https://www.instagram.com/reel/DYN1ENyPIMJ/"/>
    <hyperlink ref="P179" r:id="rId179" display="https://www.linkedin.com/feed/update/urn:li:activity:7432775956957663232"/>
    <hyperlink ref="P180" r:id="rId180" display="https://www.instagram.com/reel/DVqcT1hiKHL/"/>
    <hyperlink ref="P181" r:id="rId181" display="https://www.instagram.com/reel/DbTmJ_UAr7z/"/>
    <hyperlink ref="P182" r:id="rId182" display="https://x.com/JosephKChoi/status/2054606103778898391"/>
    <hyperlink ref="P183" r:id="rId183" display="https://www.instagram.com/reel/Dc1XYcNNBio/"/>
    <hyperlink ref="P184" r:id="rId184" display="https://x.com/ZyMazza/status/2042651604092956786"/>
    <hyperlink ref="P185" r:id="rId185" display="https://www.instagram.com/reel/DZClftTpxeV/"/>
    <hyperlink ref="P186" r:id="rId186" display="https://x.com/frederickjames/status/2091503229146194334"/>
    <hyperlink ref="P187" r:id="rId187" display="https://www.instagram.com/reel/DcQ-uJJMWqf/"/>
    <hyperlink ref="P188" r:id="rId188" display="https://x.com/ujjwalscript/status/2010221244646666335"/>
    <hyperlink ref="P189" r:id="rId189" display="https://x.com/DeepStarts/status/2055143109194068017"/>
    <hyperlink ref="P190" r:id="rId190" display="https://www.linkedin.com/feed/update/urn:li:activity:7445862326324572160"/>
    <hyperlink ref="P191" r:id="rId191" display="https://www.linkedin.com/feed/update/urn:li:activity:7389341155429117952"/>
    <hyperlink ref="P192" r:id="rId192" display="https://www.linkedin.com/feed/update/urn:li:activity:7389273564430000128"/>
    <hyperlink ref="P193" r:id="rId193" display="https://www.instagram.com/reel/Da8ZPqps4rM/"/>
    <hyperlink ref="P194" r:id="rId194" display="https://x.com/evanseech/status/2031345968122134799"/>
    <hyperlink ref="P195" r:id="rId195" display="https://www.linkedin.com/feed/update/urn:li:activity:7416127189055922176"/>
    <hyperlink ref="P196" r:id="rId196" display="https://www.instagram.com/reel/DcKTVQWu47A/"/>
    <hyperlink ref="P197" r:id="rId197" display="https://x.com/linkedin_legend/status/2097108920611307803"/>
    <hyperlink ref="P198" r:id="rId198" display="https://www.instagram.com/reel/DSDONxmCDsS/"/>
    <hyperlink ref="P199" r:id="rId199" display="https://www.instagram.com/reel/DQzhXXHjyja/"/>
    <hyperlink ref="P200" r:id="rId200" display="https://x.com/denohawari/status/2073135200968859772"/>
    <hyperlink ref="P201" r:id="rId201" display="https://www.linkedin.com/feed/update/urn:li:activity:7500925185454170113"/>
    <hyperlink ref="P202" r:id="rId202" display="https://www.linkedin.com/feed/update/urn:li:activity:7402364824510230529"/>
    <hyperlink ref="P203" r:id="rId203" display="https://www.instagram.com/reel/DZF1FpUvcRk/"/>
    <hyperlink ref="P204" r:id="rId204" display="https://x.com/paolo_scales/status/2057828308625002733"/>
    <hyperlink ref="P205" r:id="rId205" display="https://x.com/VibeMarketer_/status/2010413892380373256"/>
    <hyperlink ref="P206" r:id="rId206" display="https://www.instagram.com/reel/DXzcVckxl22/"/>
    <hyperlink ref="P207" r:id="rId207" display="https://www.linkedin.com/feed/update/urn:li:activity:7416894034755084289"/>
    <hyperlink ref="P208" r:id="rId208" display="https://x.com/ihtesham2005/status/2035035410758619428"/>
    <hyperlink ref="P209" r:id="rId209" display="https://x.com/itsalexvacca/status/2044502868556992937"/>
    <hyperlink ref="P210" r:id="rId210" display="https://www.linkedin.com/feed/update/urn:li:activity:7422338418170572801"/>
    <hyperlink ref="P211" r:id="rId211" display="https://www.linkedin.com/feed/update/urn:li:activity:7388844603602280448"/>
    <hyperlink ref="P212" r:id="rId212" display="https://x.com/JesseTinsley/status/2103926975794679825"/>
    <hyperlink ref="P213" r:id="rId213" display="https://www.instagram.com/reel/DcfEmr4OVFZ/"/>
    <hyperlink ref="P214" r:id="rId214" display="https://www.instagram.com/reel/DctmTH7MbZ9/"/>
    <hyperlink ref="P215" r:id="rId215" display="https://www.instagram.com/reel/Dc1PFXUKyCi/"/>
    <hyperlink ref="P216" r:id="rId216" display="https://www.instagram.com/reel/DbP2AbTh_tk/"/>
    <hyperlink ref="P217" r:id="rId217" display="https://www.instagram.com/reel/Dba0dm-CK7Y/"/>
    <hyperlink ref="P218" r:id="rId218" display="https://www.instagram.com/reel/DcjOceDKj52/"/>
    <hyperlink ref="P219" r:id="rId219" display="https://x.com/dimitarangg/status/2048044038209654934"/>
    <hyperlink ref="P220" r:id="rId220" display="https://www.linkedin.com/feed/update/urn:li:activity:7446973018553233408"/>
    <hyperlink ref="P221" r:id="rId221" display="https://www.instagram.com/reel/DYj-FLTxrLH/"/>
    <hyperlink ref="P222" r:id="rId222" display="https://www.instagram.com/reel/DbqZgYdC3Th/"/>
    <hyperlink ref="P223" r:id="rId223" display="https://www.linkedin.com/feed/update/urn:li:activity:7500522995900256257"/>
    <hyperlink ref="P224" r:id="rId224" display="https://x.com/mikefutia/status/2047019993439850631"/>
    <hyperlink ref="P225" r:id="rId225" display="https://www.linkedin.com/feed/update/urn:li:activity:7434655206426042368"/>
    <hyperlink ref="P226" r:id="rId226" display="https://www.linkedin.com/feed/update/urn:li:activity:7419636145778688000"/>
    <hyperlink ref="P227" r:id="rId227" display="https://www.linkedin.com/feed/update/urn:li:activity:7419332970752344064"/>
    <hyperlink ref="P228" r:id="rId228" display="https://www.instagram.com/reel/DU_mBxxDPDR/"/>
    <hyperlink ref="P229" r:id="rId229" display="https://www.instagram.com/reel/DQjmVyqDKPa/"/>
    <hyperlink ref="P230" r:id="rId230" display="https://www.linkedin.com/feed/update/urn:li:activity:7454205178427232257"/>
    <hyperlink ref="P231" r:id="rId231" display="https://www.instagram.com/reel/DbpmEFEzK1d/"/>
    <hyperlink ref="P232" r:id="rId232" display="https://www.linkedin.com/feed/update/urn:li:activity:7422213698724724736"/>
    <hyperlink ref="P233" r:id="rId233" display="https://www.linkedin.com/feed/update/urn:li:activity:7436383989508190209"/>
    <hyperlink ref="P234" r:id="rId234" display="https://www.linkedin.com/feed/update/urn:li:activity:7436484542821187584"/>
    <hyperlink ref="P235" r:id="rId235" display="https://www.instagram.com/reel/DeZn1JCB8_i/"/>
    <hyperlink ref="P236" r:id="rId236" display="https://www.linkedin.com/feed/update/urn:li:activity:7513146223147687936"/>
    <hyperlink ref="P237" r:id="rId237" display="https://x.com/leonabboud/status/2094147135109275896"/>
    <hyperlink ref="P238" r:id="rId238" display="https://www.instagram.com/reel/Da8ffLGDnlv/"/>
    <hyperlink ref="P239" r:id="rId239" display="https://www.instagram.com/reel/DctEm8ugamJ/"/>
    <hyperlink ref="P240" r:id="rId240" display="https://www.instagram.com/reel/DZFimmrsrsc/"/>
    <hyperlink ref="P241" r:id="rId241" display="https://www.linkedin.com/feed/update/urn:li:activity:7404843326744453121"/>
    <hyperlink ref="P242" r:id="rId242" display="https://www.linkedin.com/feed/update/urn:li:activity:7394664828847525889"/>
    <hyperlink ref="P243" r:id="rId243" display="https://www.instagram.com/reel/DcC-2k8zJqP/"/>
    <hyperlink ref="P244" r:id="rId244" display="https://www.linkedin.com/feed/update/urn:li:activity:7497619778023428096"/>
    <hyperlink ref="P245" r:id="rId245" display="https://www.linkedin.com/feed/update/urn:li:activity:7499200540862599183"/>
    <hyperlink ref="P246" r:id="rId246" display="https://www.linkedin.com/feed/update/urn:li:activity:7453041354718220288"/>
    <hyperlink ref="P247" r:id="rId247" display="https://www.instagram.com/reel/DdmDn6_A8wu/"/>
    <hyperlink ref="P248" r:id="rId248" display="https://www.instagram.com/reel/Ddlxo8YBwPN/"/>
    <hyperlink ref="P249" r:id="rId249" display="https://x.com/andreysuperior/status/2059992370414796888"/>
    <hyperlink ref="P250" r:id="rId250" display="https://www.instagram.com/reel/DbNU9a9BHK8/"/>
    <hyperlink ref="P251" r:id="rId251" display="https://www.linkedin.com/feed/update/urn:li:activity:7406713660355751936"/>
    <hyperlink ref="P252" r:id="rId252" display="https://www.instagram.com/reel/DcR2EJ_Rmbp/"/>
    <hyperlink ref="P253" r:id="rId253" display="https://www.instagram.com/reel/Dbrbk8Kxw4w/"/>
    <hyperlink ref="P254" r:id="rId254" display="https://www.instagram.com/reel/DdmrqTOiOtL/"/>
    <hyperlink ref="P255" r:id="rId255" display="https://www.linkedin.com/feed/update/urn:li:activity:7507790049237897216"/>
    <hyperlink ref="P256" r:id="rId256" display="https://www.linkedin.com/feed/update/urn:li:activity:7509580159440596992"/>
    <hyperlink ref="P257" r:id="rId257" display="https://www.instagram.com/reel/Dbrc-YJxo-b/"/>
    <hyperlink ref="P258" r:id="rId258" display="https://www.linkedin.com/feed/update/urn:li:activity:7458476240354660352"/>
    <hyperlink ref="P259" r:id="rId259" display="https://x.com/emilios_eth/status/2015877389411037492"/>
    <hyperlink ref="P260" r:id="rId260" display="https://www.instagram.com/reel/Dc_7i_1D0_c/"/>
    <hyperlink ref="P261" r:id="rId261" display="https://www.linkedin.com/feed/update/urn:li:activity:7406591175941435392"/>
    <hyperlink ref="P262" r:id="rId262" display="https://www.linkedin.com/feed/update/urn:li:activity:7437108781827821568"/>
    <hyperlink ref="P263" r:id="rId263" display="https://x.com/Zephyr_hg/status/2046201083916161190"/>
    <hyperlink ref="P264" r:id="rId264" display="https://www.linkedin.com/feed/update/urn:li:activity:7403793290204180480"/>
    <hyperlink ref="P265" r:id="rId265" display="https://www.instagram.com/reel/Db26XzEMB3d/"/>
    <hyperlink ref="P266" r:id="rId266" display="https://www.instagram.com/reel/DclCob7Bb6g/"/>
    <hyperlink ref="P267" r:id="rId267" display="https://x.com/NoahEpstein_/status/2001668932495868139"/>
    <hyperlink ref="P268" r:id="rId268" display="https://www.instagram.com/reel/DR9c83XjQ-q/"/>
    <hyperlink ref="P269" r:id="rId269" display="https://www.instagram.com/reel/Dbe5HgRM2L4/"/>
    <hyperlink ref="P270" r:id="rId270" display="https://www.linkedin.com/feed/update/urn:li:activity:7425667505383280640"/>
    <hyperlink ref="P271" r:id="rId271" display="https://www.linkedin.com/feed/update/urn:li:activity:7510284697445466112"/>
    <hyperlink ref="P272" r:id="rId272" display="https://x.com/LostMyHats/status/2029976966275944883"/>
    <hyperlink ref="P273" r:id="rId273" display="https://x.com/imsehej/status/2029235992339828761"/>
    <hyperlink ref="P274" r:id="rId274" display="https://www.instagram.com/reel/DcQ_MXYB4Z1/"/>
    <hyperlink ref="P275" r:id="rId275" display="https://www.linkedin.com/feed/update/urn:li:activity:7462864777107800064"/>
    <hyperlink ref="P276" r:id="rId276" display="https://www.linkedin.com/feed/update/urn:li:activity:7504070681752576000"/>
    <hyperlink ref="P277" r:id="rId277" display="https://www.linkedin.com/feed/update/urn:li:activity:7474789546497544192"/>
    <hyperlink ref="P278" r:id="rId278" display="https://www.linkedin.com/feed/update/urn:li:activity:7414298455659167744"/>
    <hyperlink ref="P279" r:id="rId279" display="https://www.linkedin.com/feed/update/urn:li:activity:7495181952933715969"/>
    <hyperlink ref="P280" r:id="rId280" display="https://www.instagram.com/reel/DdMX_byhlDb/"/>
    <hyperlink ref="P281" r:id="rId281" display="https://www.linkedin.com/feed/update/urn:li:activity:7448015639690129408"/>
    <hyperlink ref="P282" r:id="rId282" display="https://x.com/imsehej/status/2003285922935374258"/>
    <hyperlink ref="P283" r:id="rId283" display="https://x.com/dan__rosenthal/status/2076013236646736214"/>
    <hyperlink ref="P284" r:id="rId284" display="https://www.linkedin.com/feed/update/urn:li:activity:7448349913706508288"/>
    <hyperlink ref="P285" r:id="rId285" display="https://www.instagram.com/reel/DbnvEmaR1L5/"/>
    <hyperlink ref="P286" r:id="rId286" display="https://x.com/sheilatebra/status/2048980174742368547"/>
    <hyperlink ref="P287" r:id="rId287" display="https://www.linkedin.com/feed/update/urn:li:activity:7396769690724995072"/>
    <hyperlink ref="P288" r:id="rId288" display="https://www.linkedin.com/feed/update/urn:li:activity:7416823658507296768"/>
    <hyperlink ref="P289" r:id="rId289" display="https://x.com/qwenwork/status/2054934477483471041"/>
    <hyperlink ref="P290" r:id="rId290" display="https://x.com/BrendanFoody/status/2109838645339607285"/>
    <hyperlink ref="P291" r:id="rId291" display="https://www.linkedin.com/feed/update/urn:li:activity:7388938270853935104"/>
    <hyperlink ref="P292" r:id="rId292" display="https://www.instagram.com/reel/Da75WdaRCFL/"/>
    <hyperlink ref="P293" r:id="rId293" display="https://x.com/blvckledge/status/2021035814713762132"/>
    <hyperlink ref="P294" r:id="rId294" display="https://www.linkedin.com/feed/update/urn:li:activity:7499099421587021825"/>
    <hyperlink ref="P295" r:id="rId295" display="https://www.linkedin.com/feed/update/urn:li:activity:7505869737239691264"/>
    <hyperlink ref="P296" r:id="rId296" display="https://www.linkedin.com/feed/update/urn:li:activity:7424089544221966337"/>
    <hyperlink ref="P297" r:id="rId297" display="https://www.instagram.com/reel/DWYKDicNvHM/"/>
    <hyperlink ref="P298" r:id="rId298" display="https://www.linkedin.com/feed/update/urn:li:activity:7511137849216278528"/>
    <hyperlink ref="P299" r:id="rId299" display="https://www.instagram.com/reel/DbnGvDJJMIb/"/>
    <hyperlink ref="P300" r:id="rId300" display="https://x.com/anuhariharan/status/1988453584099221689"/>
    <hyperlink ref="P301" r:id="rId301" display="https://x.com/andreysuperior/status/2058539604391735714"/>
    <hyperlink ref="P302" r:id="rId302" display="https://www.instagram.com/reel/DbfyZjwvktr/"/>
    <hyperlink ref="P303" r:id="rId303" display="https://x.com/paolo_scales/status/2091961906210967746"/>
    <hyperlink ref="P304" r:id="rId304" display="https://www.linkedin.com/feed/update/urn:li:activity:7388231071840038912"/>
    <hyperlink ref="P305" r:id="rId305" display="https://x.com/0xHvdes/status/2094075106096009695"/>
    <hyperlink ref="P306" r:id="rId306" display="https://x.com/WifiMoneyPlant/status/2051143077645988068"/>
    <hyperlink ref="P307" r:id="rId307" display="https://www.linkedin.com/feed/update/urn:li:activity:7437170220391264257"/>
    <hyperlink ref="P308" r:id="rId308" display="https://x.com/CynthiaOzumba/status/2094869216767750399"/>
    <hyperlink ref="P309" r:id="rId309" display="https://x.com/levikmunneke/status/2046355512741310930"/>
    <hyperlink ref="P310" r:id="rId310" display="https://www.linkedin.com/feed/update/urn:li:activity:7396226068027969537"/>
    <hyperlink ref="P311" r:id="rId311" display="https://www.instagram.com/reel/Dc9onC7h9pS/"/>
    <hyperlink ref="P312" r:id="rId312" display="https://www.instagram.com/p/DZFmEMhEd97/"/>
    <hyperlink ref="P313" r:id="rId313" display="https://www.instagram.com/reel/DdJAnS2iDma/"/>
    <hyperlink ref="P314" r:id="rId314" display="https://www.linkedin.com/feed/update/urn:li:activity:7386811934878302208"/>
    <hyperlink ref="P315" r:id="rId315" display="https://www.instagram.com/reel/Ddin5MfRj-4/"/>
    <hyperlink ref="P316" r:id="rId316" display="https://www.instagram.com/reel/DYe6edOCC-l/"/>
    <hyperlink ref="P317" r:id="rId317" display="https://x.com/IwuezeAmarachi/status/2018653428776419719"/>
    <hyperlink ref="P318" r:id="rId318" display="https://www.instagram.com/reel/DbYt14LMoeA/"/>
    <hyperlink ref="P319" r:id="rId319" display="https://www.linkedin.com/feed/update/urn:li:activity:7510670104469278721"/>
    <hyperlink ref="P320" r:id="rId320" display="https://x.com/TheVictorOkafor/status/2079952564271899091"/>
    <hyperlink ref="P321" r:id="rId321" display="https://www.linkedin.com/feed/update/urn:li:activity:7391096862537314305"/>
    <hyperlink ref="P322" r:id="rId322" display="https://x.com/MediaKing/status/2097384485520024026"/>
    <hyperlink ref="P323" r:id="rId323" display="https://www.instagram.com/reel/Dc8rALrxP22/"/>
    <hyperlink ref="P324" r:id="rId324" display="https://www.linkedin.com/feed/update/urn:li:activity:7475212160911101952"/>
    <hyperlink ref="P325" r:id="rId325" display="https://www.linkedin.com/feed/update/urn:li:activity:7450797252274585600"/>
    <hyperlink ref="P326" r:id="rId326" display="https://www.linkedin.com/feed/update/urn:li:activity:7449772931653701634"/>
    <hyperlink ref="P327" r:id="rId327" display="https://www.linkedin.com/feed/update/urn:li:activity:7455289380643954689"/>
    <hyperlink ref="P328" r:id="rId328" display="https://www.linkedin.com/feed/update/urn:li:activity:7467904169933324291"/>
    <hyperlink ref="P329" r:id="rId329" display="https://www.linkedin.com/feed/update/urn:li:activity:7446893248779927552"/>
    <hyperlink ref="P330" r:id="rId330" display="https://www.linkedin.com/feed/update/urn:li:activity:7472340499320827904"/>
    <hyperlink ref="P331" r:id="rId331" display="https://www.instagram.com/reel/DcG4JWWN7nd/"/>
    <hyperlink ref="P332" r:id="rId332" display="https://www.instagram.com/reel/DcJTeGCvjdA/"/>
    <hyperlink ref="P333" r:id="rId333" display="https://www.linkedin.com/feed/update/urn:li:activity:7485808173090750464"/>
    <hyperlink ref="P334" r:id="rId334" display="https://www.linkedin.com/feed/update/urn:li:activity:7452393142810611712"/>
    <hyperlink ref="P335" r:id="rId335" display="https://x.com/leonabboud/status/2008556160962752656"/>
    <hyperlink ref="P336" r:id="rId336" display="https://www.linkedin.com/feed/update/urn:li:activity:7406898483078586368"/>
    <hyperlink ref="P337" r:id="rId337" display="https://www.linkedin.com/feed/update/urn:li:activity:7395815562926374912"/>
    <hyperlink ref="P338" r:id="rId338" display="https://www.linkedin.com/feed/update/urn:li:activity:7458835851985268736"/>
    <hyperlink ref="P339" r:id="rId339" display="https://www.linkedin.com/feed/update/urn:li:activity:7438256242487332864"/>
    <hyperlink ref="P340" r:id="rId340" display="https://x.com/coreyganim/status/2022689786339774481"/>
    <hyperlink ref="P341" r:id="rId341" display="https://x.com/itsalexvacca/status/2048486401105358933"/>
    <hyperlink ref="P342" r:id="rId342" display="https://www.linkedin.com/feed/update/urn:li:activity:7486039850291208192"/>
    <hyperlink ref="P343" r:id="rId343" display="https://www.instagram.com/reel/Dbn4LzlRYgo/"/>
    <hyperlink ref="P344" r:id="rId344" display="https://www.instagram.com/reel/DYg_tflu09q/"/>
    <hyperlink ref="P345" r:id="rId345" display="https://www.instagram.com/reel/DWEsYaiDrsm/"/>
    <hyperlink ref="P346" r:id="rId346" display="https://www.instagram.com/reel/DXyeKQSxbr5/"/>
    <hyperlink ref="P347" r:id="rId347" display="https://www.linkedin.com/feed/update/urn:li:activity:7509208477894975488"/>
    <hyperlink ref="P348" r:id="rId348" display="https://www.linkedin.com/feed/update/urn:li:activity:7442555894313172993"/>
    <hyperlink ref="P349" r:id="rId349" display="https://www.linkedin.com/feed/update/urn:li:activity:7448340675936550913"/>
    <hyperlink ref="P350" r:id="rId350" display="https://x.com/daniellgoldstei/status/2090417094546334148"/>
    <hyperlink ref="P351" r:id="rId351" display="https://www.linkedin.com/feed/update/urn:li:activity:7511726925615116289"/>
    <hyperlink ref="P352" r:id="rId352" display="https://www.instagram.com/reel/DbKiMvsPtRE/"/>
    <hyperlink ref="P353" r:id="rId353" display="https://x.com/codyschneider/status/2094893065202803014"/>
    <hyperlink ref="P354" r:id="rId354" display="https://www.linkedin.com/feed/update/urn:li:activity:7467169699005579264"/>
    <hyperlink ref="P355" r:id="rId355" display="https://x.com/vovudebosh/status/2098020150788104653"/>
    <hyperlink ref="P356" r:id="rId356" display="https://www.instagram.com/reel/DZ4b5KaNr-x/"/>
    <hyperlink ref="P357" r:id="rId357" display="https://x.com/noisyb0y1/status/2057472925826007430"/>
    <hyperlink ref="P358" r:id="rId358" display="https://www.linkedin.com/feed/update/urn:li:activity:7434301889170653184"/>
    <hyperlink ref="P359" r:id="rId359" display="https://www.linkedin.com/feed/update/urn:li:activity:7434209658816434176"/>
    <hyperlink ref="P360" r:id="rId360" display="https://www.linkedin.com/feed/update/urn:li:activity:7496545928720551937"/>
    <hyperlink ref="P361" r:id="rId361" display="https://www.linkedin.com/feed/update/urn:li:activity:7422187161350840320"/>
    <hyperlink ref="P362" r:id="rId362" display="https://x.com/JaceEngland1/status/2093741553453814191"/>
    <hyperlink ref="P363" r:id="rId363" display="https://www.linkedin.com/feed/update/urn:li:activity:7478766175548702721"/>
    <hyperlink ref="P364" r:id="rId364" display="https://www.linkedin.com/feed/update/urn:li:activity:7436087872346267648"/>
    <hyperlink ref="P365" r:id="rId365" display="https://x.com/codyschneider/status/2093005637965787317"/>
    <hyperlink ref="P366" r:id="rId366" display="https://www.linkedin.com/feed/update/urn:li:activity:7386812819234795520"/>
    <hyperlink ref="P367" r:id="rId367" display="https://www.linkedin.com/feed/update/urn:li:activity:7451966659919167488"/>
    <hyperlink ref="P368" r:id="rId368" display="https://www.linkedin.com/feed/update/urn:li:activity:7503345290075250688"/>
    <hyperlink ref="P369" r:id="rId369" display="https://www.instagram.com/reel/DT8emAViXDw/"/>
    <hyperlink ref="P370" r:id="rId370" display="https://www.linkedin.com/feed/update/urn:li:activity:7433779064005562368"/>
    <hyperlink ref="P371" r:id="rId371" display="https://www.instagram.com/reel/DdT6E3pyk6z/"/>
    <hyperlink ref="P372" r:id="rId372" display="https://www.linkedin.com/feed/update/urn:li:activity:7514652222589210624"/>
    <hyperlink ref="P373" r:id="rId373" display="https://www.linkedin.com/feed/update/urn:li:activity:7499435718050549761"/>
    <hyperlink ref="P374" r:id="rId374" display="https://www.linkedin.com/feed/update/urn:li:activity:7432726203574259712"/>
    <hyperlink ref="P375" r:id="rId375" display="https://www.linkedin.com/feed/update/urn:li:activity:7452038823129305089"/>
    <hyperlink ref="P376" r:id="rId376" display="https://www.instagram.com/reel/DQ4dMvcDuKF/"/>
    <hyperlink ref="P377" r:id="rId377" display="https://www.linkedin.com/feed/update/urn:li:activity:7457503997646561282"/>
    <hyperlink ref="P378" r:id="rId378" display="https://www.instagram.com/reel/DcHlScBsKq8/"/>
    <hyperlink ref="P379" r:id="rId379" display="https://www.linkedin.com/feed/update/urn:li:activity:7414238930080030720"/>
    <hyperlink ref="P380" r:id="rId380" display="https://x.com/eeelistar/status/1998700772968534271"/>
    <hyperlink ref="P381" r:id="rId381" display="https://www.instagram.com/p/DYe45o5kVGc/"/>
    <hyperlink ref="P382" r:id="rId382" display="https://www.linkedin.com/feed/update/urn:li:activity:7468995130784624640"/>
    <hyperlink ref="P383" r:id="rId383" display="https://www.instagram.com/reel/Da_QphVxjth/"/>
    <hyperlink ref="P384" r:id="rId384" display="https://www.linkedin.com/feed/update/urn:li:activity:7503679138965360640"/>
    <hyperlink ref="P385" r:id="rId385" display="https://www.linkedin.com/feed/update/urn:li:activity:7456311365390057472"/>
    <hyperlink ref="P386" r:id="rId386" display="https://www.linkedin.com/feed/update/urn:li:activity:7395155406257332224"/>
    <hyperlink ref="P387" r:id="rId387" display="https://www.linkedin.com/feed/update/urn:li:activity:7395077394367361024"/>
    <hyperlink ref="P388" r:id="rId388" display="https://x.com/blvckledge/status/2023652418916135293"/>
    <hyperlink ref="P389" r:id="rId389" display="https://www.linkedin.com/feed/update/urn:li:activity:7459935411025469441"/>
    <hyperlink ref="P390" r:id="rId390" display="https://www.linkedin.com/feed/update/urn:li:activity:7452413251805462528"/>
    <hyperlink ref="P391" r:id="rId391" display="https://www.linkedin.com/feed/update/urn:li:activity:7396861477669928960"/>
    <hyperlink ref="P392" r:id="rId392" display="https://www.linkedin.com/feed/update/urn:li:activity:7503076408601100290"/>
    <hyperlink ref="P393" r:id="rId393" display="https://www.linkedin.com/feed/update/urn:li:activity:7419281864298872832"/>
    <hyperlink ref="P394" r:id="rId394" display="https://www.linkedin.com/feed/update/urn:li:activity:7510246670568181760"/>
    <hyperlink ref="P395" r:id="rId395" display="https://x.com/higgsfield/status/2061520692756332677"/>
    <hyperlink ref="P396" r:id="rId396" display="https://x.com/jasonlk/status/208801335701424133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97"/>
  <legacyDrawing r:id="rId398"/>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20"/>
    <col collapsed="false" customWidth="true" hidden="false" outlineLevel="0" max="4" min="4" style="0" width="10"/>
    <col collapsed="false" customWidth="true" hidden="false" outlineLevel="0" max="5" min="5" style="0" width="9"/>
    <col collapsed="false" customWidth="true" hidden="false" outlineLevel="0" max="6" min="6" style="0" width="45"/>
    <col collapsed="false" customWidth="true" hidden="false" outlineLevel="0" max="7" min="7" style="0" width="30"/>
    <col collapsed="false" customWidth="true" hidden="false" outlineLevel="0" max="8" min="8" style="0" width="60"/>
    <col collapsed="false" customWidth="true" hidden="false" outlineLevel="0" max="9" min="9" style="0" width="70"/>
    <col collapsed="false" customWidth="true" hidden="false" outlineLevel="0" max="10" min="10" style="0" width="18"/>
    <col collapsed="false" customWidth="true" hidden="false" outlineLevel="0" max="11" min="11" style="0" width="12"/>
    <col collapsed="false" customWidth="true" hidden="false" outlineLevel="0" max="12" min="12" style="0" width="20"/>
    <col collapsed="false" customWidth="true" hidden="false" outlineLevel="0" max="13" min="13" style="0" width="22"/>
    <col collapsed="false" customWidth="true" hidden="false" outlineLevel="0" max="14" min="14" style="0" width="12"/>
  </cols>
  <sheetData>
    <row r="1" customFormat="false" ht="31.5" hidden="false" customHeight="true" outlineLevel="0" collapsed="false">
      <c r="A1" s="13" t="s">
        <v>178</v>
      </c>
      <c r="B1" s="13" t="s">
        <v>179</v>
      </c>
      <c r="C1" s="13" t="s">
        <v>186</v>
      </c>
      <c r="D1" s="13" t="s">
        <v>188</v>
      </c>
      <c r="E1" s="13" t="s">
        <v>40</v>
      </c>
      <c r="F1" s="13" t="s">
        <v>3396</v>
      </c>
      <c r="G1" s="13" t="s">
        <v>191</v>
      </c>
      <c r="H1" s="13" t="s">
        <v>213</v>
      </c>
      <c r="I1" s="13" t="s">
        <v>3397</v>
      </c>
      <c r="J1" s="13" t="s">
        <v>3398</v>
      </c>
      <c r="K1" s="13" t="s">
        <v>3399</v>
      </c>
      <c r="L1" s="13" t="s">
        <v>194</v>
      </c>
      <c r="M1" s="13" t="s">
        <v>184</v>
      </c>
      <c r="N1" s="13" t="s">
        <v>218</v>
      </c>
    </row>
    <row r="2" customFormat="false" ht="94.5" hidden="false" customHeight="true" outlineLevel="0" collapsed="false">
      <c r="A2" s="6" t="n">
        <v>1</v>
      </c>
      <c r="B2" s="6" t="s">
        <v>220</v>
      </c>
      <c r="C2" s="6" t="s">
        <v>853</v>
      </c>
      <c r="D2" s="21" t="n">
        <v>41537</v>
      </c>
      <c r="E2" s="22" t="n">
        <v>358.6</v>
      </c>
      <c r="F2" s="6" t="s">
        <v>856</v>
      </c>
      <c r="G2" s="23" t="s">
        <v>855</v>
      </c>
      <c r="H2" s="6" t="s">
        <v>858</v>
      </c>
      <c r="I2" s="6" t="s">
        <v>859</v>
      </c>
      <c r="J2" s="6" t="s">
        <v>3400</v>
      </c>
      <c r="K2" s="6" t="s">
        <v>3401</v>
      </c>
      <c r="L2" s="6" t="s">
        <v>255</v>
      </c>
      <c r="M2" s="6" t="s">
        <v>225</v>
      </c>
      <c r="N2" s="24" t="s">
        <v>246</v>
      </c>
    </row>
    <row r="3" customFormat="false" ht="94.5" hidden="false" customHeight="true" outlineLevel="0" collapsed="false">
      <c r="A3" s="6" t="n">
        <v>2</v>
      </c>
      <c r="B3" s="6" t="s">
        <v>374</v>
      </c>
      <c r="C3" s="6" t="s">
        <v>711</v>
      </c>
      <c r="D3" s="21" t="n">
        <v>52441</v>
      </c>
      <c r="E3" s="22" t="n">
        <v>351.5</v>
      </c>
      <c r="F3" s="6" t="s">
        <v>714</v>
      </c>
      <c r="G3" s="23" t="s">
        <v>713</v>
      </c>
      <c r="H3" s="6" t="s">
        <v>716</v>
      </c>
      <c r="I3" s="6" t="s">
        <v>717</v>
      </c>
      <c r="J3" s="6" t="s">
        <v>374</v>
      </c>
      <c r="K3" s="6" t="s">
        <v>3402</v>
      </c>
      <c r="L3" s="6" t="s">
        <v>234</v>
      </c>
      <c r="M3" s="6" t="s">
        <v>225</v>
      </c>
      <c r="N3" s="24" t="s">
        <v>246</v>
      </c>
    </row>
    <row r="4" customFormat="false" ht="94.5" hidden="false" customHeight="true" outlineLevel="0" collapsed="false">
      <c r="A4" s="6" t="n">
        <v>3</v>
      </c>
      <c r="B4" s="6" t="s">
        <v>220</v>
      </c>
      <c r="C4" s="6" t="s">
        <v>422</v>
      </c>
      <c r="D4" s="21" t="n">
        <v>13265</v>
      </c>
      <c r="E4" s="22" t="n">
        <v>326.1</v>
      </c>
      <c r="F4" s="6" t="s">
        <v>425</v>
      </c>
      <c r="G4" s="23" t="s">
        <v>424</v>
      </c>
      <c r="H4" s="6" t="s">
        <v>427</v>
      </c>
      <c r="I4" s="6" t="s">
        <v>428</v>
      </c>
      <c r="J4" s="6" t="s">
        <v>3403</v>
      </c>
      <c r="K4" s="6" t="s">
        <v>3402</v>
      </c>
      <c r="L4" s="6" t="s">
        <v>234</v>
      </c>
      <c r="M4" s="6" t="s">
        <v>322</v>
      </c>
      <c r="N4" s="24" t="s">
        <v>246</v>
      </c>
    </row>
    <row r="5" customFormat="false" ht="94.5" hidden="false" customHeight="true" outlineLevel="0" collapsed="false">
      <c r="A5" s="6" t="n">
        <v>4</v>
      </c>
      <c r="B5" s="6" t="s">
        <v>220</v>
      </c>
      <c r="C5" s="6" t="s">
        <v>341</v>
      </c>
      <c r="D5" s="21" t="n">
        <v>5044</v>
      </c>
      <c r="E5" s="22" t="n">
        <v>240.5</v>
      </c>
      <c r="F5" s="6" t="s">
        <v>344</v>
      </c>
      <c r="G5" s="23" t="s">
        <v>343</v>
      </c>
      <c r="H5" s="6" t="s">
        <v>347</v>
      </c>
      <c r="I5" s="6" t="s">
        <v>348</v>
      </c>
      <c r="J5" s="6" t="s">
        <v>3400</v>
      </c>
      <c r="K5" s="6" t="s">
        <v>3402</v>
      </c>
      <c r="L5" s="6" t="s">
        <v>234</v>
      </c>
      <c r="M5" s="6" t="s">
        <v>338</v>
      </c>
      <c r="N5" s="24" t="s">
        <v>246</v>
      </c>
    </row>
    <row r="6" customFormat="false" ht="94.5" hidden="false" customHeight="true" outlineLevel="0" collapsed="false">
      <c r="A6" s="6" t="n">
        <v>5</v>
      </c>
      <c r="B6" s="6" t="s">
        <v>220</v>
      </c>
      <c r="C6" s="6" t="s">
        <v>541</v>
      </c>
      <c r="D6" s="21" t="n">
        <v>22067</v>
      </c>
      <c r="E6" s="22" t="n">
        <v>221.1</v>
      </c>
      <c r="F6" s="6" t="s">
        <v>544</v>
      </c>
      <c r="G6" s="23" t="s">
        <v>543</v>
      </c>
      <c r="H6" s="6" t="s">
        <v>547</v>
      </c>
      <c r="I6" s="6" t="s">
        <v>548</v>
      </c>
      <c r="J6" s="6" t="s">
        <v>3400</v>
      </c>
      <c r="K6" s="6" t="s">
        <v>3404</v>
      </c>
      <c r="L6" s="6" t="s">
        <v>255</v>
      </c>
      <c r="M6" s="6" t="s">
        <v>364</v>
      </c>
      <c r="N6" s="24" t="s">
        <v>246</v>
      </c>
    </row>
    <row r="7" customFormat="false" ht="94.5" hidden="false" customHeight="true" outlineLevel="0" collapsed="false">
      <c r="A7" s="6" t="n">
        <v>6</v>
      </c>
      <c r="B7" s="6" t="s">
        <v>247</v>
      </c>
      <c r="C7" s="6" t="s">
        <v>399</v>
      </c>
      <c r="D7" s="21" t="n">
        <v>57809</v>
      </c>
      <c r="E7" s="22" t="n">
        <v>219.6</v>
      </c>
      <c r="F7" s="6" t="s">
        <v>403</v>
      </c>
      <c r="G7" s="23" t="s">
        <v>402</v>
      </c>
      <c r="H7" s="6" t="s">
        <v>405</v>
      </c>
      <c r="I7" s="6" t="s">
        <v>406</v>
      </c>
      <c r="J7" s="6" t="s">
        <v>3405</v>
      </c>
      <c r="K7" s="6" t="s">
        <v>3401</v>
      </c>
      <c r="L7" s="6" t="s">
        <v>255</v>
      </c>
      <c r="M7" s="6" t="s">
        <v>338</v>
      </c>
      <c r="N7" s="24" t="s">
        <v>246</v>
      </c>
    </row>
    <row r="8" customFormat="false" ht="94.5" hidden="false" customHeight="true" outlineLevel="0" collapsed="false">
      <c r="A8" s="6" t="n">
        <v>7</v>
      </c>
      <c r="B8" s="6" t="s">
        <v>220</v>
      </c>
      <c r="C8" s="6" t="s">
        <v>434</v>
      </c>
      <c r="D8" s="21" t="n">
        <v>57635</v>
      </c>
      <c r="E8" s="22" t="n">
        <v>212.8</v>
      </c>
      <c r="F8" s="6" t="s">
        <v>437</v>
      </c>
      <c r="G8" s="23" t="s">
        <v>436</v>
      </c>
      <c r="H8" s="6" t="s">
        <v>440</v>
      </c>
      <c r="I8" s="6" t="s">
        <v>441</v>
      </c>
      <c r="J8" s="6" t="s">
        <v>220</v>
      </c>
      <c r="K8" s="6" t="s">
        <v>3402</v>
      </c>
      <c r="L8" s="6" t="s">
        <v>255</v>
      </c>
      <c r="M8" s="6" t="s">
        <v>364</v>
      </c>
      <c r="N8" s="24" t="s">
        <v>246</v>
      </c>
    </row>
    <row r="9" customFormat="false" ht="94.5" hidden="false" customHeight="true" outlineLevel="0" collapsed="false">
      <c r="A9" s="6" t="n">
        <v>8</v>
      </c>
      <c r="B9" s="6" t="s">
        <v>247</v>
      </c>
      <c r="C9" s="6" t="s">
        <v>553</v>
      </c>
      <c r="D9" s="21" t="n">
        <v>52200</v>
      </c>
      <c r="E9" s="22" t="n">
        <v>190.6</v>
      </c>
      <c r="F9" s="6" t="s">
        <v>555</v>
      </c>
      <c r="G9" s="23" t="s">
        <v>554</v>
      </c>
      <c r="H9" s="6" t="s">
        <v>558</v>
      </c>
      <c r="I9" s="6" t="s">
        <v>559</v>
      </c>
      <c r="J9" s="6" t="s">
        <v>3406</v>
      </c>
      <c r="K9" s="6" t="s">
        <v>3402</v>
      </c>
      <c r="L9" s="6" t="s">
        <v>255</v>
      </c>
      <c r="M9" s="6" t="s">
        <v>225</v>
      </c>
      <c r="N9" s="24" t="s">
        <v>246</v>
      </c>
    </row>
    <row r="10" customFormat="false" ht="94.5" hidden="false" customHeight="true" outlineLevel="0" collapsed="false">
      <c r="A10" s="6" t="n">
        <v>9</v>
      </c>
      <c r="B10" s="6" t="s">
        <v>374</v>
      </c>
      <c r="C10" s="6" t="s">
        <v>378</v>
      </c>
      <c r="D10" s="21" t="n">
        <v>18671</v>
      </c>
      <c r="E10" s="22" t="n">
        <v>111.5</v>
      </c>
      <c r="F10" s="6" t="s">
        <v>520</v>
      </c>
      <c r="G10" s="23" t="s">
        <v>519</v>
      </c>
      <c r="H10" s="6" t="s">
        <v>522</v>
      </c>
      <c r="I10" s="6" t="s">
        <v>523</v>
      </c>
      <c r="J10" s="6" t="s">
        <v>374</v>
      </c>
      <c r="K10" s="6" t="s">
        <v>3402</v>
      </c>
      <c r="L10" s="6" t="s">
        <v>234</v>
      </c>
      <c r="M10" s="6" t="s">
        <v>322</v>
      </c>
      <c r="N10" s="24" t="s">
        <v>246</v>
      </c>
    </row>
    <row r="11" customFormat="false" ht="94.5" hidden="false" customHeight="true" outlineLevel="0" collapsed="false">
      <c r="A11" s="6" t="n">
        <v>10</v>
      </c>
      <c r="B11" s="6" t="s">
        <v>247</v>
      </c>
      <c r="C11" s="6" t="s">
        <v>1523</v>
      </c>
      <c r="D11" s="21" t="n">
        <v>7900</v>
      </c>
      <c r="E11" s="22" t="n">
        <v>60.4</v>
      </c>
      <c r="F11" s="6" t="s">
        <v>1525</v>
      </c>
      <c r="G11" s="23" t="s">
        <v>1524</v>
      </c>
      <c r="H11" s="6" t="s">
        <v>1528</v>
      </c>
      <c r="I11" s="6" t="s">
        <v>1529</v>
      </c>
      <c r="J11" s="6" t="s">
        <v>3407</v>
      </c>
      <c r="K11" s="6" t="s">
        <v>3402</v>
      </c>
      <c r="L11" s="6" t="s">
        <v>330</v>
      </c>
      <c r="M11" s="6" t="s">
        <v>338</v>
      </c>
      <c r="N11" s="24" t="s">
        <v>246</v>
      </c>
    </row>
    <row r="12" customFormat="false" ht="94.5" hidden="false" customHeight="true" outlineLevel="0" collapsed="false">
      <c r="A12" s="6" t="n">
        <v>11</v>
      </c>
      <c r="B12" s="6" t="s">
        <v>247</v>
      </c>
      <c r="C12" s="6" t="s">
        <v>461</v>
      </c>
      <c r="D12" s="21" t="n">
        <v>46241</v>
      </c>
      <c r="E12" s="22" t="n">
        <v>48.1</v>
      </c>
      <c r="F12" s="6" t="s">
        <v>464</v>
      </c>
      <c r="G12" s="23" t="s">
        <v>463</v>
      </c>
      <c r="H12" s="6" t="s">
        <v>467</v>
      </c>
      <c r="I12" s="6" t="s">
        <v>468</v>
      </c>
      <c r="J12" s="6" t="s">
        <v>3408</v>
      </c>
      <c r="K12" s="6" t="s">
        <v>3401</v>
      </c>
      <c r="L12" s="6" t="s">
        <v>255</v>
      </c>
      <c r="M12" s="6" t="s">
        <v>322</v>
      </c>
      <c r="N12" s="24" t="s">
        <v>246</v>
      </c>
    </row>
    <row r="13" customFormat="false" ht="94.5" hidden="false" customHeight="true" outlineLevel="0" collapsed="false">
      <c r="A13" s="6" t="n">
        <v>12</v>
      </c>
      <c r="B13" s="6" t="s">
        <v>220</v>
      </c>
      <c r="C13" s="6" t="s">
        <v>311</v>
      </c>
      <c r="D13" s="21" t="n">
        <v>10660</v>
      </c>
      <c r="E13" s="22" t="n">
        <v>48</v>
      </c>
      <c r="F13" s="6" t="s">
        <v>314</v>
      </c>
      <c r="G13" s="23" t="s">
        <v>313</v>
      </c>
      <c r="H13" s="6" t="s">
        <v>317</v>
      </c>
      <c r="I13" s="6" t="s">
        <v>318</v>
      </c>
      <c r="J13" s="6" t="s">
        <v>3409</v>
      </c>
      <c r="K13" s="6" t="s">
        <v>3402</v>
      </c>
      <c r="L13" s="6" t="s">
        <v>234</v>
      </c>
      <c r="M13" s="6" t="s">
        <v>308</v>
      </c>
      <c r="N13" s="24" t="s">
        <v>246</v>
      </c>
    </row>
    <row r="14" customFormat="false" ht="94.5" hidden="false" customHeight="true" outlineLevel="0" collapsed="false">
      <c r="A14" s="6" t="n">
        <v>13</v>
      </c>
      <c r="B14" s="6" t="s">
        <v>220</v>
      </c>
      <c r="C14" s="6" t="s">
        <v>311</v>
      </c>
      <c r="D14" s="21" t="n">
        <v>10660</v>
      </c>
      <c r="E14" s="22" t="n">
        <v>45.9</v>
      </c>
      <c r="F14" s="6" t="s">
        <v>367</v>
      </c>
      <c r="G14" s="23" t="s">
        <v>366</v>
      </c>
      <c r="H14" s="6" t="s">
        <v>369</v>
      </c>
      <c r="I14" s="6" t="s">
        <v>370</v>
      </c>
      <c r="J14" s="6" t="s">
        <v>3410</v>
      </c>
      <c r="K14" s="6" t="s">
        <v>3401</v>
      </c>
      <c r="L14" s="6" t="s">
        <v>330</v>
      </c>
      <c r="M14" s="6" t="s">
        <v>364</v>
      </c>
      <c r="N14" s="24" t="s">
        <v>246</v>
      </c>
    </row>
    <row r="15" customFormat="false" ht="94.5" hidden="false" customHeight="true" outlineLevel="0" collapsed="false">
      <c r="A15" s="6" t="n">
        <v>14</v>
      </c>
      <c r="B15" s="6" t="s">
        <v>374</v>
      </c>
      <c r="C15" s="6" t="s">
        <v>378</v>
      </c>
      <c r="D15" s="21" t="n">
        <v>18671</v>
      </c>
      <c r="E15" s="22" t="n">
        <v>43.7</v>
      </c>
      <c r="F15" s="6" t="s">
        <v>381</v>
      </c>
      <c r="G15" s="23" t="s">
        <v>380</v>
      </c>
      <c r="H15" s="6" t="s">
        <v>384</v>
      </c>
      <c r="I15" s="6" t="s">
        <v>385</v>
      </c>
      <c r="J15" s="6" t="s">
        <v>374</v>
      </c>
      <c r="K15" s="6" t="s">
        <v>3402</v>
      </c>
      <c r="L15" s="6" t="s">
        <v>234</v>
      </c>
      <c r="M15" s="6" t="s">
        <v>375</v>
      </c>
      <c r="N15" s="24" t="s">
        <v>246</v>
      </c>
    </row>
    <row r="16" customFormat="false" ht="94.5" hidden="false" customHeight="true" outlineLevel="0" collapsed="false">
      <c r="A16" s="6" t="n">
        <v>15</v>
      </c>
      <c r="B16" s="6" t="s">
        <v>220</v>
      </c>
      <c r="C16" s="6" t="s">
        <v>577</v>
      </c>
      <c r="D16" s="21" t="n">
        <v>36531</v>
      </c>
      <c r="E16" s="22" t="n">
        <v>41.5</v>
      </c>
      <c r="F16" s="6" t="s">
        <v>580</v>
      </c>
      <c r="G16" s="23" t="s">
        <v>579</v>
      </c>
      <c r="H16" s="6" t="s">
        <v>582</v>
      </c>
      <c r="I16" s="6" t="s">
        <v>583</v>
      </c>
      <c r="J16" s="6" t="s">
        <v>3411</v>
      </c>
      <c r="K16" s="6" t="s">
        <v>3401</v>
      </c>
      <c r="L16" s="6" t="s">
        <v>255</v>
      </c>
      <c r="M16" s="6" t="s">
        <v>225</v>
      </c>
      <c r="N16" s="24" t="s">
        <v>246</v>
      </c>
    </row>
    <row r="17" customFormat="false" ht="94.5" hidden="false" customHeight="true" outlineLevel="0" collapsed="false">
      <c r="A17" s="6" t="n">
        <v>16</v>
      </c>
      <c r="B17" s="6" t="s">
        <v>220</v>
      </c>
      <c r="C17" s="6" t="s">
        <v>311</v>
      </c>
      <c r="D17" s="21" t="n">
        <v>10660</v>
      </c>
      <c r="E17" s="22" t="n">
        <v>40.7</v>
      </c>
      <c r="F17" s="6" t="s">
        <v>600</v>
      </c>
      <c r="G17" s="23" t="s">
        <v>599</v>
      </c>
      <c r="H17" s="6" t="s">
        <v>602</v>
      </c>
      <c r="I17" s="6" t="s">
        <v>603</v>
      </c>
      <c r="J17" s="6" t="s">
        <v>3412</v>
      </c>
      <c r="K17" s="6" t="s">
        <v>3401</v>
      </c>
      <c r="L17" s="6" t="s">
        <v>234</v>
      </c>
      <c r="M17" s="6" t="s">
        <v>375</v>
      </c>
      <c r="N17" s="24" t="s">
        <v>246</v>
      </c>
    </row>
    <row r="18" customFormat="false" ht="94.5" hidden="false" customHeight="true" outlineLevel="0" collapsed="false">
      <c r="A18" s="6" t="n">
        <v>17</v>
      </c>
      <c r="B18" s="6" t="s">
        <v>220</v>
      </c>
      <c r="C18" s="6" t="s">
        <v>311</v>
      </c>
      <c r="D18" s="21" t="n">
        <v>10660</v>
      </c>
      <c r="E18" s="22" t="n">
        <v>34.9</v>
      </c>
      <c r="F18" s="6" t="s">
        <v>390</v>
      </c>
      <c r="G18" s="23" t="s">
        <v>389</v>
      </c>
      <c r="H18" s="6" t="s">
        <v>392</v>
      </c>
      <c r="I18" s="6" t="s">
        <v>393</v>
      </c>
      <c r="J18" s="6" t="s">
        <v>3400</v>
      </c>
      <c r="K18" s="6" t="s">
        <v>3402</v>
      </c>
      <c r="L18" s="6" t="s">
        <v>330</v>
      </c>
      <c r="M18" s="6" t="s">
        <v>225</v>
      </c>
      <c r="N18" s="24" t="s">
        <v>246</v>
      </c>
    </row>
    <row r="19" customFormat="false" ht="94.5" hidden="false" customHeight="true" outlineLevel="0" collapsed="false">
      <c r="A19" s="6" t="n">
        <v>18</v>
      </c>
      <c r="B19" s="6" t="s">
        <v>247</v>
      </c>
      <c r="C19" s="6" t="s">
        <v>2202</v>
      </c>
      <c r="D19" s="21" t="n">
        <v>6200</v>
      </c>
      <c r="E19" s="22" t="n">
        <v>33.3</v>
      </c>
      <c r="F19" s="6" t="s">
        <v>2204</v>
      </c>
      <c r="G19" s="23" t="s">
        <v>2203</v>
      </c>
      <c r="H19" s="6" t="s">
        <v>2206</v>
      </c>
      <c r="I19" s="6" t="s">
        <v>2207</v>
      </c>
      <c r="J19" s="6" t="s">
        <v>3413</v>
      </c>
      <c r="K19" s="6" t="s">
        <v>3401</v>
      </c>
      <c r="L19" s="6" t="s">
        <v>255</v>
      </c>
      <c r="M19" s="6" t="s">
        <v>375</v>
      </c>
      <c r="N19" s="24" t="s">
        <v>246</v>
      </c>
    </row>
    <row r="20" customFormat="false" ht="94.5" hidden="false" customHeight="true" outlineLevel="0" collapsed="false">
      <c r="A20" s="6" t="n">
        <v>19</v>
      </c>
      <c r="B20" s="6" t="s">
        <v>220</v>
      </c>
      <c r="C20" s="6" t="s">
        <v>311</v>
      </c>
      <c r="D20" s="21" t="n">
        <v>10660</v>
      </c>
      <c r="E20" s="22" t="n">
        <v>31.8</v>
      </c>
      <c r="F20" s="6" t="s">
        <v>609</v>
      </c>
      <c r="G20" s="23" t="s">
        <v>608</v>
      </c>
      <c r="H20" s="6" t="s">
        <v>611</v>
      </c>
      <c r="I20" s="6" t="s">
        <v>612</v>
      </c>
      <c r="J20" s="6" t="s">
        <v>3400</v>
      </c>
      <c r="K20" s="6" t="s">
        <v>3401</v>
      </c>
      <c r="L20" s="6" t="s">
        <v>330</v>
      </c>
      <c r="M20" s="6" t="s">
        <v>322</v>
      </c>
      <c r="N20" s="24" t="s">
        <v>246</v>
      </c>
    </row>
    <row r="21" customFormat="false" ht="94.5" hidden="false" customHeight="true" outlineLevel="0" collapsed="false">
      <c r="A21" s="6" t="n">
        <v>20</v>
      </c>
      <c r="B21" s="6" t="s">
        <v>220</v>
      </c>
      <c r="C21" s="6" t="s">
        <v>474</v>
      </c>
      <c r="D21" s="21" t="n">
        <v>23968</v>
      </c>
      <c r="E21" s="22" t="n">
        <v>29.6</v>
      </c>
      <c r="F21" s="6" t="s">
        <v>477</v>
      </c>
      <c r="G21" s="23" t="s">
        <v>476</v>
      </c>
      <c r="H21" s="6" t="s">
        <v>479</v>
      </c>
      <c r="I21" s="6" t="s">
        <v>480</v>
      </c>
      <c r="J21" s="6" t="s">
        <v>3414</v>
      </c>
      <c r="K21" s="6" t="s">
        <v>3402</v>
      </c>
      <c r="L21" s="6" t="s">
        <v>255</v>
      </c>
      <c r="M21" s="6" t="s">
        <v>308</v>
      </c>
      <c r="N21" s="24" t="s">
        <v>246</v>
      </c>
    </row>
    <row r="22" customFormat="false" ht="94.5" hidden="false" customHeight="true" outlineLevel="0" collapsed="false">
      <c r="A22" s="6" t="n">
        <v>21</v>
      </c>
      <c r="B22" s="6" t="s">
        <v>374</v>
      </c>
      <c r="C22" s="6" t="s">
        <v>1433</v>
      </c>
      <c r="D22" s="21" t="n">
        <v>2590</v>
      </c>
      <c r="E22" s="22" t="n">
        <v>26.7</v>
      </c>
      <c r="F22" s="6" t="s">
        <v>1435</v>
      </c>
      <c r="G22" s="23" t="s">
        <v>1434</v>
      </c>
      <c r="H22" s="6" t="s">
        <v>1437</v>
      </c>
      <c r="I22" s="6" t="s">
        <v>1438</v>
      </c>
      <c r="J22" s="6" t="s">
        <v>374</v>
      </c>
      <c r="K22" s="6" t="s">
        <v>3401</v>
      </c>
      <c r="L22" s="6" t="s">
        <v>255</v>
      </c>
      <c r="M22" s="6" t="s">
        <v>322</v>
      </c>
      <c r="N22" s="24" t="s">
        <v>246</v>
      </c>
    </row>
    <row r="23" customFormat="false" ht="94.5" hidden="false" customHeight="true" outlineLevel="0" collapsed="false">
      <c r="A23" s="6" t="n">
        <v>22</v>
      </c>
      <c r="B23" s="6" t="s">
        <v>247</v>
      </c>
      <c r="C23" s="6" t="s">
        <v>626</v>
      </c>
      <c r="D23" s="21" t="n">
        <v>25875</v>
      </c>
      <c r="E23" s="22" t="n">
        <v>20.1</v>
      </c>
      <c r="F23" s="6" t="s">
        <v>629</v>
      </c>
      <c r="G23" s="23" t="s">
        <v>628</v>
      </c>
      <c r="H23" s="6" t="s">
        <v>631</v>
      </c>
      <c r="I23" s="6" t="s">
        <v>632</v>
      </c>
      <c r="J23" s="6" t="s">
        <v>3415</v>
      </c>
      <c r="K23" s="6" t="s">
        <v>3401</v>
      </c>
      <c r="L23" s="6" t="s">
        <v>255</v>
      </c>
      <c r="M23" s="6" t="s">
        <v>375</v>
      </c>
      <c r="N23" s="24" t="s">
        <v>246</v>
      </c>
    </row>
    <row r="24" customFormat="false" ht="94.5" hidden="false" customHeight="true" outlineLevel="0" collapsed="false">
      <c r="A24" s="6" t="n">
        <v>23</v>
      </c>
      <c r="B24" s="6" t="s">
        <v>374</v>
      </c>
      <c r="C24" s="6" t="s">
        <v>1408</v>
      </c>
      <c r="D24" s="21" t="n">
        <v>6196</v>
      </c>
      <c r="E24" s="22" t="n">
        <v>19.7</v>
      </c>
      <c r="F24" s="6" t="s">
        <v>1411</v>
      </c>
      <c r="G24" s="23" t="s">
        <v>1410</v>
      </c>
      <c r="H24" s="6" t="s">
        <v>1413</v>
      </c>
      <c r="I24" s="6" t="s">
        <v>1414</v>
      </c>
      <c r="J24" s="6" t="s">
        <v>374</v>
      </c>
      <c r="K24" s="6" t="s">
        <v>3402</v>
      </c>
      <c r="L24" s="6" t="s">
        <v>330</v>
      </c>
      <c r="M24" s="6" t="s">
        <v>308</v>
      </c>
      <c r="N24" s="24" t="s">
        <v>246</v>
      </c>
    </row>
    <row r="25" customFormat="false" ht="94.5" hidden="false" customHeight="true" outlineLevel="0" collapsed="false">
      <c r="A25" s="6" t="n">
        <v>24</v>
      </c>
      <c r="B25" s="6" t="s">
        <v>247</v>
      </c>
      <c r="C25" s="6" t="s">
        <v>759</v>
      </c>
      <c r="D25" s="21" t="n">
        <v>29839</v>
      </c>
      <c r="E25" s="22" t="n">
        <v>14.4</v>
      </c>
      <c r="F25" s="6" t="s">
        <v>762</v>
      </c>
      <c r="G25" s="23" t="s">
        <v>761</v>
      </c>
      <c r="H25" s="6" t="s">
        <v>764</v>
      </c>
      <c r="I25" s="6" t="s">
        <v>765</v>
      </c>
      <c r="J25" s="6" t="s">
        <v>3416</v>
      </c>
      <c r="K25" s="6" t="s">
        <v>3404</v>
      </c>
      <c r="L25" s="6" t="s">
        <v>685</v>
      </c>
      <c r="M25" s="6" t="s">
        <v>225</v>
      </c>
      <c r="N25" s="24" t="s">
        <v>246</v>
      </c>
    </row>
    <row r="26" customFormat="false" ht="94.5" hidden="false" customHeight="true" outlineLevel="0" collapsed="false">
      <c r="A26" s="6" t="n">
        <v>25</v>
      </c>
      <c r="B26" s="6" t="s">
        <v>220</v>
      </c>
      <c r="C26" s="6" t="s">
        <v>422</v>
      </c>
      <c r="D26" s="21" t="n">
        <v>13265</v>
      </c>
      <c r="E26" s="22" t="n">
        <v>7.1</v>
      </c>
      <c r="F26" s="6" t="s">
        <v>986</v>
      </c>
      <c r="G26" s="23" t="s">
        <v>985</v>
      </c>
      <c r="H26" s="6" t="s">
        <v>988</v>
      </c>
      <c r="I26" s="6" t="s">
        <v>989</v>
      </c>
      <c r="J26" s="6" t="s">
        <v>3400</v>
      </c>
      <c r="K26" s="6" t="s">
        <v>3402</v>
      </c>
      <c r="L26" s="6" t="s">
        <v>685</v>
      </c>
      <c r="M26" s="6" t="s">
        <v>308</v>
      </c>
      <c r="N26" s="24" t="s">
        <v>246</v>
      </c>
    </row>
    <row r="27" customFormat="false" ht="94.5" hidden="false" customHeight="true" outlineLevel="0" collapsed="false">
      <c r="A27" s="6" t="n">
        <v>26</v>
      </c>
      <c r="B27" s="6" t="s">
        <v>220</v>
      </c>
      <c r="C27" s="6" t="s">
        <v>1724</v>
      </c>
      <c r="D27" s="21" t="n">
        <v>7460</v>
      </c>
      <c r="E27" s="22" t="n">
        <v>6</v>
      </c>
      <c r="F27" s="6" t="s">
        <v>1726</v>
      </c>
      <c r="G27" s="23" t="s">
        <v>1725</v>
      </c>
      <c r="H27" s="6" t="s">
        <v>1728</v>
      </c>
      <c r="I27" s="6" t="s">
        <v>1729</v>
      </c>
      <c r="J27" s="6" t="s">
        <v>3417</v>
      </c>
      <c r="K27" s="6" t="s">
        <v>3402</v>
      </c>
      <c r="L27" s="6" t="s">
        <v>234</v>
      </c>
      <c r="M27" s="6" t="s">
        <v>635</v>
      </c>
      <c r="N27" s="24" t="s">
        <v>246</v>
      </c>
    </row>
    <row r="28" customFormat="false" ht="94.5" hidden="false" customHeight="true" outlineLevel="0" collapsed="false">
      <c r="A28" s="6" t="n">
        <v>27</v>
      </c>
      <c r="B28" s="6" t="s">
        <v>220</v>
      </c>
      <c r="C28" s="6" t="s">
        <v>1038</v>
      </c>
      <c r="D28" s="21" t="n">
        <v>29814</v>
      </c>
      <c r="E28" s="22" t="n">
        <v>4.4</v>
      </c>
      <c r="F28" s="6" t="s">
        <v>1041</v>
      </c>
      <c r="G28" s="23" t="s">
        <v>1040</v>
      </c>
      <c r="H28" s="6" t="s">
        <v>1043</v>
      </c>
      <c r="I28" s="6" t="s">
        <v>1044</v>
      </c>
      <c r="J28" s="6" t="s">
        <v>3400</v>
      </c>
      <c r="K28" s="6" t="s">
        <v>3402</v>
      </c>
      <c r="L28" s="6" t="s">
        <v>234</v>
      </c>
      <c r="M28" s="6" t="s">
        <v>322</v>
      </c>
      <c r="N28" s="24" t="s">
        <v>246</v>
      </c>
    </row>
    <row r="29" customFormat="false" ht="94.5" hidden="false" customHeight="true" outlineLevel="0" collapsed="false">
      <c r="A29" s="6" t="n">
        <v>28</v>
      </c>
      <c r="B29" s="6" t="s">
        <v>374</v>
      </c>
      <c r="C29" s="6" t="s">
        <v>1123</v>
      </c>
      <c r="D29" s="21" t="n">
        <v>10064</v>
      </c>
      <c r="E29" s="22" t="n">
        <v>3.6</v>
      </c>
      <c r="F29" s="6" t="s">
        <v>1126</v>
      </c>
      <c r="G29" s="23" t="s">
        <v>1125</v>
      </c>
      <c r="H29" s="6" t="s">
        <v>1128</v>
      </c>
      <c r="I29" s="6" t="s">
        <v>1129</v>
      </c>
      <c r="J29" s="6" t="s">
        <v>374</v>
      </c>
      <c r="K29" s="6" t="s">
        <v>3401</v>
      </c>
      <c r="L29" s="6" t="s">
        <v>741</v>
      </c>
      <c r="M29" s="6" t="s">
        <v>338</v>
      </c>
      <c r="N29" s="24" t="s">
        <v>246</v>
      </c>
    </row>
    <row r="30" customFormat="false" ht="94.5" hidden="false" customHeight="true" outlineLevel="0" collapsed="false">
      <c r="A30" s="6" t="n">
        <v>29</v>
      </c>
      <c r="B30" s="6" t="s">
        <v>220</v>
      </c>
      <c r="C30" s="6" t="s">
        <v>1093</v>
      </c>
      <c r="D30" s="21" t="n">
        <v>17119</v>
      </c>
      <c r="E30" s="22" t="n">
        <v>2.8</v>
      </c>
      <c r="F30" s="6" t="s">
        <v>1793</v>
      </c>
      <c r="G30" s="23" t="s">
        <v>1792</v>
      </c>
      <c r="H30" s="6" t="s">
        <v>1795</v>
      </c>
      <c r="I30" s="6" t="s">
        <v>1796</v>
      </c>
      <c r="J30" s="6" t="s">
        <v>3400</v>
      </c>
      <c r="K30" s="6" t="s">
        <v>3402</v>
      </c>
      <c r="L30" s="6" t="s">
        <v>685</v>
      </c>
      <c r="M30" s="6" t="s">
        <v>375</v>
      </c>
      <c r="N30" s="24" t="s">
        <v>246</v>
      </c>
    </row>
    <row r="31" customFormat="false" ht="94.5" hidden="false" customHeight="true" outlineLevel="0" collapsed="false">
      <c r="A31" s="6" t="n">
        <v>30</v>
      </c>
      <c r="B31" s="6" t="s">
        <v>374</v>
      </c>
      <c r="C31" s="6" t="s">
        <v>1809</v>
      </c>
      <c r="D31" s="21" t="n">
        <v>47915</v>
      </c>
      <c r="E31" s="22" t="n">
        <v>2.5</v>
      </c>
      <c r="F31" s="6" t="s">
        <v>1812</v>
      </c>
      <c r="G31" s="23" t="s">
        <v>1811</v>
      </c>
      <c r="H31" s="6" t="s">
        <v>1814</v>
      </c>
      <c r="I31" s="6" t="s">
        <v>1815</v>
      </c>
      <c r="J31" s="6" t="s">
        <v>374</v>
      </c>
      <c r="K31" s="6" t="s">
        <v>3402</v>
      </c>
      <c r="L31" s="6" t="s">
        <v>330</v>
      </c>
      <c r="M31" s="6" t="s">
        <v>586</v>
      </c>
      <c r="N31" s="24" t="s">
        <v>246</v>
      </c>
    </row>
  </sheetData>
  <autoFilter ref="A1:N31"/>
  <dataValidations count="1">
    <dataValidation allowBlank="false" errorStyle="stop" operator="between" showDropDown="false" showErrorMessage="false" showInputMessage="false" sqref="N2:N31" type="list">
      <formula1>"Backlog,Shortlisted,Drafting,Scheduled,Published,Skip"</formula1>
      <formula2>0</formula2>
    </dataValidation>
  </dataValidations>
  <hyperlinks>
    <hyperlink ref="G2" r:id="rId1" display="https://x.com/theo_jil/status/2040494043713425822"/>
    <hyperlink ref="G3" r:id="rId2" display="https://www.linkedin.com/feed/update/urn:li:activity:7447674013230841856"/>
    <hyperlink ref="G4" r:id="rId3" display="https://x.com/MichLieben/status/2039432665078923529"/>
    <hyperlink ref="G5" r:id="rId4" display="https://x.com/NickB2005/status/2095121648710037913"/>
    <hyperlink ref="G6" r:id="rId5" display="https://x.com/Hartdrawss/status/2029852118723551289"/>
    <hyperlink ref="G7" r:id="rId6" display="https://www.instagram.com/reel/DWb9bMukmwe/"/>
    <hyperlink ref="G8" r:id="rId7" display="https://x.com/MarketingMax/status/2019410776201506904"/>
    <hyperlink ref="G9" r:id="rId8" display="https://www.instagram.com/reel/Db58c4nCOXN/"/>
    <hyperlink ref="G10" r:id="rId9" display="https://www.linkedin.com/feed/update/urn:li:activity:7421567657579196416"/>
    <hyperlink ref="G11" r:id="rId10" display="https://www.instagram.com/reel/DctXXS8DjnA/"/>
    <hyperlink ref="G12" r:id="rId11" display="https://www.instagram.com/reel/Dcy173UgAVR/"/>
    <hyperlink ref="G13" r:id="rId12" display="https://x.com/theroborourke/status/1990343987148775791"/>
    <hyperlink ref="G14" r:id="rId13" display="https://x.com/theroborourke/status/1990376468736618997"/>
    <hyperlink ref="G15" r:id="rId14" display="https://www.linkedin.com/feed/update/urn:li:activity:7422654796735807491"/>
    <hyperlink ref="G16" r:id="rId15" display="https://x.com/TimStodz/status/2108161648506609947"/>
    <hyperlink ref="G17" r:id="rId16" display="https://x.com/theroborourke/status/2000523290205364430"/>
    <hyperlink ref="G18" r:id="rId17" display="https://x.com/theroborourke/status/2016436919505146264"/>
    <hyperlink ref="G19" r:id="rId18" display="https://www.instagram.com/reel/DcjOceDKj52/"/>
    <hyperlink ref="G20" r:id="rId19" display="https://x.com/theroborourke/status/1984891228635255217"/>
    <hyperlink ref="G21" r:id="rId20" display="https://x.com/fin465/status/2055137077868814804"/>
    <hyperlink ref="G22" r:id="rId21" display="https://www.linkedin.com/feed/update/urn:li:activity:7507859803386511361"/>
    <hyperlink ref="G23" r:id="rId22" display="https://www.instagram.com/reel/DZpxfcdhO3g/"/>
    <hyperlink ref="G24" r:id="rId23" display="https://www.linkedin.com/feed/update/urn:li:activity:7483506353366515712"/>
    <hyperlink ref="G25" r:id="rId24" display="https://www.instagram.com/reel/DV2q3zoErC3/"/>
    <hyperlink ref="G26" r:id="rId25" display="https://x.com/MichLieben/status/2109690075546329232"/>
    <hyperlink ref="G27" r:id="rId26" display="https://x.com/draprints/status/2095133643182322119"/>
    <hyperlink ref="G28" r:id="rId27" display="https://x.com/ConnorAbene/status/2101380828399882659"/>
    <hyperlink ref="G29" r:id="rId28" display="https://www.linkedin.com/feed/update/urn:li:activity:7505943146720165888"/>
    <hyperlink ref="G30" r:id="rId29" display="https://x.com/paolo_scales/status/2032000149744984176"/>
    <hyperlink ref="G31" r:id="rId30" display="https://www.linkedin.com/feed/update/urn:li:activity:745483153889209958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6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8"/>
    <col collapsed="false" customWidth="true" hidden="false" outlineLevel="0" max="4" min="4" style="0" width="20"/>
    <col collapsed="false" customWidth="true" hidden="false" outlineLevel="0" max="5" min="5" style="0" width="10"/>
    <col collapsed="false" customWidth="true" hidden="false" outlineLevel="0" max="6" min="6" style="0" width="9"/>
    <col collapsed="false" customWidth="true" hidden="false" outlineLevel="0" max="7" min="7" style="0" width="8"/>
    <col collapsed="false" customWidth="true" hidden="false" outlineLevel="0" max="8" min="8" style="0" width="24"/>
    <col collapsed="false" customWidth="true" hidden="false" outlineLevel="0" max="9" min="9" style="0" width="22"/>
    <col collapsed="false" customWidth="true" hidden="false" outlineLevel="0" max="10" min="10" style="0" width="55"/>
    <col collapsed="false" customWidth="true" hidden="false" outlineLevel="0" max="11" min="11" style="0" width="32"/>
    <col collapsed="false" customWidth="true" hidden="false" outlineLevel="0" max="12" min="12" style="0" width="55"/>
    <col collapsed="false" customWidth="true" hidden="false" outlineLevel="0" max="13" min="13" style="0" width="18"/>
    <col collapsed="false" customWidth="true" hidden="false" outlineLevel="0" max="15" min="14" style="0" width="20"/>
  </cols>
  <sheetData>
    <row r="1" customFormat="false" ht="15" hidden="false" customHeight="false" outlineLevel="0" collapsed="false">
      <c r="A1" s="25" t="s">
        <v>3418</v>
      </c>
    </row>
    <row r="2" customFormat="false" ht="31.5" hidden="false" customHeight="true" outlineLevel="0" collapsed="false">
      <c r="A2" s="13" t="s">
        <v>178</v>
      </c>
      <c r="B2" s="13" t="s">
        <v>179</v>
      </c>
      <c r="C2" s="13" t="s">
        <v>3419</v>
      </c>
      <c r="D2" s="13" t="s">
        <v>186</v>
      </c>
      <c r="E2" s="13" t="s">
        <v>188</v>
      </c>
      <c r="F2" s="13" t="s">
        <v>40</v>
      </c>
      <c r="G2" s="13" t="s">
        <v>3420</v>
      </c>
      <c r="H2" s="13" t="s">
        <v>3421</v>
      </c>
      <c r="I2" s="13" t="s">
        <v>194</v>
      </c>
      <c r="J2" s="13" t="s">
        <v>3396</v>
      </c>
      <c r="K2" s="13" t="s">
        <v>191</v>
      </c>
      <c r="L2" s="13" t="s">
        <v>213</v>
      </c>
      <c r="M2" s="13" t="s">
        <v>3422</v>
      </c>
      <c r="N2" s="13" t="s">
        <v>196</v>
      </c>
      <c r="O2" s="13" t="s">
        <v>3399</v>
      </c>
    </row>
    <row r="3" customFormat="false" ht="48" hidden="false" customHeight="true" outlineLevel="0" collapsed="false">
      <c r="A3" s="14" t="n">
        <v>1</v>
      </c>
      <c r="B3" s="14" t="s">
        <v>247</v>
      </c>
      <c r="C3" s="14" t="s">
        <v>221</v>
      </c>
      <c r="D3" s="14" t="s">
        <v>250</v>
      </c>
      <c r="E3" s="15" t="n">
        <v>13612</v>
      </c>
      <c r="F3" s="18" t="n">
        <v>922.1</v>
      </c>
      <c r="G3" s="14" t="n">
        <v>10</v>
      </c>
      <c r="H3" s="14" t="s">
        <v>225</v>
      </c>
      <c r="I3" s="14" t="s">
        <v>255</v>
      </c>
      <c r="J3" s="6" t="s">
        <v>253</v>
      </c>
      <c r="K3" s="16" t="s">
        <v>252</v>
      </c>
      <c r="L3" s="6" t="s">
        <v>259</v>
      </c>
      <c r="M3" s="14" t="s">
        <v>235</v>
      </c>
      <c r="N3" s="14" t="s">
        <v>236</v>
      </c>
      <c r="O3" s="14" t="s">
        <v>240</v>
      </c>
    </row>
    <row r="4" customFormat="false" ht="48" hidden="false" customHeight="true" outlineLevel="0" collapsed="false">
      <c r="A4" s="14" t="n">
        <v>2</v>
      </c>
      <c r="B4" s="14" t="s">
        <v>247</v>
      </c>
      <c r="C4" s="14" t="s">
        <v>221</v>
      </c>
      <c r="D4" s="14" t="s">
        <v>267</v>
      </c>
      <c r="E4" s="15" t="n">
        <v>19437</v>
      </c>
      <c r="F4" s="18" t="n">
        <v>410.1</v>
      </c>
      <c r="G4" s="14" t="n">
        <v>10</v>
      </c>
      <c r="H4" s="14" t="s">
        <v>264</v>
      </c>
      <c r="I4" s="14" t="s">
        <v>272</v>
      </c>
      <c r="J4" s="6" t="s">
        <v>270</v>
      </c>
      <c r="K4" s="16" t="s">
        <v>269</v>
      </c>
      <c r="L4" s="6" t="s">
        <v>276</v>
      </c>
      <c r="M4" s="14" t="s">
        <v>273</v>
      </c>
      <c r="N4" s="14" t="s">
        <v>274</v>
      </c>
      <c r="O4" s="14" t="s">
        <v>240</v>
      </c>
    </row>
    <row r="5" customFormat="false" ht="48" hidden="false" customHeight="true" outlineLevel="0" collapsed="false">
      <c r="A5" s="14" t="n">
        <v>3</v>
      </c>
      <c r="B5" s="14" t="s">
        <v>220</v>
      </c>
      <c r="C5" s="14" t="s">
        <v>221</v>
      </c>
      <c r="D5" s="14" t="s">
        <v>228</v>
      </c>
      <c r="E5" s="15" t="n">
        <v>12888</v>
      </c>
      <c r="F5" s="18" t="n">
        <v>243.7</v>
      </c>
      <c r="G5" s="14" t="n">
        <v>10</v>
      </c>
      <c r="H5" s="14" t="s">
        <v>225</v>
      </c>
      <c r="I5" s="14" t="s">
        <v>234</v>
      </c>
      <c r="J5" s="6" t="s">
        <v>232</v>
      </c>
      <c r="K5" s="16" t="s">
        <v>231</v>
      </c>
      <c r="L5" s="6" t="s">
        <v>241</v>
      </c>
      <c r="M5" s="14" t="s">
        <v>235</v>
      </c>
      <c r="N5" s="14" t="s">
        <v>236</v>
      </c>
      <c r="O5" s="14" t="s">
        <v>240</v>
      </c>
    </row>
    <row r="6" customFormat="false" ht="48" hidden="false" customHeight="true" outlineLevel="0" collapsed="false">
      <c r="A6" s="14" t="n">
        <v>4</v>
      </c>
      <c r="B6" s="14" t="s">
        <v>247</v>
      </c>
      <c r="C6" s="14" t="s">
        <v>221</v>
      </c>
      <c r="D6" s="14" t="s">
        <v>282</v>
      </c>
      <c r="E6" s="15" t="n">
        <v>5949</v>
      </c>
      <c r="F6" s="18" t="n">
        <v>161.8</v>
      </c>
      <c r="G6" s="14" t="n">
        <v>10</v>
      </c>
      <c r="H6" s="14" t="s">
        <v>225</v>
      </c>
      <c r="I6" s="14" t="s">
        <v>234</v>
      </c>
      <c r="J6" s="6" t="s">
        <v>286</v>
      </c>
      <c r="K6" s="16" t="s">
        <v>285</v>
      </c>
      <c r="L6" s="6" t="s">
        <v>290</v>
      </c>
      <c r="M6" s="14" t="s">
        <v>235</v>
      </c>
      <c r="N6" s="14" t="s">
        <v>236</v>
      </c>
      <c r="O6" s="14" t="s">
        <v>240</v>
      </c>
    </row>
    <row r="7" customFormat="false" ht="48" hidden="false" customHeight="true" outlineLevel="0" collapsed="false">
      <c r="A7" s="14" t="n">
        <v>5</v>
      </c>
      <c r="B7" s="14" t="s">
        <v>247</v>
      </c>
      <c r="C7" s="14" t="s">
        <v>221</v>
      </c>
      <c r="D7" s="14" t="s">
        <v>297</v>
      </c>
      <c r="E7" s="15" t="n">
        <v>29450</v>
      </c>
      <c r="F7" s="18" t="n">
        <v>62.3</v>
      </c>
      <c r="G7" s="14" t="n">
        <v>10</v>
      </c>
      <c r="H7" s="14" t="s">
        <v>225</v>
      </c>
      <c r="I7" s="14" t="s">
        <v>272</v>
      </c>
      <c r="J7" s="6" t="s">
        <v>301</v>
      </c>
      <c r="K7" s="16" t="s">
        <v>300</v>
      </c>
      <c r="L7" s="6" t="s">
        <v>303</v>
      </c>
      <c r="M7" s="14" t="s">
        <v>273</v>
      </c>
      <c r="N7" s="14" t="s">
        <v>274</v>
      </c>
      <c r="O7" s="14" t="s">
        <v>240</v>
      </c>
    </row>
    <row r="8" customFormat="false" ht="48" hidden="false" customHeight="true" outlineLevel="0" collapsed="false">
      <c r="A8" s="14" t="n">
        <v>6</v>
      </c>
      <c r="B8" s="14" t="s">
        <v>220</v>
      </c>
      <c r="C8" s="14" t="s">
        <v>221</v>
      </c>
      <c r="D8" s="14" t="s">
        <v>311</v>
      </c>
      <c r="E8" s="15" t="n">
        <v>10660</v>
      </c>
      <c r="F8" s="18" t="n">
        <v>48</v>
      </c>
      <c r="G8" s="14" t="n">
        <v>10</v>
      </c>
      <c r="H8" s="14" t="s">
        <v>308</v>
      </c>
      <c r="I8" s="14" t="s">
        <v>234</v>
      </c>
      <c r="J8" s="6" t="s">
        <v>314</v>
      </c>
      <c r="K8" s="16" t="s">
        <v>313</v>
      </c>
      <c r="L8" s="6" t="s">
        <v>317</v>
      </c>
      <c r="M8" s="14" t="s">
        <v>316</v>
      </c>
      <c r="N8" s="14" t="s">
        <v>236</v>
      </c>
      <c r="O8" s="14" t="s">
        <v>240</v>
      </c>
    </row>
    <row r="9" customFormat="false" ht="48" hidden="false" customHeight="true" outlineLevel="0" collapsed="false">
      <c r="A9" s="14" t="n">
        <v>7</v>
      </c>
      <c r="B9" s="14" t="s">
        <v>220</v>
      </c>
      <c r="C9" s="14" t="s">
        <v>221</v>
      </c>
      <c r="D9" s="14" t="s">
        <v>325</v>
      </c>
      <c r="E9" s="15" t="n">
        <v>22306</v>
      </c>
      <c r="F9" s="18" t="n">
        <v>47.1</v>
      </c>
      <c r="G9" s="14" t="n">
        <v>10</v>
      </c>
      <c r="H9" s="14" t="s">
        <v>322</v>
      </c>
      <c r="I9" s="14" t="s">
        <v>330</v>
      </c>
      <c r="J9" s="6" t="s">
        <v>328</v>
      </c>
      <c r="K9" s="16" t="s">
        <v>327</v>
      </c>
      <c r="L9" s="6" t="s">
        <v>334</v>
      </c>
      <c r="M9" s="14" t="s">
        <v>235</v>
      </c>
      <c r="N9" s="14" t="s">
        <v>236</v>
      </c>
      <c r="O9" s="14" t="s">
        <v>240</v>
      </c>
    </row>
    <row r="10" customFormat="false" ht="48" hidden="false" customHeight="true" outlineLevel="0" collapsed="false">
      <c r="A10" s="14" t="n">
        <v>8</v>
      </c>
      <c r="B10" s="14" t="s">
        <v>220</v>
      </c>
      <c r="C10" s="14" t="s">
        <v>221</v>
      </c>
      <c r="D10" s="14" t="s">
        <v>311</v>
      </c>
      <c r="E10" s="15" t="n">
        <v>10660</v>
      </c>
      <c r="F10" s="18" t="n">
        <v>34.9</v>
      </c>
      <c r="G10" s="14" t="n">
        <v>10</v>
      </c>
      <c r="H10" s="14" t="s">
        <v>225</v>
      </c>
      <c r="I10" s="14" t="s">
        <v>330</v>
      </c>
      <c r="J10" s="6" t="s">
        <v>390</v>
      </c>
      <c r="K10" s="16" t="s">
        <v>389</v>
      </c>
      <c r="L10" s="6" t="s">
        <v>392</v>
      </c>
      <c r="M10" s="14" t="s">
        <v>235</v>
      </c>
      <c r="N10" s="14" t="s">
        <v>346</v>
      </c>
      <c r="O10" s="14" t="s">
        <v>240</v>
      </c>
    </row>
    <row r="11" customFormat="false" ht="48" hidden="false" customHeight="true" outlineLevel="0" collapsed="false">
      <c r="A11" s="14" t="n">
        <v>9</v>
      </c>
      <c r="B11" s="14" t="s">
        <v>220</v>
      </c>
      <c r="C11" s="14" t="s">
        <v>221</v>
      </c>
      <c r="D11" s="14" t="s">
        <v>474</v>
      </c>
      <c r="E11" s="15" t="n">
        <v>23968</v>
      </c>
      <c r="F11" s="18" t="n">
        <v>29.6</v>
      </c>
      <c r="G11" s="14" t="n">
        <v>10</v>
      </c>
      <c r="H11" s="14" t="s">
        <v>308</v>
      </c>
      <c r="I11" s="14" t="s">
        <v>255</v>
      </c>
      <c r="J11" s="6" t="s">
        <v>477</v>
      </c>
      <c r="K11" s="16" t="s">
        <v>476</v>
      </c>
      <c r="L11" s="6" t="s">
        <v>479</v>
      </c>
      <c r="M11" s="14" t="s">
        <v>316</v>
      </c>
      <c r="N11" s="14" t="s">
        <v>236</v>
      </c>
      <c r="O11" s="14" t="s">
        <v>240</v>
      </c>
    </row>
    <row r="12" customFormat="false" ht="48" hidden="false" customHeight="true" outlineLevel="0" collapsed="false">
      <c r="A12" s="14" t="n">
        <v>10</v>
      </c>
      <c r="B12" s="14" t="s">
        <v>220</v>
      </c>
      <c r="C12" s="14" t="s">
        <v>221</v>
      </c>
      <c r="D12" s="14" t="s">
        <v>589</v>
      </c>
      <c r="E12" s="15" t="n">
        <v>6256</v>
      </c>
      <c r="F12" s="18" t="n">
        <v>24.6</v>
      </c>
      <c r="G12" s="14" t="n">
        <v>10</v>
      </c>
      <c r="H12" s="14" t="s">
        <v>586</v>
      </c>
      <c r="I12" s="14" t="s">
        <v>234</v>
      </c>
      <c r="J12" s="6" t="s">
        <v>592</v>
      </c>
      <c r="K12" s="16" t="s">
        <v>591</v>
      </c>
      <c r="L12" s="6" t="s">
        <v>241</v>
      </c>
      <c r="M12" s="14" t="s">
        <v>235</v>
      </c>
      <c r="N12" s="14" t="s">
        <v>346</v>
      </c>
      <c r="O12" s="14" t="s">
        <v>240</v>
      </c>
    </row>
    <row r="13" customFormat="false" ht="48" hidden="false" customHeight="true" outlineLevel="0" collapsed="false">
      <c r="A13" s="14" t="n">
        <v>11</v>
      </c>
      <c r="B13" s="14" t="s">
        <v>247</v>
      </c>
      <c r="C13" s="14" t="s">
        <v>221</v>
      </c>
      <c r="D13" s="14" t="s">
        <v>617</v>
      </c>
      <c r="E13" s="15" t="n">
        <v>7538</v>
      </c>
      <c r="F13" s="18" t="n">
        <v>22.6</v>
      </c>
      <c r="G13" s="14" t="n">
        <v>10</v>
      </c>
      <c r="H13" s="14" t="s">
        <v>338</v>
      </c>
      <c r="I13" s="14" t="s">
        <v>272</v>
      </c>
      <c r="J13" s="6" t="s">
        <v>620</v>
      </c>
      <c r="K13" s="16" t="s">
        <v>619</v>
      </c>
      <c r="L13" s="6" t="s">
        <v>276</v>
      </c>
      <c r="M13" s="14" t="s">
        <v>273</v>
      </c>
      <c r="N13" s="14" t="s">
        <v>274</v>
      </c>
      <c r="O13" s="14" t="s">
        <v>240</v>
      </c>
    </row>
    <row r="14" customFormat="false" ht="48" hidden="false" customHeight="true" outlineLevel="0" collapsed="false">
      <c r="A14" s="14" t="n">
        <v>12</v>
      </c>
      <c r="B14" s="14" t="s">
        <v>247</v>
      </c>
      <c r="C14" s="14" t="s">
        <v>221</v>
      </c>
      <c r="D14" s="14" t="s">
        <v>626</v>
      </c>
      <c r="E14" s="15" t="n">
        <v>25875</v>
      </c>
      <c r="F14" s="18" t="n">
        <v>20.1</v>
      </c>
      <c r="G14" s="14" t="n">
        <v>10</v>
      </c>
      <c r="H14" s="14" t="s">
        <v>375</v>
      </c>
      <c r="I14" s="14" t="s">
        <v>255</v>
      </c>
      <c r="J14" s="6" t="s">
        <v>629</v>
      </c>
      <c r="K14" s="16" t="s">
        <v>628</v>
      </c>
      <c r="L14" s="6" t="s">
        <v>631</v>
      </c>
      <c r="M14" s="14" t="s">
        <v>235</v>
      </c>
      <c r="N14" s="14" t="s">
        <v>236</v>
      </c>
      <c r="O14" s="14" t="s">
        <v>240</v>
      </c>
    </row>
    <row r="15" customFormat="false" ht="48" hidden="false" customHeight="true" outlineLevel="0" collapsed="false">
      <c r="A15" s="14" t="n">
        <v>13</v>
      </c>
      <c r="B15" s="14" t="s">
        <v>247</v>
      </c>
      <c r="C15" s="14" t="s">
        <v>221</v>
      </c>
      <c r="D15" s="14" t="s">
        <v>750</v>
      </c>
      <c r="E15" s="15" t="n">
        <v>26810</v>
      </c>
      <c r="F15" s="18" t="n">
        <v>16.1</v>
      </c>
      <c r="G15" s="14" t="n">
        <v>10</v>
      </c>
      <c r="H15" s="14" t="s">
        <v>338</v>
      </c>
      <c r="I15" s="14" t="s">
        <v>272</v>
      </c>
      <c r="J15" s="6" t="s">
        <v>753</v>
      </c>
      <c r="K15" s="16" t="s">
        <v>752</v>
      </c>
      <c r="L15" s="6" t="s">
        <v>303</v>
      </c>
      <c r="M15" s="14" t="s">
        <v>273</v>
      </c>
      <c r="N15" s="14" t="s">
        <v>274</v>
      </c>
      <c r="O15" s="14" t="s">
        <v>240</v>
      </c>
    </row>
    <row r="16" customFormat="false" ht="48" hidden="false" customHeight="true" outlineLevel="0" collapsed="false">
      <c r="A16" s="14" t="n">
        <v>14</v>
      </c>
      <c r="B16" s="14" t="s">
        <v>247</v>
      </c>
      <c r="C16" s="14" t="s">
        <v>221</v>
      </c>
      <c r="D16" s="14" t="s">
        <v>759</v>
      </c>
      <c r="E16" s="15" t="n">
        <v>29839</v>
      </c>
      <c r="F16" s="18" t="n">
        <v>14.4</v>
      </c>
      <c r="G16" s="14" t="n">
        <v>10</v>
      </c>
      <c r="H16" s="14" t="s">
        <v>225</v>
      </c>
      <c r="I16" s="14" t="s">
        <v>685</v>
      </c>
      <c r="J16" s="6" t="s">
        <v>762</v>
      </c>
      <c r="K16" s="16" t="s">
        <v>761</v>
      </c>
      <c r="L16" s="6" t="s">
        <v>764</v>
      </c>
      <c r="M16" s="14" t="s">
        <v>235</v>
      </c>
      <c r="N16" s="14" t="s">
        <v>686</v>
      </c>
      <c r="O16" s="14" t="s">
        <v>453</v>
      </c>
    </row>
    <row r="17" customFormat="false" ht="48" hidden="false" customHeight="true" outlineLevel="0" collapsed="false">
      <c r="A17" s="14" t="n">
        <v>15</v>
      </c>
      <c r="B17" s="14" t="s">
        <v>247</v>
      </c>
      <c r="C17" s="14" t="s">
        <v>221</v>
      </c>
      <c r="D17" s="14" t="s">
        <v>759</v>
      </c>
      <c r="E17" s="15" t="n">
        <v>29839</v>
      </c>
      <c r="F17" s="18" t="n">
        <v>12</v>
      </c>
      <c r="G17" s="14" t="n">
        <v>10</v>
      </c>
      <c r="H17" s="14" t="s">
        <v>225</v>
      </c>
      <c r="I17" s="14" t="s">
        <v>330</v>
      </c>
      <c r="J17" s="6" t="s">
        <v>771</v>
      </c>
      <c r="K17" s="16" t="s">
        <v>770</v>
      </c>
      <c r="L17" s="6" t="s">
        <v>334</v>
      </c>
      <c r="M17" s="14" t="s">
        <v>235</v>
      </c>
      <c r="N17" s="14" t="s">
        <v>236</v>
      </c>
      <c r="O17" s="14" t="s">
        <v>453</v>
      </c>
    </row>
    <row r="18" customFormat="false" ht="48" hidden="false" customHeight="true" outlineLevel="0" collapsed="false">
      <c r="A18" s="14" t="n">
        <v>16</v>
      </c>
      <c r="B18" s="14" t="s">
        <v>247</v>
      </c>
      <c r="C18" s="14" t="s">
        <v>221</v>
      </c>
      <c r="D18" s="14" t="s">
        <v>795</v>
      </c>
      <c r="E18" s="15" t="n">
        <v>11632</v>
      </c>
      <c r="F18" s="18" t="n">
        <v>10.7</v>
      </c>
      <c r="G18" s="14" t="n">
        <v>10</v>
      </c>
      <c r="H18" s="14" t="s">
        <v>264</v>
      </c>
      <c r="I18" s="14" t="s">
        <v>255</v>
      </c>
      <c r="J18" s="6" t="s">
        <v>798</v>
      </c>
      <c r="K18" s="16" t="s">
        <v>797</v>
      </c>
      <c r="L18" s="6" t="s">
        <v>259</v>
      </c>
      <c r="M18" s="14" t="s">
        <v>235</v>
      </c>
      <c r="N18" s="14" t="s">
        <v>236</v>
      </c>
      <c r="O18" s="14" t="s">
        <v>240</v>
      </c>
    </row>
    <row r="19" customFormat="false" ht="48" hidden="false" customHeight="true" outlineLevel="0" collapsed="false">
      <c r="A19" s="14" t="n">
        <v>17</v>
      </c>
      <c r="B19" s="14" t="s">
        <v>220</v>
      </c>
      <c r="C19" s="14" t="s">
        <v>221</v>
      </c>
      <c r="D19" s="14" t="s">
        <v>311</v>
      </c>
      <c r="E19" s="15" t="n">
        <v>10660</v>
      </c>
      <c r="F19" s="18" t="n">
        <v>7.2</v>
      </c>
      <c r="G19" s="14" t="n">
        <v>10</v>
      </c>
      <c r="H19" s="14" t="s">
        <v>225</v>
      </c>
      <c r="I19" s="14" t="s">
        <v>234</v>
      </c>
      <c r="J19" s="6" t="s">
        <v>979</v>
      </c>
      <c r="K19" s="16" t="s">
        <v>978</v>
      </c>
      <c r="L19" s="6" t="s">
        <v>503</v>
      </c>
      <c r="M19" s="14" t="s">
        <v>235</v>
      </c>
      <c r="N19" s="14" t="s">
        <v>236</v>
      </c>
      <c r="O19" s="14" t="s">
        <v>240</v>
      </c>
    </row>
    <row r="20" customFormat="false" ht="48" hidden="false" customHeight="true" outlineLevel="0" collapsed="false">
      <c r="A20" s="14" t="n">
        <v>18</v>
      </c>
      <c r="B20" s="14" t="s">
        <v>220</v>
      </c>
      <c r="C20" s="14" t="s">
        <v>221</v>
      </c>
      <c r="D20" s="14" t="s">
        <v>422</v>
      </c>
      <c r="E20" s="15" t="n">
        <v>13265</v>
      </c>
      <c r="F20" s="18" t="n">
        <v>7.1</v>
      </c>
      <c r="G20" s="14" t="n">
        <v>10</v>
      </c>
      <c r="H20" s="14" t="s">
        <v>308</v>
      </c>
      <c r="I20" s="14" t="s">
        <v>685</v>
      </c>
      <c r="J20" s="6" t="s">
        <v>986</v>
      </c>
      <c r="K20" s="16" t="s">
        <v>985</v>
      </c>
      <c r="L20" s="6" t="s">
        <v>988</v>
      </c>
      <c r="M20" s="14" t="s">
        <v>235</v>
      </c>
      <c r="N20" s="14" t="s">
        <v>686</v>
      </c>
      <c r="O20" s="14" t="s">
        <v>240</v>
      </c>
    </row>
    <row r="21" customFormat="false" ht="48" hidden="false" customHeight="true" outlineLevel="0" collapsed="false">
      <c r="A21" s="14" t="n">
        <v>19</v>
      </c>
      <c r="B21" s="14" t="s">
        <v>220</v>
      </c>
      <c r="C21" s="14" t="s">
        <v>221</v>
      </c>
      <c r="D21" s="14" t="s">
        <v>1292</v>
      </c>
      <c r="E21" s="15" t="n">
        <v>15354</v>
      </c>
      <c r="F21" s="18" t="n">
        <v>5.4</v>
      </c>
      <c r="G21" s="14" t="n">
        <v>9.3</v>
      </c>
      <c r="H21" s="14" t="s">
        <v>338</v>
      </c>
      <c r="I21" s="14" t="s">
        <v>234</v>
      </c>
      <c r="J21" s="6" t="s">
        <v>1295</v>
      </c>
      <c r="K21" s="16" t="s">
        <v>1294</v>
      </c>
      <c r="L21" s="6" t="s">
        <v>503</v>
      </c>
      <c r="M21" s="14" t="s">
        <v>917</v>
      </c>
      <c r="N21" s="14" t="s">
        <v>236</v>
      </c>
      <c r="O21" s="14" t="s">
        <v>240</v>
      </c>
    </row>
    <row r="22" customFormat="false" ht="48" hidden="false" customHeight="true" outlineLevel="0" collapsed="false">
      <c r="A22" s="14" t="n">
        <v>20</v>
      </c>
      <c r="B22" s="14" t="s">
        <v>220</v>
      </c>
      <c r="C22" s="14" t="s">
        <v>221</v>
      </c>
      <c r="D22" s="14" t="s">
        <v>341</v>
      </c>
      <c r="E22" s="15" t="n">
        <v>5044</v>
      </c>
      <c r="F22" s="18" t="n">
        <v>240.5</v>
      </c>
      <c r="G22" s="14" t="n">
        <v>9</v>
      </c>
      <c r="H22" s="14" t="s">
        <v>338</v>
      </c>
      <c r="I22" s="14" t="s">
        <v>234</v>
      </c>
      <c r="J22" s="6" t="s">
        <v>344</v>
      </c>
      <c r="K22" s="16" t="s">
        <v>343</v>
      </c>
      <c r="L22" s="6" t="s">
        <v>347</v>
      </c>
      <c r="M22" s="14" t="s">
        <v>235</v>
      </c>
      <c r="N22" s="14" t="s">
        <v>346</v>
      </c>
      <c r="O22" s="14" t="s">
        <v>240</v>
      </c>
    </row>
    <row r="23" customFormat="false" ht="48" hidden="false" customHeight="true" outlineLevel="0" collapsed="false">
      <c r="A23" s="14" t="n">
        <v>21</v>
      </c>
      <c r="B23" s="14" t="s">
        <v>220</v>
      </c>
      <c r="C23" s="14" t="s">
        <v>221</v>
      </c>
      <c r="D23" s="14" t="s">
        <v>311</v>
      </c>
      <c r="E23" s="15" t="n">
        <v>10660</v>
      </c>
      <c r="F23" s="18" t="n">
        <v>45.9</v>
      </c>
      <c r="G23" s="14" t="n">
        <v>9</v>
      </c>
      <c r="H23" s="14" t="s">
        <v>364</v>
      </c>
      <c r="I23" s="14" t="s">
        <v>330</v>
      </c>
      <c r="J23" s="6" t="s">
        <v>367</v>
      </c>
      <c r="K23" s="16" t="s">
        <v>366</v>
      </c>
      <c r="L23" s="6" t="s">
        <v>369</v>
      </c>
      <c r="M23" s="14" t="s">
        <v>235</v>
      </c>
      <c r="N23" s="14" t="s">
        <v>236</v>
      </c>
      <c r="O23" s="14" t="s">
        <v>240</v>
      </c>
    </row>
    <row r="24" customFormat="false" ht="48" hidden="false" customHeight="true" outlineLevel="0" collapsed="false">
      <c r="A24" s="14" t="n">
        <v>22</v>
      </c>
      <c r="B24" s="14" t="s">
        <v>374</v>
      </c>
      <c r="C24" s="14" t="s">
        <v>221</v>
      </c>
      <c r="D24" s="14" t="s">
        <v>378</v>
      </c>
      <c r="E24" s="15" t="n">
        <v>18671</v>
      </c>
      <c r="F24" s="18" t="n">
        <v>43.7</v>
      </c>
      <c r="G24" s="14" t="n">
        <v>9</v>
      </c>
      <c r="H24" s="14" t="s">
        <v>375</v>
      </c>
      <c r="I24" s="14" t="s">
        <v>234</v>
      </c>
      <c r="J24" s="6" t="s">
        <v>381</v>
      </c>
      <c r="K24" s="16" t="s">
        <v>380</v>
      </c>
      <c r="L24" s="6" t="s">
        <v>384</v>
      </c>
      <c r="M24" s="14" t="s">
        <v>235</v>
      </c>
      <c r="N24" s="14" t="s">
        <v>236</v>
      </c>
      <c r="O24" s="14" t="s">
        <v>240</v>
      </c>
    </row>
    <row r="25" customFormat="false" ht="48" hidden="false" customHeight="true" outlineLevel="0" collapsed="false">
      <c r="A25" s="14" t="n">
        <v>23</v>
      </c>
      <c r="B25" s="14" t="s">
        <v>220</v>
      </c>
      <c r="C25" s="14" t="s">
        <v>221</v>
      </c>
      <c r="D25" s="14" t="s">
        <v>311</v>
      </c>
      <c r="E25" s="15" t="n">
        <v>10660</v>
      </c>
      <c r="F25" s="18" t="n">
        <v>31.8</v>
      </c>
      <c r="G25" s="14" t="n">
        <v>9</v>
      </c>
      <c r="H25" s="14" t="s">
        <v>322</v>
      </c>
      <c r="I25" s="14" t="s">
        <v>330</v>
      </c>
      <c r="J25" s="6" t="s">
        <v>609</v>
      </c>
      <c r="K25" s="16" t="s">
        <v>608</v>
      </c>
      <c r="L25" s="6" t="s">
        <v>611</v>
      </c>
      <c r="M25" s="14" t="s">
        <v>235</v>
      </c>
      <c r="N25" s="14" t="s">
        <v>346</v>
      </c>
      <c r="O25" s="14" t="s">
        <v>240</v>
      </c>
    </row>
    <row r="26" customFormat="false" ht="48" hidden="false" customHeight="true" outlineLevel="0" collapsed="false">
      <c r="A26" s="14" t="n">
        <v>24</v>
      </c>
      <c r="B26" s="14" t="s">
        <v>220</v>
      </c>
      <c r="C26" s="14" t="s">
        <v>221</v>
      </c>
      <c r="D26" s="14" t="s">
        <v>354</v>
      </c>
      <c r="E26" s="15" t="n">
        <v>13338</v>
      </c>
      <c r="F26" s="18" t="n">
        <v>134</v>
      </c>
      <c r="G26" s="14" t="n">
        <v>8.6</v>
      </c>
      <c r="H26" s="14" t="s">
        <v>322</v>
      </c>
      <c r="I26" s="14" t="s">
        <v>234</v>
      </c>
      <c r="J26" s="6" t="s">
        <v>357</v>
      </c>
      <c r="K26" s="16" t="s">
        <v>356</v>
      </c>
      <c r="L26" s="6" t="s">
        <v>359</v>
      </c>
      <c r="M26" s="14" t="s">
        <v>235</v>
      </c>
      <c r="N26" s="14" t="s">
        <v>236</v>
      </c>
      <c r="O26" s="14" t="s">
        <v>240</v>
      </c>
    </row>
    <row r="27" customFormat="false" ht="48" hidden="false" customHeight="true" outlineLevel="0" collapsed="false">
      <c r="A27" s="14" t="n">
        <v>25</v>
      </c>
      <c r="B27" s="14" t="s">
        <v>220</v>
      </c>
      <c r="C27" s="14" t="s">
        <v>221</v>
      </c>
      <c r="D27" s="14" t="s">
        <v>228</v>
      </c>
      <c r="E27" s="15" t="n">
        <v>12888</v>
      </c>
      <c r="F27" s="18" t="n">
        <v>520.9</v>
      </c>
      <c r="G27" s="14" t="n">
        <v>8</v>
      </c>
      <c r="H27" s="14" t="s">
        <v>225</v>
      </c>
      <c r="I27" s="14" t="s">
        <v>330</v>
      </c>
      <c r="J27" s="6" t="s">
        <v>413</v>
      </c>
      <c r="K27" s="16" t="s">
        <v>412</v>
      </c>
      <c r="L27" s="6" t="s">
        <v>415</v>
      </c>
      <c r="M27" s="14" t="s">
        <v>235</v>
      </c>
      <c r="N27" s="14" t="s">
        <v>236</v>
      </c>
      <c r="O27" s="14" t="s">
        <v>240</v>
      </c>
    </row>
    <row r="28" customFormat="false" ht="48" hidden="false" customHeight="true" outlineLevel="0" collapsed="false">
      <c r="A28" s="14" t="n">
        <v>26</v>
      </c>
      <c r="B28" s="14" t="s">
        <v>220</v>
      </c>
      <c r="C28" s="14" t="s">
        <v>221</v>
      </c>
      <c r="D28" s="14" t="s">
        <v>422</v>
      </c>
      <c r="E28" s="15" t="n">
        <v>13265</v>
      </c>
      <c r="F28" s="18" t="n">
        <v>326.1</v>
      </c>
      <c r="G28" s="14" t="n">
        <v>8</v>
      </c>
      <c r="H28" s="14" t="s">
        <v>322</v>
      </c>
      <c r="I28" s="14" t="s">
        <v>234</v>
      </c>
      <c r="J28" s="6" t="s">
        <v>425</v>
      </c>
      <c r="K28" s="16" t="s">
        <v>424</v>
      </c>
      <c r="L28" s="6" t="s">
        <v>427</v>
      </c>
      <c r="M28" s="14" t="s">
        <v>235</v>
      </c>
      <c r="N28" s="14" t="s">
        <v>346</v>
      </c>
      <c r="O28" s="14" t="s">
        <v>240</v>
      </c>
    </row>
    <row r="29" customFormat="false" ht="48" hidden="false" customHeight="true" outlineLevel="0" collapsed="false">
      <c r="A29" s="14" t="n">
        <v>27</v>
      </c>
      <c r="B29" s="14" t="s">
        <v>247</v>
      </c>
      <c r="C29" s="14" t="s">
        <v>442</v>
      </c>
      <c r="D29" s="14" t="s">
        <v>446</v>
      </c>
      <c r="E29" s="15" t="n">
        <v>6300</v>
      </c>
      <c r="F29" s="18" t="n">
        <v>106.3</v>
      </c>
      <c r="G29" s="14" t="n">
        <v>8</v>
      </c>
      <c r="H29" s="14" t="s">
        <v>375</v>
      </c>
      <c r="I29" s="14" t="s">
        <v>330</v>
      </c>
      <c r="J29" s="6" t="s">
        <v>449</v>
      </c>
      <c r="K29" s="16" t="s">
        <v>448</v>
      </c>
      <c r="L29" s="6" t="s">
        <v>454</v>
      </c>
      <c r="M29" s="14" t="s">
        <v>235</v>
      </c>
      <c r="N29" s="14" t="s">
        <v>236</v>
      </c>
      <c r="O29" s="14" t="s">
        <v>453</v>
      </c>
    </row>
    <row r="30" customFormat="false" ht="48" hidden="false" customHeight="true" outlineLevel="0" collapsed="false">
      <c r="A30" s="14" t="n">
        <v>28</v>
      </c>
      <c r="B30" s="14" t="s">
        <v>220</v>
      </c>
      <c r="C30" s="14" t="s">
        <v>221</v>
      </c>
      <c r="D30" s="14" t="s">
        <v>311</v>
      </c>
      <c r="E30" s="15" t="n">
        <v>10660</v>
      </c>
      <c r="F30" s="18" t="n">
        <v>40.7</v>
      </c>
      <c r="G30" s="14" t="n">
        <v>8</v>
      </c>
      <c r="H30" s="14" t="s">
        <v>375</v>
      </c>
      <c r="I30" s="14" t="s">
        <v>234</v>
      </c>
      <c r="J30" s="6" t="s">
        <v>600</v>
      </c>
      <c r="K30" s="16" t="s">
        <v>599</v>
      </c>
      <c r="L30" s="6" t="s">
        <v>602</v>
      </c>
      <c r="M30" s="14" t="s">
        <v>235</v>
      </c>
      <c r="N30" s="14" t="s">
        <v>236</v>
      </c>
      <c r="O30" s="14" t="s">
        <v>453</v>
      </c>
    </row>
    <row r="31" customFormat="false" ht="48" hidden="false" customHeight="true" outlineLevel="0" collapsed="false">
      <c r="A31" s="14" t="n">
        <v>29</v>
      </c>
      <c r="B31" s="14" t="s">
        <v>247</v>
      </c>
      <c r="C31" s="14" t="s">
        <v>221</v>
      </c>
      <c r="D31" s="14" t="s">
        <v>805</v>
      </c>
      <c r="E31" s="15" t="n">
        <v>7184</v>
      </c>
      <c r="F31" s="18" t="n">
        <v>26.1</v>
      </c>
      <c r="G31" s="14" t="n">
        <v>8</v>
      </c>
      <c r="H31" s="14" t="s">
        <v>375</v>
      </c>
      <c r="I31" s="14" t="s">
        <v>255</v>
      </c>
      <c r="J31" s="6" t="s">
        <v>808</v>
      </c>
      <c r="K31" s="16" t="s">
        <v>807</v>
      </c>
      <c r="L31" s="6" t="s">
        <v>259</v>
      </c>
      <c r="M31" s="14" t="s">
        <v>466</v>
      </c>
      <c r="N31" s="14" t="s">
        <v>236</v>
      </c>
      <c r="O31" s="14" t="s">
        <v>240</v>
      </c>
    </row>
    <row r="32" customFormat="false" ht="48" hidden="false" customHeight="true" outlineLevel="0" collapsed="false">
      <c r="A32" s="14" t="n">
        <v>30</v>
      </c>
      <c r="B32" s="14" t="s">
        <v>220</v>
      </c>
      <c r="C32" s="14" t="s">
        <v>221</v>
      </c>
      <c r="D32" s="14" t="s">
        <v>1103</v>
      </c>
      <c r="E32" s="15" t="n">
        <v>8592</v>
      </c>
      <c r="F32" s="18" t="n">
        <v>20.4</v>
      </c>
      <c r="G32" s="14" t="n">
        <v>8</v>
      </c>
      <c r="H32" s="14" t="s">
        <v>308</v>
      </c>
      <c r="I32" s="14" t="s">
        <v>234</v>
      </c>
      <c r="J32" s="6" t="s">
        <v>1106</v>
      </c>
      <c r="K32" s="16" t="s">
        <v>1105</v>
      </c>
      <c r="L32" s="6" t="s">
        <v>290</v>
      </c>
      <c r="M32" s="14" t="s">
        <v>316</v>
      </c>
      <c r="N32" s="14" t="s">
        <v>236</v>
      </c>
      <c r="O32" s="14" t="s">
        <v>240</v>
      </c>
    </row>
    <row r="33" customFormat="false" ht="48" hidden="false" customHeight="true" outlineLevel="0" collapsed="false">
      <c r="A33" s="14" t="n">
        <v>31</v>
      </c>
      <c r="B33" s="14" t="s">
        <v>247</v>
      </c>
      <c r="C33" s="14" t="s">
        <v>221</v>
      </c>
      <c r="D33" s="14" t="s">
        <v>1139</v>
      </c>
      <c r="E33" s="15" t="n">
        <v>7300</v>
      </c>
      <c r="F33" s="18" t="n">
        <v>19.8</v>
      </c>
      <c r="G33" s="14" t="n">
        <v>8</v>
      </c>
      <c r="H33" s="14" t="s">
        <v>225</v>
      </c>
      <c r="I33" s="14" t="s">
        <v>513</v>
      </c>
      <c r="J33" s="6" t="s">
        <v>1141</v>
      </c>
      <c r="K33" s="16" t="s">
        <v>1140</v>
      </c>
      <c r="L33" s="6" t="s">
        <v>1144</v>
      </c>
      <c r="M33" s="14" t="s">
        <v>235</v>
      </c>
      <c r="N33" s="14" t="s">
        <v>236</v>
      </c>
      <c r="O33" s="14" t="s">
        <v>240</v>
      </c>
    </row>
    <row r="34" customFormat="false" ht="48" hidden="false" customHeight="true" outlineLevel="0" collapsed="false">
      <c r="A34" s="14" t="n">
        <v>32</v>
      </c>
      <c r="B34" s="14" t="s">
        <v>247</v>
      </c>
      <c r="C34" s="14" t="s">
        <v>221</v>
      </c>
      <c r="D34" s="14" t="s">
        <v>1389</v>
      </c>
      <c r="E34" s="15" t="n">
        <v>29762</v>
      </c>
      <c r="F34" s="18" t="n">
        <v>11.8</v>
      </c>
      <c r="G34" s="14" t="n">
        <v>8</v>
      </c>
      <c r="H34" s="14" t="s">
        <v>375</v>
      </c>
      <c r="I34" s="14" t="s">
        <v>513</v>
      </c>
      <c r="J34" s="6" t="s">
        <v>1391</v>
      </c>
      <c r="K34" s="16" t="s">
        <v>1390</v>
      </c>
      <c r="L34" s="6" t="s">
        <v>789</v>
      </c>
      <c r="M34" s="14" t="s">
        <v>235</v>
      </c>
      <c r="N34" s="14" t="s">
        <v>236</v>
      </c>
      <c r="O34" s="14" t="s">
        <v>240</v>
      </c>
    </row>
    <row r="35" customFormat="false" ht="48" hidden="false" customHeight="true" outlineLevel="0" collapsed="false">
      <c r="A35" s="14" t="n">
        <v>33</v>
      </c>
      <c r="B35" s="14" t="s">
        <v>220</v>
      </c>
      <c r="C35" s="14" t="s">
        <v>221</v>
      </c>
      <c r="D35" s="14" t="s">
        <v>1724</v>
      </c>
      <c r="E35" s="15" t="n">
        <v>7460</v>
      </c>
      <c r="F35" s="18" t="n">
        <v>6</v>
      </c>
      <c r="G35" s="14" t="n">
        <v>8</v>
      </c>
      <c r="H35" s="14" t="s">
        <v>635</v>
      </c>
      <c r="I35" s="14" t="s">
        <v>234</v>
      </c>
      <c r="J35" s="6" t="s">
        <v>1726</v>
      </c>
      <c r="K35" s="16" t="s">
        <v>1725</v>
      </c>
      <c r="L35" s="6" t="s">
        <v>1728</v>
      </c>
      <c r="M35" s="14" t="s">
        <v>235</v>
      </c>
      <c r="N35" s="14" t="s">
        <v>236</v>
      </c>
      <c r="O35" s="14" t="s">
        <v>240</v>
      </c>
    </row>
    <row r="36" customFormat="false" ht="48" hidden="false" customHeight="true" outlineLevel="0" collapsed="false">
      <c r="A36" s="14" t="n">
        <v>34</v>
      </c>
      <c r="B36" s="14" t="s">
        <v>247</v>
      </c>
      <c r="C36" s="14" t="s">
        <v>221</v>
      </c>
      <c r="D36" s="14" t="s">
        <v>565</v>
      </c>
      <c r="E36" s="15" t="n">
        <v>15800</v>
      </c>
      <c r="F36" s="18" t="n">
        <v>335.5</v>
      </c>
      <c r="G36" s="14" t="n">
        <v>7</v>
      </c>
      <c r="H36" s="14" t="s">
        <v>225</v>
      </c>
      <c r="I36" s="14" t="s">
        <v>569</v>
      </c>
      <c r="J36" s="6" t="s">
        <v>567</v>
      </c>
      <c r="K36" s="16" t="s">
        <v>566</v>
      </c>
      <c r="L36" s="6" t="s">
        <v>571</v>
      </c>
      <c r="M36" s="14" t="s">
        <v>273</v>
      </c>
      <c r="N36" s="14" t="s">
        <v>274</v>
      </c>
      <c r="O36" s="14" t="s">
        <v>240</v>
      </c>
    </row>
    <row r="37" customFormat="false" ht="48" hidden="false" customHeight="true" outlineLevel="0" collapsed="false">
      <c r="A37" s="14" t="n">
        <v>35</v>
      </c>
      <c r="B37" s="14" t="s">
        <v>220</v>
      </c>
      <c r="C37" s="14" t="s">
        <v>221</v>
      </c>
      <c r="D37" s="14" t="s">
        <v>541</v>
      </c>
      <c r="E37" s="15" t="n">
        <v>22067</v>
      </c>
      <c r="F37" s="18" t="n">
        <v>221.1</v>
      </c>
      <c r="G37" s="14" t="n">
        <v>7</v>
      </c>
      <c r="H37" s="14" t="s">
        <v>364</v>
      </c>
      <c r="I37" s="14" t="s">
        <v>255</v>
      </c>
      <c r="J37" s="6" t="s">
        <v>544</v>
      </c>
      <c r="K37" s="16" t="s">
        <v>543</v>
      </c>
      <c r="L37" s="6" t="s">
        <v>547</v>
      </c>
      <c r="M37" s="14" t="s">
        <v>235</v>
      </c>
      <c r="N37" s="14" t="s">
        <v>236</v>
      </c>
      <c r="O37" s="14" t="s">
        <v>453</v>
      </c>
    </row>
    <row r="38" customFormat="false" ht="48" hidden="false" customHeight="true" outlineLevel="0" collapsed="false">
      <c r="A38" s="14" t="n">
        <v>36</v>
      </c>
      <c r="B38" s="14" t="s">
        <v>374</v>
      </c>
      <c r="C38" s="14" t="s">
        <v>221</v>
      </c>
      <c r="D38" s="14" t="s">
        <v>378</v>
      </c>
      <c r="E38" s="15" t="n">
        <v>18671</v>
      </c>
      <c r="F38" s="18" t="n">
        <v>111.5</v>
      </c>
      <c r="G38" s="14" t="n">
        <v>7</v>
      </c>
      <c r="H38" s="14" t="s">
        <v>322</v>
      </c>
      <c r="I38" s="14" t="s">
        <v>234</v>
      </c>
      <c r="J38" s="6" t="s">
        <v>520</v>
      </c>
      <c r="K38" s="16" t="s">
        <v>519</v>
      </c>
      <c r="L38" s="6" t="s">
        <v>522</v>
      </c>
      <c r="M38" s="14" t="s">
        <v>235</v>
      </c>
      <c r="N38" s="14" t="s">
        <v>346</v>
      </c>
      <c r="O38" s="14" t="s">
        <v>240</v>
      </c>
    </row>
    <row r="39" customFormat="false" ht="48" hidden="false" customHeight="true" outlineLevel="0" collapsed="false">
      <c r="A39" s="14" t="n">
        <v>37</v>
      </c>
      <c r="B39" s="14" t="s">
        <v>374</v>
      </c>
      <c r="C39" s="14" t="s">
        <v>221</v>
      </c>
      <c r="D39" s="14" t="s">
        <v>378</v>
      </c>
      <c r="E39" s="15" t="n">
        <v>18671</v>
      </c>
      <c r="F39" s="18" t="n">
        <v>29.4</v>
      </c>
      <c r="G39" s="14" t="n">
        <v>7</v>
      </c>
      <c r="H39" s="14" t="s">
        <v>375</v>
      </c>
      <c r="I39" s="14" t="s">
        <v>234</v>
      </c>
      <c r="J39" s="6" t="s">
        <v>1049</v>
      </c>
      <c r="K39" s="16" t="s">
        <v>1048</v>
      </c>
      <c r="L39" s="6" t="s">
        <v>1051</v>
      </c>
      <c r="M39" s="14" t="s">
        <v>235</v>
      </c>
      <c r="N39" s="14" t="s">
        <v>236</v>
      </c>
      <c r="O39" s="14" t="s">
        <v>240</v>
      </c>
    </row>
    <row r="40" customFormat="false" ht="48" hidden="false" customHeight="true" outlineLevel="0" collapsed="false">
      <c r="A40" s="14" t="n">
        <v>38</v>
      </c>
      <c r="B40" s="14" t="s">
        <v>374</v>
      </c>
      <c r="C40" s="14" t="s">
        <v>221</v>
      </c>
      <c r="D40" s="14" t="s">
        <v>378</v>
      </c>
      <c r="E40" s="15" t="n">
        <v>18671</v>
      </c>
      <c r="F40" s="18" t="n">
        <v>24.1</v>
      </c>
      <c r="G40" s="14" t="n">
        <v>7</v>
      </c>
      <c r="H40" s="14" t="s">
        <v>322</v>
      </c>
      <c r="I40" s="14" t="s">
        <v>330</v>
      </c>
      <c r="J40" s="6" t="s">
        <v>1329</v>
      </c>
      <c r="K40" s="16" t="s">
        <v>1328</v>
      </c>
      <c r="L40" s="6" t="s">
        <v>1331</v>
      </c>
      <c r="M40" s="14" t="s">
        <v>235</v>
      </c>
      <c r="N40" s="14" t="s">
        <v>346</v>
      </c>
      <c r="O40" s="14" t="s">
        <v>240</v>
      </c>
    </row>
    <row r="41" customFormat="false" ht="48" hidden="false" customHeight="true" outlineLevel="0" collapsed="false">
      <c r="A41" s="14" t="n">
        <v>39</v>
      </c>
      <c r="B41" s="14" t="s">
        <v>247</v>
      </c>
      <c r="C41" s="14" t="s">
        <v>221</v>
      </c>
      <c r="D41" s="14" t="s">
        <v>1344</v>
      </c>
      <c r="E41" s="15" t="n">
        <v>8200</v>
      </c>
      <c r="F41" s="18" t="n">
        <v>22.4</v>
      </c>
      <c r="G41" s="14" t="n">
        <v>7</v>
      </c>
      <c r="H41" s="14" t="s">
        <v>375</v>
      </c>
      <c r="I41" s="14" t="s">
        <v>906</v>
      </c>
      <c r="J41" s="6" t="s">
        <v>1346</v>
      </c>
      <c r="K41" s="16" t="s">
        <v>1345</v>
      </c>
      <c r="L41" s="6" t="s">
        <v>1349</v>
      </c>
      <c r="M41" s="14" t="s">
        <v>235</v>
      </c>
      <c r="N41" s="14" t="s">
        <v>236</v>
      </c>
      <c r="O41" s="14" t="s">
        <v>240</v>
      </c>
    </row>
    <row r="42" customFormat="false" ht="48" hidden="false" customHeight="true" outlineLevel="0" collapsed="false">
      <c r="A42" s="14" t="n">
        <v>40</v>
      </c>
      <c r="B42" s="14" t="s">
        <v>374</v>
      </c>
      <c r="C42" s="14" t="s">
        <v>221</v>
      </c>
      <c r="D42" s="14" t="s">
        <v>1408</v>
      </c>
      <c r="E42" s="15" t="n">
        <v>6196</v>
      </c>
      <c r="F42" s="18" t="n">
        <v>19.7</v>
      </c>
      <c r="G42" s="14" t="n">
        <v>7</v>
      </c>
      <c r="H42" s="14" t="s">
        <v>308</v>
      </c>
      <c r="I42" s="14" t="s">
        <v>330</v>
      </c>
      <c r="J42" s="6" t="s">
        <v>1411</v>
      </c>
      <c r="K42" s="16" t="s">
        <v>1410</v>
      </c>
      <c r="L42" s="6" t="s">
        <v>1413</v>
      </c>
      <c r="M42" s="14" t="s">
        <v>316</v>
      </c>
      <c r="N42" s="14" t="s">
        <v>236</v>
      </c>
      <c r="O42" s="14" t="s">
        <v>240</v>
      </c>
    </row>
    <row r="43" customFormat="false" ht="48" hidden="false" customHeight="true" outlineLevel="0" collapsed="false">
      <c r="A43" s="14" t="n">
        <v>41</v>
      </c>
      <c r="B43" s="14" t="s">
        <v>374</v>
      </c>
      <c r="C43" s="14" t="s">
        <v>221</v>
      </c>
      <c r="D43" s="14" t="s">
        <v>1747</v>
      </c>
      <c r="E43" s="15" t="n">
        <v>18104</v>
      </c>
      <c r="F43" s="18" t="n">
        <v>13</v>
      </c>
      <c r="G43" s="14" t="n">
        <v>7</v>
      </c>
      <c r="H43" s="14" t="s">
        <v>264</v>
      </c>
      <c r="I43" s="14" t="s">
        <v>255</v>
      </c>
      <c r="J43" s="6" t="s">
        <v>1750</v>
      </c>
      <c r="K43" s="16" t="s">
        <v>1749</v>
      </c>
      <c r="L43" s="6" t="s">
        <v>259</v>
      </c>
      <c r="M43" s="14" t="s">
        <v>235</v>
      </c>
      <c r="N43" s="14" t="s">
        <v>236</v>
      </c>
      <c r="O43" s="14" t="s">
        <v>240</v>
      </c>
    </row>
    <row r="44" customFormat="false" ht="48" hidden="false" customHeight="true" outlineLevel="0" collapsed="false">
      <c r="A44" s="14" t="n">
        <v>42</v>
      </c>
      <c r="B44" s="14" t="s">
        <v>247</v>
      </c>
      <c r="C44" s="14" t="s">
        <v>221</v>
      </c>
      <c r="D44" s="14" t="s">
        <v>1800</v>
      </c>
      <c r="E44" s="15" t="n">
        <v>17479</v>
      </c>
      <c r="F44" s="18" t="n">
        <v>11.2</v>
      </c>
      <c r="G44" s="14" t="n">
        <v>7</v>
      </c>
      <c r="H44" s="14" t="s">
        <v>586</v>
      </c>
      <c r="I44" s="14" t="s">
        <v>255</v>
      </c>
      <c r="J44" s="6" t="s">
        <v>1802</v>
      </c>
      <c r="K44" s="16" t="s">
        <v>1801</v>
      </c>
      <c r="L44" s="6" t="s">
        <v>259</v>
      </c>
      <c r="M44" s="14" t="s">
        <v>235</v>
      </c>
      <c r="N44" s="14" t="s">
        <v>236</v>
      </c>
      <c r="O44" s="14" t="s">
        <v>240</v>
      </c>
    </row>
    <row r="45" customFormat="false" ht="48" hidden="false" customHeight="true" outlineLevel="0" collapsed="false">
      <c r="A45" s="14" t="n">
        <v>43</v>
      </c>
      <c r="B45" s="14" t="s">
        <v>247</v>
      </c>
      <c r="C45" s="14" t="s">
        <v>221</v>
      </c>
      <c r="D45" s="14" t="s">
        <v>1897</v>
      </c>
      <c r="E45" s="15" t="n">
        <v>27282</v>
      </c>
      <c r="F45" s="18" t="n">
        <v>7.3</v>
      </c>
      <c r="G45" s="14" t="n">
        <v>7</v>
      </c>
      <c r="H45" s="14" t="s">
        <v>308</v>
      </c>
      <c r="I45" s="14" t="s">
        <v>1635</v>
      </c>
      <c r="J45" s="6" t="s">
        <v>1900</v>
      </c>
      <c r="K45" s="16" t="s">
        <v>1899</v>
      </c>
      <c r="L45" s="6" t="s">
        <v>1902</v>
      </c>
      <c r="M45" s="14" t="s">
        <v>273</v>
      </c>
      <c r="N45" s="14" t="s">
        <v>274</v>
      </c>
      <c r="O45" s="14" t="s">
        <v>240</v>
      </c>
    </row>
    <row r="46" customFormat="false" ht="48" hidden="false" customHeight="true" outlineLevel="0" collapsed="false">
      <c r="A46" s="14" t="n">
        <v>44</v>
      </c>
      <c r="B46" s="14" t="s">
        <v>247</v>
      </c>
      <c r="C46" s="14" t="s">
        <v>221</v>
      </c>
      <c r="D46" s="14" t="s">
        <v>1957</v>
      </c>
      <c r="E46" s="15" t="n">
        <v>8542</v>
      </c>
      <c r="F46" s="18" t="n">
        <v>5.4</v>
      </c>
      <c r="G46" s="14" t="n">
        <v>7</v>
      </c>
      <c r="H46" s="14" t="s">
        <v>225</v>
      </c>
      <c r="I46" s="14" t="s">
        <v>255</v>
      </c>
      <c r="J46" s="6" t="s">
        <v>1960</v>
      </c>
      <c r="K46" s="16" t="s">
        <v>1959</v>
      </c>
      <c r="L46" s="6" t="s">
        <v>534</v>
      </c>
      <c r="M46" s="14" t="s">
        <v>316</v>
      </c>
      <c r="N46" s="14" t="s">
        <v>236</v>
      </c>
      <c r="O46" s="14" t="s">
        <v>240</v>
      </c>
    </row>
    <row r="47" customFormat="false" ht="48" hidden="false" customHeight="true" outlineLevel="0" collapsed="false">
      <c r="A47" s="14" t="n">
        <v>45</v>
      </c>
      <c r="B47" s="14" t="s">
        <v>220</v>
      </c>
      <c r="C47" s="14" t="s">
        <v>221</v>
      </c>
      <c r="D47" s="14" t="s">
        <v>325</v>
      </c>
      <c r="E47" s="15" t="n">
        <v>22306</v>
      </c>
      <c r="F47" s="18" t="n">
        <v>26.8</v>
      </c>
      <c r="G47" s="14" t="n">
        <v>6.9</v>
      </c>
      <c r="H47" s="14" t="s">
        <v>308</v>
      </c>
      <c r="I47" s="14" t="s">
        <v>884</v>
      </c>
      <c r="J47" s="6" t="s">
        <v>1169</v>
      </c>
      <c r="K47" s="16" t="s">
        <v>1168</v>
      </c>
      <c r="L47" s="6" t="s">
        <v>1171</v>
      </c>
      <c r="M47" s="14" t="s">
        <v>273</v>
      </c>
      <c r="N47" s="14" t="s">
        <v>274</v>
      </c>
      <c r="O47" s="14" t="s">
        <v>240</v>
      </c>
    </row>
    <row r="48" customFormat="false" ht="48" hidden="false" customHeight="true" outlineLevel="0" collapsed="false">
      <c r="A48" s="14" t="n">
        <v>46</v>
      </c>
      <c r="B48" s="14" t="s">
        <v>247</v>
      </c>
      <c r="C48" s="14" t="s">
        <v>221</v>
      </c>
      <c r="D48" s="14" t="s">
        <v>638</v>
      </c>
      <c r="E48" s="15" t="n">
        <v>20800</v>
      </c>
      <c r="F48" s="18" t="n">
        <v>140.1</v>
      </c>
      <c r="G48" s="14" t="n">
        <v>6.3</v>
      </c>
      <c r="H48" s="14" t="s">
        <v>635</v>
      </c>
      <c r="I48" s="14" t="s">
        <v>330</v>
      </c>
      <c r="J48" s="6" t="s">
        <v>640</v>
      </c>
      <c r="K48" s="16" t="s">
        <v>639</v>
      </c>
      <c r="L48" s="6" t="s">
        <v>643</v>
      </c>
      <c r="M48" s="14" t="s">
        <v>235</v>
      </c>
      <c r="N48" s="14" t="s">
        <v>236</v>
      </c>
      <c r="O48" s="14" t="s">
        <v>240</v>
      </c>
    </row>
    <row r="49" customFormat="false" ht="48" hidden="false" customHeight="true" outlineLevel="0" collapsed="false">
      <c r="A49" s="14" t="n">
        <v>47</v>
      </c>
      <c r="B49" s="14" t="s">
        <v>220</v>
      </c>
      <c r="C49" s="14" t="s">
        <v>221</v>
      </c>
      <c r="D49" s="14" t="s">
        <v>2069</v>
      </c>
      <c r="E49" s="15" t="n">
        <v>7101</v>
      </c>
      <c r="F49" s="18" t="n">
        <v>8</v>
      </c>
      <c r="G49" s="14" t="n">
        <v>6.3</v>
      </c>
      <c r="H49" s="14" t="s">
        <v>225</v>
      </c>
      <c r="I49" s="14" t="s">
        <v>685</v>
      </c>
      <c r="J49" s="6" t="s">
        <v>2072</v>
      </c>
      <c r="K49" s="16" t="s">
        <v>2071</v>
      </c>
      <c r="L49" s="6" t="s">
        <v>689</v>
      </c>
      <c r="M49" s="14" t="s">
        <v>235</v>
      </c>
      <c r="N49" s="14" t="s">
        <v>686</v>
      </c>
      <c r="O49" s="14" t="s">
        <v>240</v>
      </c>
    </row>
    <row r="50" customFormat="false" ht="48" hidden="false" customHeight="true" outlineLevel="0" collapsed="false">
      <c r="A50" s="14" t="n">
        <v>48</v>
      </c>
      <c r="B50" s="14" t="s">
        <v>220</v>
      </c>
      <c r="C50" s="14" t="s">
        <v>221</v>
      </c>
      <c r="D50" s="14" t="s">
        <v>649</v>
      </c>
      <c r="E50" s="15" t="n">
        <v>12481</v>
      </c>
      <c r="F50" s="18" t="n">
        <v>213.1</v>
      </c>
      <c r="G50" s="14" t="n">
        <v>6</v>
      </c>
      <c r="H50" s="14" t="s">
        <v>338</v>
      </c>
      <c r="I50" s="14" t="s">
        <v>330</v>
      </c>
      <c r="J50" s="6" t="s">
        <v>730</v>
      </c>
      <c r="K50" s="16" t="s">
        <v>729</v>
      </c>
      <c r="L50" s="6" t="s">
        <v>415</v>
      </c>
      <c r="M50" s="14" t="s">
        <v>235</v>
      </c>
      <c r="N50" s="14" t="s">
        <v>236</v>
      </c>
      <c r="O50" s="14" t="s">
        <v>240</v>
      </c>
    </row>
    <row r="51" customFormat="false" ht="48" hidden="false" customHeight="true" outlineLevel="0" collapsed="false">
      <c r="A51" s="14" t="n">
        <v>49</v>
      </c>
      <c r="B51" s="14" t="s">
        <v>220</v>
      </c>
      <c r="C51" s="14" t="s">
        <v>221</v>
      </c>
      <c r="D51" s="14" t="s">
        <v>680</v>
      </c>
      <c r="E51" s="15" t="n">
        <v>21787</v>
      </c>
      <c r="F51" s="18" t="n">
        <v>162.2</v>
      </c>
      <c r="G51" s="14" t="n">
        <v>6</v>
      </c>
      <c r="H51" s="14" t="s">
        <v>225</v>
      </c>
      <c r="I51" s="14" t="s">
        <v>685</v>
      </c>
      <c r="J51" s="6" t="s">
        <v>683</v>
      </c>
      <c r="K51" s="16" t="s">
        <v>682</v>
      </c>
      <c r="L51" s="6" t="s">
        <v>689</v>
      </c>
      <c r="M51" s="14" t="s">
        <v>235</v>
      </c>
      <c r="N51" s="14" t="s">
        <v>686</v>
      </c>
      <c r="O51" s="14" t="s">
        <v>240</v>
      </c>
    </row>
    <row r="52" customFormat="false" ht="48" hidden="false" customHeight="true" outlineLevel="0" collapsed="false">
      <c r="A52" s="14" t="n">
        <v>50</v>
      </c>
      <c r="B52" s="14" t="s">
        <v>220</v>
      </c>
      <c r="C52" s="14" t="s">
        <v>221</v>
      </c>
      <c r="D52" s="14" t="s">
        <v>720</v>
      </c>
      <c r="E52" s="15" t="n">
        <v>10777</v>
      </c>
      <c r="F52" s="18" t="n">
        <v>59.1</v>
      </c>
      <c r="G52" s="14" t="n">
        <v>6</v>
      </c>
      <c r="H52" s="14" t="s">
        <v>322</v>
      </c>
      <c r="I52" s="14" t="s">
        <v>685</v>
      </c>
      <c r="J52" s="6" t="s">
        <v>723</v>
      </c>
      <c r="K52" s="16" t="s">
        <v>722</v>
      </c>
      <c r="L52" s="6" t="s">
        <v>726</v>
      </c>
      <c r="M52" s="14" t="s">
        <v>235</v>
      </c>
      <c r="N52" s="14" t="s">
        <v>686</v>
      </c>
      <c r="O52" s="14" t="s">
        <v>240</v>
      </c>
    </row>
    <row r="53" customFormat="false" ht="48" hidden="false" customHeight="true" outlineLevel="0" collapsed="false">
      <c r="A53" s="14" t="n">
        <v>51</v>
      </c>
      <c r="B53" s="14" t="s">
        <v>374</v>
      </c>
      <c r="C53" s="14" t="s">
        <v>221</v>
      </c>
      <c r="D53" s="14" t="s">
        <v>660</v>
      </c>
      <c r="E53" s="15" t="n">
        <v>12673</v>
      </c>
      <c r="F53" s="18" t="n">
        <v>58.2</v>
      </c>
      <c r="G53" s="14" t="n">
        <v>6</v>
      </c>
      <c r="H53" s="14" t="s">
        <v>225</v>
      </c>
      <c r="I53" s="14" t="s">
        <v>330</v>
      </c>
      <c r="J53" s="6" t="s">
        <v>663</v>
      </c>
      <c r="K53" s="16" t="s">
        <v>662</v>
      </c>
      <c r="L53" s="6" t="s">
        <v>665</v>
      </c>
      <c r="M53" s="14" t="s">
        <v>235</v>
      </c>
      <c r="N53" s="14" t="s">
        <v>346</v>
      </c>
      <c r="O53" s="14" t="s">
        <v>240</v>
      </c>
    </row>
    <row r="54" customFormat="false" ht="48" hidden="false" customHeight="true" outlineLevel="0" collapsed="false">
      <c r="A54" s="14" t="n">
        <v>52</v>
      </c>
      <c r="B54" s="14" t="s">
        <v>374</v>
      </c>
      <c r="C54" s="14" t="s">
        <v>221</v>
      </c>
      <c r="D54" s="14" t="s">
        <v>704</v>
      </c>
      <c r="E54" s="15" t="n">
        <v>19371</v>
      </c>
      <c r="F54" s="18" t="n">
        <v>58.1</v>
      </c>
      <c r="G54" s="14" t="n">
        <v>6</v>
      </c>
      <c r="H54" s="14" t="s">
        <v>225</v>
      </c>
      <c r="I54" s="14" t="s">
        <v>255</v>
      </c>
      <c r="J54" s="6" t="s">
        <v>707</v>
      </c>
      <c r="K54" s="16" t="s">
        <v>706</v>
      </c>
      <c r="L54" s="6" t="s">
        <v>259</v>
      </c>
      <c r="M54" s="14" t="s">
        <v>235</v>
      </c>
      <c r="N54" s="14" t="s">
        <v>236</v>
      </c>
      <c r="O54" s="14" t="s">
        <v>240</v>
      </c>
    </row>
    <row r="55" customFormat="false" ht="48" hidden="false" customHeight="true" outlineLevel="0" collapsed="false">
      <c r="A55" s="14" t="n">
        <v>53</v>
      </c>
      <c r="B55" s="14" t="s">
        <v>247</v>
      </c>
      <c r="C55" s="14" t="s">
        <v>221</v>
      </c>
      <c r="D55" s="14" t="s">
        <v>737</v>
      </c>
      <c r="E55" s="15" t="n">
        <v>23400</v>
      </c>
      <c r="F55" s="18" t="n">
        <v>52</v>
      </c>
      <c r="G55" s="14" t="n">
        <v>6</v>
      </c>
      <c r="H55" s="14" t="s">
        <v>338</v>
      </c>
      <c r="I55" s="14" t="s">
        <v>741</v>
      </c>
      <c r="J55" s="6" t="s">
        <v>739</v>
      </c>
      <c r="K55" s="16" t="s">
        <v>738</v>
      </c>
      <c r="L55" s="6" t="s">
        <v>743</v>
      </c>
      <c r="M55" s="14" t="s">
        <v>273</v>
      </c>
      <c r="N55" s="14" t="s">
        <v>274</v>
      </c>
      <c r="O55" s="14" t="s">
        <v>240</v>
      </c>
    </row>
    <row r="56" customFormat="false" ht="48" hidden="false" customHeight="true" outlineLevel="0" collapsed="false">
      <c r="A56" s="14" t="n">
        <v>54</v>
      </c>
      <c r="B56" s="14" t="s">
        <v>220</v>
      </c>
      <c r="C56" s="14" t="s">
        <v>221</v>
      </c>
      <c r="D56" s="14" t="s">
        <v>1001</v>
      </c>
      <c r="E56" s="15" t="n">
        <v>5892</v>
      </c>
      <c r="F56" s="18" t="n">
        <v>39.8</v>
      </c>
      <c r="G56" s="14" t="n">
        <v>6</v>
      </c>
      <c r="H56" s="14" t="s">
        <v>225</v>
      </c>
      <c r="I56" s="14" t="s">
        <v>255</v>
      </c>
      <c r="J56" s="6" t="s">
        <v>1004</v>
      </c>
      <c r="K56" s="16" t="s">
        <v>1003</v>
      </c>
      <c r="L56" s="6" t="s">
        <v>259</v>
      </c>
      <c r="M56" s="14" t="s">
        <v>235</v>
      </c>
      <c r="N56" s="14" t="s">
        <v>236</v>
      </c>
      <c r="O56" s="14" t="s">
        <v>240</v>
      </c>
    </row>
    <row r="57" customFormat="false" ht="48" hidden="false" customHeight="true" outlineLevel="0" collapsed="false">
      <c r="A57" s="14" t="n">
        <v>55</v>
      </c>
      <c r="B57" s="14" t="s">
        <v>374</v>
      </c>
      <c r="C57" s="14" t="s">
        <v>221</v>
      </c>
      <c r="D57" s="14" t="s">
        <v>1176</v>
      </c>
      <c r="E57" s="15" t="n">
        <v>21476</v>
      </c>
      <c r="F57" s="18" t="n">
        <v>34.1</v>
      </c>
      <c r="G57" s="14" t="n">
        <v>6</v>
      </c>
      <c r="H57" s="14" t="s">
        <v>225</v>
      </c>
      <c r="I57" s="14" t="s">
        <v>685</v>
      </c>
      <c r="J57" s="6" t="s">
        <v>1179</v>
      </c>
      <c r="K57" s="16" t="s">
        <v>1178</v>
      </c>
      <c r="L57" s="6" t="s">
        <v>1181</v>
      </c>
      <c r="M57" s="14" t="s">
        <v>235</v>
      </c>
      <c r="N57" s="14" t="s">
        <v>686</v>
      </c>
      <c r="O57" s="14" t="s">
        <v>240</v>
      </c>
    </row>
    <row r="58" customFormat="false" ht="48" hidden="false" customHeight="true" outlineLevel="0" collapsed="false">
      <c r="A58" s="14" t="n">
        <v>56</v>
      </c>
      <c r="B58" s="14" t="s">
        <v>374</v>
      </c>
      <c r="C58" s="14" t="s">
        <v>221</v>
      </c>
      <c r="D58" s="14" t="s">
        <v>660</v>
      </c>
      <c r="E58" s="15" t="n">
        <v>12673</v>
      </c>
      <c r="F58" s="18" t="n">
        <v>31.3</v>
      </c>
      <c r="G58" s="14" t="n">
        <v>6</v>
      </c>
      <c r="H58" s="14" t="s">
        <v>225</v>
      </c>
      <c r="I58" s="14" t="s">
        <v>330</v>
      </c>
      <c r="J58" s="6" t="s">
        <v>663</v>
      </c>
      <c r="K58" s="16" t="s">
        <v>1332</v>
      </c>
      <c r="L58" s="6" t="s">
        <v>665</v>
      </c>
      <c r="M58" s="14" t="s">
        <v>235</v>
      </c>
      <c r="N58" s="14" t="s">
        <v>346</v>
      </c>
      <c r="O58" s="14" t="s">
        <v>240</v>
      </c>
    </row>
    <row r="59" customFormat="false" ht="48" hidden="false" customHeight="true" outlineLevel="0" collapsed="false">
      <c r="A59" s="14" t="n">
        <v>57</v>
      </c>
      <c r="B59" s="14" t="s">
        <v>374</v>
      </c>
      <c r="C59" s="14" t="s">
        <v>221</v>
      </c>
      <c r="D59" s="14" t="s">
        <v>1433</v>
      </c>
      <c r="E59" s="15" t="n">
        <v>2590</v>
      </c>
      <c r="F59" s="18" t="n">
        <v>26.7</v>
      </c>
      <c r="G59" s="14" t="n">
        <v>6</v>
      </c>
      <c r="H59" s="14" t="s">
        <v>322</v>
      </c>
      <c r="I59" s="14" t="s">
        <v>255</v>
      </c>
      <c r="J59" s="6" t="s">
        <v>1435</v>
      </c>
      <c r="K59" s="16" t="s">
        <v>1434</v>
      </c>
      <c r="L59" s="6" t="s">
        <v>1437</v>
      </c>
      <c r="M59" s="14" t="s">
        <v>235</v>
      </c>
      <c r="N59" s="14" t="s">
        <v>236</v>
      </c>
      <c r="O59" s="14" t="s">
        <v>240</v>
      </c>
    </row>
    <row r="60" customFormat="false" ht="48" hidden="false" customHeight="true" outlineLevel="0" collapsed="false">
      <c r="A60" s="14" t="n">
        <v>58</v>
      </c>
      <c r="B60" s="14" t="s">
        <v>247</v>
      </c>
      <c r="C60" s="14" t="s">
        <v>221</v>
      </c>
      <c r="D60" s="14" t="s">
        <v>1757</v>
      </c>
      <c r="E60" s="15" t="n">
        <v>17700</v>
      </c>
      <c r="F60" s="18" t="n">
        <v>21.3</v>
      </c>
      <c r="G60" s="14" t="n">
        <v>6</v>
      </c>
      <c r="H60" s="14" t="s">
        <v>225</v>
      </c>
      <c r="I60" s="14" t="s">
        <v>255</v>
      </c>
      <c r="J60" s="6" t="s">
        <v>1759</v>
      </c>
      <c r="K60" s="16" t="s">
        <v>1758</v>
      </c>
      <c r="L60" s="6" t="s">
        <v>1762</v>
      </c>
      <c r="M60" s="14" t="s">
        <v>273</v>
      </c>
      <c r="N60" s="14" t="s">
        <v>274</v>
      </c>
      <c r="O60" s="14" t="s">
        <v>240</v>
      </c>
    </row>
    <row r="61" customFormat="false" ht="48" hidden="false" customHeight="true" outlineLevel="0" collapsed="false">
      <c r="A61" s="14" t="n">
        <v>59</v>
      </c>
      <c r="B61" s="14" t="s">
        <v>374</v>
      </c>
      <c r="C61" s="14" t="s">
        <v>221</v>
      </c>
      <c r="D61" s="14" t="s">
        <v>1782</v>
      </c>
      <c r="E61" s="15" t="n">
        <v>21167</v>
      </c>
      <c r="F61" s="18" t="n">
        <v>19.8</v>
      </c>
      <c r="G61" s="14" t="n">
        <v>6</v>
      </c>
      <c r="H61" s="14" t="s">
        <v>322</v>
      </c>
      <c r="I61" s="14" t="s">
        <v>1495</v>
      </c>
      <c r="J61" s="6" t="s">
        <v>1785</v>
      </c>
      <c r="K61" s="16" t="s">
        <v>1784</v>
      </c>
      <c r="L61" s="6" t="s">
        <v>1787</v>
      </c>
      <c r="M61" s="14" t="s">
        <v>235</v>
      </c>
      <c r="N61" s="14" t="s">
        <v>236</v>
      </c>
      <c r="O61" s="14" t="s">
        <v>240</v>
      </c>
    </row>
    <row r="62" customFormat="false" ht="48" hidden="false" customHeight="true" outlineLevel="0" collapsed="false">
      <c r="A62" s="14" t="n">
        <v>60</v>
      </c>
      <c r="B62" s="14" t="s">
        <v>247</v>
      </c>
      <c r="C62" s="14" t="s">
        <v>221</v>
      </c>
      <c r="D62" s="14" t="s">
        <v>2019</v>
      </c>
      <c r="E62" s="15" t="n">
        <v>7300</v>
      </c>
      <c r="F62" s="18" t="n">
        <v>12.9</v>
      </c>
      <c r="G62" s="14" t="n">
        <v>6</v>
      </c>
      <c r="H62" s="14" t="s">
        <v>225</v>
      </c>
      <c r="I62" s="14" t="s">
        <v>255</v>
      </c>
      <c r="J62" s="6" t="s">
        <v>2021</v>
      </c>
      <c r="K62" s="16" t="s">
        <v>2020</v>
      </c>
      <c r="L62" s="6" t="s">
        <v>2024</v>
      </c>
      <c r="M62" s="14" t="s">
        <v>235</v>
      </c>
      <c r="N62" s="14" t="s">
        <v>236</v>
      </c>
      <c r="O62" s="14" t="s">
        <v>240</v>
      </c>
    </row>
    <row r="63" customFormat="false" ht="48" hidden="false" customHeight="true" outlineLevel="0" collapsed="false">
      <c r="A63" s="14" t="n">
        <v>61</v>
      </c>
      <c r="B63" s="14" t="s">
        <v>374</v>
      </c>
      <c r="C63" s="14" t="s">
        <v>221</v>
      </c>
      <c r="D63" s="14" t="s">
        <v>2295</v>
      </c>
      <c r="E63" s="15" t="n">
        <v>22269</v>
      </c>
      <c r="F63" s="18" t="n">
        <v>6.8</v>
      </c>
      <c r="G63" s="14" t="n">
        <v>6</v>
      </c>
      <c r="H63" s="14" t="s">
        <v>225</v>
      </c>
      <c r="I63" s="14" t="s">
        <v>255</v>
      </c>
      <c r="J63" s="6" t="s">
        <v>2298</v>
      </c>
      <c r="K63" s="16" t="s">
        <v>2297</v>
      </c>
      <c r="L63" s="6" t="s">
        <v>534</v>
      </c>
      <c r="M63" s="14" t="s">
        <v>235</v>
      </c>
      <c r="N63" s="14" t="s">
        <v>236</v>
      </c>
      <c r="O63" s="14" t="s">
        <v>240</v>
      </c>
    </row>
    <row r="64" customFormat="false" ht="48" hidden="false" customHeight="true" outlineLevel="0" collapsed="false">
      <c r="A64" s="14" t="n">
        <v>62</v>
      </c>
      <c r="B64" s="14" t="s">
        <v>247</v>
      </c>
      <c r="C64" s="14" t="s">
        <v>221</v>
      </c>
      <c r="D64" s="14" t="s">
        <v>2327</v>
      </c>
      <c r="E64" s="15" t="n">
        <v>18133</v>
      </c>
      <c r="F64" s="18" t="n">
        <v>5.7</v>
      </c>
      <c r="G64" s="14" t="n">
        <v>6</v>
      </c>
      <c r="H64" s="14" t="s">
        <v>308</v>
      </c>
      <c r="I64" s="14" t="s">
        <v>272</v>
      </c>
      <c r="J64" s="6" t="s">
        <v>2329</v>
      </c>
      <c r="K64" s="16" t="s">
        <v>2328</v>
      </c>
      <c r="L64" s="6" t="s">
        <v>303</v>
      </c>
      <c r="M64" s="14" t="s">
        <v>273</v>
      </c>
      <c r="N64" s="14" t="s">
        <v>274</v>
      </c>
      <c r="O64" s="14" t="s">
        <v>240</v>
      </c>
    </row>
    <row r="65" customFormat="false" ht="48" hidden="false" customHeight="true" outlineLevel="0" collapsed="false">
      <c r="A65" s="14" t="n">
        <v>63</v>
      </c>
      <c r="B65" s="14" t="s">
        <v>247</v>
      </c>
      <c r="C65" s="14" t="s">
        <v>221</v>
      </c>
      <c r="D65" s="14" t="s">
        <v>2365</v>
      </c>
      <c r="E65" s="15" t="n">
        <v>8740</v>
      </c>
      <c r="F65" s="18" t="n">
        <v>5.4</v>
      </c>
      <c r="G65" s="14" t="n">
        <v>6</v>
      </c>
      <c r="H65" s="14" t="s">
        <v>375</v>
      </c>
      <c r="I65" s="14" t="s">
        <v>685</v>
      </c>
      <c r="J65" s="6" t="s">
        <v>2367</v>
      </c>
      <c r="K65" s="16" t="s">
        <v>2366</v>
      </c>
      <c r="L65" s="6" t="s">
        <v>689</v>
      </c>
      <c r="M65" s="14" t="s">
        <v>235</v>
      </c>
      <c r="N65" s="14" t="s">
        <v>686</v>
      </c>
      <c r="O65" s="14" t="s">
        <v>240</v>
      </c>
    </row>
    <row r="66" customFormat="false" ht="48" hidden="false" customHeight="true" outlineLevel="0" collapsed="false">
      <c r="A66" s="14" t="n">
        <v>64</v>
      </c>
      <c r="B66" s="14" t="s">
        <v>247</v>
      </c>
      <c r="C66" s="14" t="s">
        <v>221</v>
      </c>
      <c r="D66" s="14" t="s">
        <v>1335</v>
      </c>
      <c r="E66" s="15" t="n">
        <v>24800</v>
      </c>
      <c r="F66" s="18" t="n">
        <v>31.9</v>
      </c>
      <c r="G66" s="14" t="n">
        <v>5.9</v>
      </c>
      <c r="H66" s="14" t="s">
        <v>225</v>
      </c>
      <c r="I66" s="14" t="s">
        <v>330</v>
      </c>
      <c r="J66" s="6" t="s">
        <v>1337</v>
      </c>
      <c r="K66" s="16" t="s">
        <v>1336</v>
      </c>
      <c r="L66" s="6" t="s">
        <v>1340</v>
      </c>
      <c r="M66" s="14" t="s">
        <v>273</v>
      </c>
      <c r="N66" s="14" t="s">
        <v>274</v>
      </c>
      <c r="O66" s="14" t="s">
        <v>240</v>
      </c>
    </row>
    <row r="67" customFormat="false" ht="48" hidden="false" customHeight="true" outlineLevel="0" collapsed="false">
      <c r="A67" s="14" t="n">
        <v>65</v>
      </c>
      <c r="B67" s="14" t="s">
        <v>247</v>
      </c>
      <c r="C67" s="14" t="s">
        <v>221</v>
      </c>
      <c r="D67" s="14" t="s">
        <v>2113</v>
      </c>
      <c r="E67" s="15" t="n">
        <v>9176</v>
      </c>
      <c r="F67" s="18" t="n">
        <v>10.1</v>
      </c>
      <c r="G67" s="14" t="n">
        <v>5.9</v>
      </c>
      <c r="H67" s="14" t="s">
        <v>338</v>
      </c>
      <c r="I67" s="14" t="s">
        <v>272</v>
      </c>
      <c r="J67" s="6" t="s">
        <v>2115</v>
      </c>
      <c r="K67" s="16" t="s">
        <v>2114</v>
      </c>
      <c r="L67" s="6" t="s">
        <v>276</v>
      </c>
      <c r="M67" s="14" t="s">
        <v>273</v>
      </c>
      <c r="N67" s="14" t="s">
        <v>274</v>
      </c>
      <c r="O67" s="14" t="s">
        <v>240</v>
      </c>
    </row>
    <row r="68" customFormat="false" ht="48" hidden="false" customHeight="true" outlineLevel="0" collapsed="false">
      <c r="A68" s="14" t="n">
        <v>66</v>
      </c>
      <c r="B68" s="14" t="s">
        <v>220</v>
      </c>
      <c r="C68" s="14" t="s">
        <v>221</v>
      </c>
      <c r="D68" s="14" t="s">
        <v>1148</v>
      </c>
      <c r="E68" s="15" t="n">
        <v>6310</v>
      </c>
      <c r="F68" s="18" t="n">
        <v>11.5</v>
      </c>
      <c r="G68" s="14" t="n">
        <v>5.6</v>
      </c>
      <c r="H68" s="14" t="s">
        <v>635</v>
      </c>
      <c r="I68" s="14" t="s">
        <v>685</v>
      </c>
      <c r="J68" s="6" t="s">
        <v>2211</v>
      </c>
      <c r="K68" s="16" t="s">
        <v>2210</v>
      </c>
      <c r="L68" s="6" t="s">
        <v>874</v>
      </c>
      <c r="M68" s="14" t="s">
        <v>235</v>
      </c>
      <c r="N68" s="14" t="s">
        <v>686</v>
      </c>
      <c r="O68" s="14" t="s">
        <v>240</v>
      </c>
    </row>
    <row r="69" customFormat="false" ht="48" hidden="false" customHeight="true" outlineLevel="0" collapsed="false">
      <c r="A69" s="14" t="n">
        <v>67</v>
      </c>
      <c r="B69" s="14" t="s">
        <v>220</v>
      </c>
      <c r="C69" s="14" t="s">
        <v>221</v>
      </c>
      <c r="D69" s="14" t="s">
        <v>2434</v>
      </c>
      <c r="E69" s="15" t="n">
        <v>16742</v>
      </c>
      <c r="F69" s="18" t="n">
        <v>6.6</v>
      </c>
      <c r="G69" s="14" t="n">
        <v>5.6</v>
      </c>
      <c r="H69" s="14" t="s">
        <v>225</v>
      </c>
      <c r="I69" s="14" t="s">
        <v>330</v>
      </c>
      <c r="J69" s="6" t="s">
        <v>2437</v>
      </c>
      <c r="K69" s="16" t="s">
        <v>2436</v>
      </c>
      <c r="L69" s="6" t="s">
        <v>334</v>
      </c>
      <c r="M69" s="14" t="s">
        <v>235</v>
      </c>
      <c r="N69" s="14" t="s">
        <v>236</v>
      </c>
      <c r="O69" s="14" t="s">
        <v>240</v>
      </c>
    </row>
    <row r="70" customFormat="false" ht="48" hidden="false" customHeight="true" outlineLevel="0" collapsed="false">
      <c r="A70" s="14" t="n">
        <v>68</v>
      </c>
      <c r="B70" s="14" t="s">
        <v>220</v>
      </c>
      <c r="C70" s="14" t="s">
        <v>221</v>
      </c>
      <c r="D70" s="14" t="s">
        <v>354</v>
      </c>
      <c r="E70" s="15" t="n">
        <v>13338</v>
      </c>
      <c r="F70" s="18" t="n">
        <v>298.1</v>
      </c>
      <c r="G70" s="14" t="n">
        <v>5.3</v>
      </c>
      <c r="H70" s="14" t="s">
        <v>225</v>
      </c>
      <c r="I70" s="14" t="s">
        <v>234</v>
      </c>
      <c r="J70" s="6" t="s">
        <v>778</v>
      </c>
      <c r="K70" s="16" t="s">
        <v>777</v>
      </c>
      <c r="L70" s="6" t="s">
        <v>359</v>
      </c>
      <c r="M70" s="14" t="s">
        <v>235</v>
      </c>
      <c r="N70" s="14" t="s">
        <v>236</v>
      </c>
      <c r="O70" s="14" t="s">
        <v>240</v>
      </c>
    </row>
    <row r="71" customFormat="false" ht="48" hidden="false" customHeight="true" outlineLevel="0" collapsed="false">
      <c r="A71" s="14" t="n">
        <v>69</v>
      </c>
      <c r="B71" s="14" t="s">
        <v>220</v>
      </c>
      <c r="C71" s="14" t="s">
        <v>221</v>
      </c>
      <c r="D71" s="14" t="s">
        <v>784</v>
      </c>
      <c r="E71" s="15" t="n">
        <v>21310</v>
      </c>
      <c r="F71" s="18" t="n">
        <v>51.7</v>
      </c>
      <c r="G71" s="14" t="n">
        <v>5.3</v>
      </c>
      <c r="H71" s="14" t="s">
        <v>322</v>
      </c>
      <c r="I71" s="14" t="s">
        <v>513</v>
      </c>
      <c r="J71" s="6" t="s">
        <v>787</v>
      </c>
      <c r="K71" s="16" t="s">
        <v>786</v>
      </c>
      <c r="L71" s="6" t="s">
        <v>789</v>
      </c>
      <c r="M71" s="14" t="s">
        <v>235</v>
      </c>
      <c r="N71" s="14" t="s">
        <v>236</v>
      </c>
      <c r="O71" s="14" t="s">
        <v>240</v>
      </c>
    </row>
    <row r="72" customFormat="false" ht="48" hidden="false" customHeight="true" outlineLevel="0" collapsed="false">
      <c r="A72" s="14" t="n">
        <v>70</v>
      </c>
      <c r="B72" s="14" t="s">
        <v>220</v>
      </c>
      <c r="C72" s="14" t="s">
        <v>221</v>
      </c>
      <c r="D72" s="14" t="s">
        <v>845</v>
      </c>
      <c r="E72" s="15" t="n">
        <v>19649</v>
      </c>
      <c r="F72" s="18" t="n">
        <v>438.4</v>
      </c>
      <c r="G72" s="14" t="n">
        <v>5</v>
      </c>
      <c r="H72" s="14" t="s">
        <v>308</v>
      </c>
      <c r="I72" s="14" t="s">
        <v>255</v>
      </c>
      <c r="J72" s="6" t="s">
        <v>848</v>
      </c>
      <c r="K72" s="16" t="s">
        <v>847</v>
      </c>
      <c r="L72" s="6" t="s">
        <v>259</v>
      </c>
      <c r="M72" s="14" t="s">
        <v>235</v>
      </c>
      <c r="N72" s="14" t="s">
        <v>236</v>
      </c>
      <c r="O72" s="14" t="s">
        <v>240</v>
      </c>
    </row>
    <row r="73" customFormat="false" ht="48" hidden="false" customHeight="true" outlineLevel="0" collapsed="false">
      <c r="A73" s="14" t="n">
        <v>71</v>
      </c>
      <c r="B73" s="14" t="s">
        <v>247</v>
      </c>
      <c r="C73" s="14" t="s">
        <v>221</v>
      </c>
      <c r="D73" s="14" t="s">
        <v>912</v>
      </c>
      <c r="E73" s="15" t="n">
        <v>14400</v>
      </c>
      <c r="F73" s="18" t="n">
        <v>276.1</v>
      </c>
      <c r="G73" s="14" t="n">
        <v>5</v>
      </c>
      <c r="H73" s="14" t="s">
        <v>338</v>
      </c>
      <c r="I73" s="14" t="s">
        <v>916</v>
      </c>
      <c r="J73" s="6" t="s">
        <v>914</v>
      </c>
      <c r="K73" s="16" t="s">
        <v>913</v>
      </c>
      <c r="L73" s="6" t="s">
        <v>919</v>
      </c>
      <c r="M73" s="14" t="s">
        <v>917</v>
      </c>
      <c r="N73" s="14" t="s">
        <v>236</v>
      </c>
      <c r="O73" s="14" t="s">
        <v>240</v>
      </c>
    </row>
    <row r="74" customFormat="false" ht="48" hidden="false" customHeight="true" outlineLevel="0" collapsed="false">
      <c r="A74" s="14" t="n">
        <v>72</v>
      </c>
      <c r="B74" s="14" t="s">
        <v>247</v>
      </c>
      <c r="C74" s="14" t="s">
        <v>221</v>
      </c>
      <c r="D74" s="14" t="s">
        <v>936</v>
      </c>
      <c r="E74" s="15" t="n">
        <v>17500</v>
      </c>
      <c r="F74" s="18" t="n">
        <v>199.3</v>
      </c>
      <c r="G74" s="14" t="n">
        <v>5</v>
      </c>
      <c r="H74" s="14" t="s">
        <v>338</v>
      </c>
      <c r="I74" s="14" t="s">
        <v>513</v>
      </c>
      <c r="J74" s="6" t="s">
        <v>938</v>
      </c>
      <c r="K74" s="16" t="s">
        <v>937</v>
      </c>
      <c r="L74" s="6" t="s">
        <v>941</v>
      </c>
      <c r="M74" s="14" t="s">
        <v>235</v>
      </c>
      <c r="N74" s="14" t="s">
        <v>236</v>
      </c>
      <c r="O74" s="14" t="s">
        <v>240</v>
      </c>
    </row>
    <row r="75" customFormat="false" ht="48" hidden="false" customHeight="true" outlineLevel="0" collapsed="false">
      <c r="A75" s="14" t="n">
        <v>73</v>
      </c>
      <c r="B75" s="14" t="s">
        <v>220</v>
      </c>
      <c r="C75" s="14" t="s">
        <v>221</v>
      </c>
      <c r="D75" s="14" t="s">
        <v>880</v>
      </c>
      <c r="E75" s="15" t="n">
        <v>27268</v>
      </c>
      <c r="F75" s="18" t="n">
        <v>164.5</v>
      </c>
      <c r="G75" s="14" t="n">
        <v>5</v>
      </c>
      <c r="H75" s="14" t="s">
        <v>308</v>
      </c>
      <c r="I75" s="14" t="s">
        <v>884</v>
      </c>
      <c r="J75" s="6" t="s">
        <v>882</v>
      </c>
      <c r="K75" s="16" t="s">
        <v>881</v>
      </c>
      <c r="L75" s="6" t="s">
        <v>885</v>
      </c>
      <c r="M75" s="14" t="s">
        <v>235</v>
      </c>
      <c r="N75" s="14" t="s">
        <v>236</v>
      </c>
      <c r="O75" s="14" t="s">
        <v>240</v>
      </c>
    </row>
    <row r="76" customFormat="false" ht="48" hidden="false" customHeight="true" outlineLevel="0" collapsed="false">
      <c r="A76" s="14" t="n">
        <v>74</v>
      </c>
      <c r="B76" s="14" t="s">
        <v>220</v>
      </c>
      <c r="C76" s="14" t="s">
        <v>221</v>
      </c>
      <c r="D76" s="14" t="s">
        <v>864</v>
      </c>
      <c r="E76" s="15" t="n">
        <v>20541</v>
      </c>
      <c r="F76" s="18" t="n">
        <v>103.9</v>
      </c>
      <c r="G76" s="14" t="n">
        <v>5</v>
      </c>
      <c r="H76" s="14" t="s">
        <v>225</v>
      </c>
      <c r="I76" s="14" t="s">
        <v>234</v>
      </c>
      <c r="J76" s="6" t="s">
        <v>867</v>
      </c>
      <c r="K76" s="16" t="s">
        <v>866</v>
      </c>
      <c r="L76" s="6" t="s">
        <v>503</v>
      </c>
      <c r="M76" s="14" t="s">
        <v>235</v>
      </c>
      <c r="N76" s="14" t="s">
        <v>236</v>
      </c>
      <c r="O76" s="14" t="s">
        <v>240</v>
      </c>
    </row>
    <row r="77" customFormat="false" ht="48" hidden="false" customHeight="true" outlineLevel="0" collapsed="false">
      <c r="A77" s="14" t="n">
        <v>75</v>
      </c>
      <c r="B77" s="14" t="s">
        <v>374</v>
      </c>
      <c r="C77" s="14" t="s">
        <v>221</v>
      </c>
      <c r="D77" s="14" t="s">
        <v>814</v>
      </c>
      <c r="E77" s="15" t="n">
        <v>11901</v>
      </c>
      <c r="F77" s="18" t="n">
        <v>103.1</v>
      </c>
      <c r="G77" s="14" t="n">
        <v>5</v>
      </c>
      <c r="H77" s="14" t="s">
        <v>225</v>
      </c>
      <c r="I77" s="14" t="s">
        <v>234</v>
      </c>
      <c r="J77" s="6" t="s">
        <v>817</v>
      </c>
      <c r="K77" s="16" t="s">
        <v>816</v>
      </c>
      <c r="L77" s="6" t="s">
        <v>290</v>
      </c>
      <c r="M77" s="14" t="s">
        <v>235</v>
      </c>
      <c r="N77" s="14" t="s">
        <v>236</v>
      </c>
      <c r="O77" s="14" t="s">
        <v>240</v>
      </c>
    </row>
    <row r="78" customFormat="false" ht="48" hidden="false" customHeight="true" outlineLevel="0" collapsed="false">
      <c r="A78" s="14" t="n">
        <v>76</v>
      </c>
      <c r="B78" s="14" t="s">
        <v>247</v>
      </c>
      <c r="C78" s="14" t="s">
        <v>221</v>
      </c>
      <c r="D78" s="14" t="s">
        <v>891</v>
      </c>
      <c r="E78" s="15" t="n">
        <v>18100</v>
      </c>
      <c r="F78" s="18" t="n">
        <v>96</v>
      </c>
      <c r="G78" s="14" t="n">
        <v>5</v>
      </c>
      <c r="H78" s="14" t="s">
        <v>338</v>
      </c>
      <c r="I78" s="14" t="s">
        <v>741</v>
      </c>
      <c r="J78" s="6" t="s">
        <v>893</v>
      </c>
      <c r="K78" s="16" t="s">
        <v>892</v>
      </c>
      <c r="L78" s="6" t="s">
        <v>896</v>
      </c>
      <c r="M78" s="14" t="s">
        <v>235</v>
      </c>
      <c r="N78" s="14" t="s">
        <v>236</v>
      </c>
      <c r="O78" s="14" t="s">
        <v>240</v>
      </c>
    </row>
    <row r="79" customFormat="false" ht="48" hidden="false" customHeight="true" outlineLevel="0" collapsed="false">
      <c r="A79" s="14" t="n">
        <v>77</v>
      </c>
      <c r="B79" s="14" t="s">
        <v>247</v>
      </c>
      <c r="C79" s="14" t="s">
        <v>442</v>
      </c>
      <c r="D79" s="14" t="s">
        <v>926</v>
      </c>
      <c r="E79" s="15" t="n">
        <v>18900</v>
      </c>
      <c r="F79" s="18" t="n">
        <v>92.8</v>
      </c>
      <c r="G79" s="14" t="n">
        <v>5</v>
      </c>
      <c r="H79" s="14" t="s">
        <v>364</v>
      </c>
      <c r="I79" s="14" t="s">
        <v>330</v>
      </c>
      <c r="J79" s="6" t="s">
        <v>928</v>
      </c>
      <c r="K79" s="16" t="s">
        <v>927</v>
      </c>
      <c r="L79" s="6" t="s">
        <v>931</v>
      </c>
      <c r="M79" s="14" t="s">
        <v>235</v>
      </c>
      <c r="N79" s="14" t="s">
        <v>236</v>
      </c>
      <c r="O79" s="14" t="s">
        <v>453</v>
      </c>
    </row>
    <row r="80" customFormat="false" ht="48" hidden="false" customHeight="true" outlineLevel="0" collapsed="false">
      <c r="A80" s="14" t="n">
        <v>78</v>
      </c>
      <c r="B80" s="14" t="s">
        <v>247</v>
      </c>
      <c r="C80" s="14" t="s">
        <v>221</v>
      </c>
      <c r="D80" s="14" t="s">
        <v>825</v>
      </c>
      <c r="E80" s="15" t="n">
        <v>11957</v>
      </c>
      <c r="F80" s="18" t="n">
        <v>55.8</v>
      </c>
      <c r="G80" s="14" t="n">
        <v>5</v>
      </c>
      <c r="H80" s="14" t="s">
        <v>338</v>
      </c>
      <c r="I80" s="14" t="s">
        <v>330</v>
      </c>
      <c r="J80" s="6" t="s">
        <v>828</v>
      </c>
      <c r="K80" s="16" t="s">
        <v>827</v>
      </c>
      <c r="L80" s="6" t="s">
        <v>830</v>
      </c>
      <c r="M80" s="14" t="s">
        <v>273</v>
      </c>
      <c r="N80" s="14" t="s">
        <v>274</v>
      </c>
      <c r="O80" s="14" t="s">
        <v>240</v>
      </c>
    </row>
    <row r="81" customFormat="false" ht="48" hidden="false" customHeight="true" outlineLevel="0" collapsed="false">
      <c r="A81" s="14" t="n">
        <v>79</v>
      </c>
      <c r="B81" s="14" t="s">
        <v>220</v>
      </c>
      <c r="C81" s="14" t="s">
        <v>221</v>
      </c>
      <c r="D81" s="14" t="s">
        <v>870</v>
      </c>
      <c r="E81" s="15" t="n">
        <v>8603</v>
      </c>
      <c r="F81" s="18" t="n">
        <v>54.4</v>
      </c>
      <c r="G81" s="14" t="n">
        <v>5</v>
      </c>
      <c r="H81" s="14" t="s">
        <v>586</v>
      </c>
      <c r="I81" s="14" t="s">
        <v>685</v>
      </c>
      <c r="J81" s="6" t="s">
        <v>872</v>
      </c>
      <c r="K81" s="16" t="s">
        <v>871</v>
      </c>
      <c r="L81" s="6" t="s">
        <v>874</v>
      </c>
      <c r="M81" s="14" t="s">
        <v>235</v>
      </c>
      <c r="N81" s="14" t="s">
        <v>686</v>
      </c>
      <c r="O81" s="14" t="s">
        <v>240</v>
      </c>
    </row>
    <row r="82" customFormat="false" ht="48" hidden="false" customHeight="true" outlineLevel="0" collapsed="false">
      <c r="A82" s="14" t="n">
        <v>80</v>
      </c>
      <c r="B82" s="14" t="s">
        <v>220</v>
      </c>
      <c r="C82" s="14" t="s">
        <v>221</v>
      </c>
      <c r="D82" s="14" t="s">
        <v>836</v>
      </c>
      <c r="E82" s="15" t="n">
        <v>22288</v>
      </c>
      <c r="F82" s="18" t="n">
        <v>54.3</v>
      </c>
      <c r="G82" s="14" t="n">
        <v>5</v>
      </c>
      <c r="H82" s="14" t="s">
        <v>308</v>
      </c>
      <c r="I82" s="14" t="s">
        <v>255</v>
      </c>
      <c r="J82" s="6" t="s">
        <v>839</v>
      </c>
      <c r="K82" s="16" t="s">
        <v>838</v>
      </c>
      <c r="L82" s="6" t="s">
        <v>534</v>
      </c>
      <c r="M82" s="14" t="s">
        <v>673</v>
      </c>
      <c r="N82" s="14" t="s">
        <v>236</v>
      </c>
      <c r="O82" s="14" t="s">
        <v>240</v>
      </c>
    </row>
    <row r="83" customFormat="false" ht="48" hidden="false" customHeight="true" outlineLevel="0" collapsed="false">
      <c r="A83" s="14" t="n">
        <v>81</v>
      </c>
      <c r="B83" s="14" t="s">
        <v>247</v>
      </c>
      <c r="C83" s="14" t="s">
        <v>442</v>
      </c>
      <c r="D83" s="14" t="s">
        <v>945</v>
      </c>
      <c r="E83" s="15" t="n">
        <v>5600</v>
      </c>
      <c r="F83" s="18" t="n">
        <v>52.6</v>
      </c>
      <c r="G83" s="14" t="n">
        <v>5</v>
      </c>
      <c r="H83" s="14" t="s">
        <v>364</v>
      </c>
      <c r="I83" s="14" t="s">
        <v>255</v>
      </c>
      <c r="J83" s="6" t="s">
        <v>947</v>
      </c>
      <c r="K83" s="16" t="s">
        <v>946</v>
      </c>
      <c r="L83" s="6" t="s">
        <v>949</v>
      </c>
      <c r="M83" s="14" t="s">
        <v>235</v>
      </c>
      <c r="N83" s="14" t="s">
        <v>236</v>
      </c>
      <c r="O83" s="14" t="s">
        <v>453</v>
      </c>
    </row>
    <row r="84" customFormat="false" ht="48" hidden="false" customHeight="true" outlineLevel="0" collapsed="false">
      <c r="A84" s="14" t="n">
        <v>82</v>
      </c>
      <c r="B84" s="14" t="s">
        <v>247</v>
      </c>
      <c r="C84" s="14" t="s">
        <v>221</v>
      </c>
      <c r="D84" s="14" t="s">
        <v>1689</v>
      </c>
      <c r="E84" s="15" t="n">
        <v>22000</v>
      </c>
      <c r="F84" s="18" t="n">
        <v>31.8</v>
      </c>
      <c r="G84" s="14" t="n">
        <v>5</v>
      </c>
      <c r="H84" s="14" t="s">
        <v>225</v>
      </c>
      <c r="I84" s="14" t="s">
        <v>255</v>
      </c>
      <c r="J84" s="6" t="s">
        <v>1691</v>
      </c>
      <c r="K84" s="16" t="s">
        <v>1690</v>
      </c>
      <c r="L84" s="6" t="s">
        <v>1694</v>
      </c>
      <c r="M84" s="14" t="s">
        <v>273</v>
      </c>
      <c r="N84" s="14" t="s">
        <v>274</v>
      </c>
      <c r="O84" s="14" t="s">
        <v>240</v>
      </c>
    </row>
    <row r="85" customFormat="false" ht="48" hidden="false" customHeight="true" outlineLevel="0" collapsed="false">
      <c r="A85" s="14" t="n">
        <v>83</v>
      </c>
      <c r="B85" s="14" t="s">
        <v>220</v>
      </c>
      <c r="C85" s="14" t="s">
        <v>221</v>
      </c>
      <c r="D85" s="14" t="s">
        <v>1964</v>
      </c>
      <c r="E85" s="15" t="n">
        <v>17169</v>
      </c>
      <c r="F85" s="18" t="n">
        <v>21.7</v>
      </c>
      <c r="G85" s="14" t="n">
        <v>5</v>
      </c>
      <c r="H85" s="14" t="s">
        <v>322</v>
      </c>
      <c r="I85" s="14" t="s">
        <v>255</v>
      </c>
      <c r="J85" s="6" t="s">
        <v>1967</v>
      </c>
      <c r="K85" s="16" t="s">
        <v>1966</v>
      </c>
      <c r="L85" s="6" t="s">
        <v>259</v>
      </c>
      <c r="M85" s="14" t="s">
        <v>235</v>
      </c>
      <c r="N85" s="14" t="s">
        <v>236</v>
      </c>
      <c r="O85" s="14" t="s">
        <v>240</v>
      </c>
    </row>
    <row r="86" customFormat="false" ht="48" hidden="false" customHeight="true" outlineLevel="0" collapsed="false">
      <c r="A86" s="14" t="n">
        <v>84</v>
      </c>
      <c r="B86" s="14" t="s">
        <v>247</v>
      </c>
      <c r="C86" s="14" t="s">
        <v>221</v>
      </c>
      <c r="D86" s="14" t="s">
        <v>1973</v>
      </c>
      <c r="E86" s="15" t="n">
        <v>29248</v>
      </c>
      <c r="F86" s="18" t="n">
        <v>21.7</v>
      </c>
      <c r="G86" s="14" t="n">
        <v>5</v>
      </c>
      <c r="H86" s="14" t="s">
        <v>264</v>
      </c>
      <c r="I86" s="14" t="s">
        <v>234</v>
      </c>
      <c r="J86" s="6" t="s">
        <v>1975</v>
      </c>
      <c r="K86" s="16" t="s">
        <v>1974</v>
      </c>
      <c r="L86" s="6" t="s">
        <v>503</v>
      </c>
      <c r="M86" s="14" t="s">
        <v>235</v>
      </c>
      <c r="N86" s="14" t="s">
        <v>236</v>
      </c>
      <c r="O86" s="14" t="s">
        <v>240</v>
      </c>
    </row>
    <row r="87" customFormat="false" ht="48" hidden="false" customHeight="true" outlineLevel="0" collapsed="false">
      <c r="A87" s="14" t="n">
        <v>85</v>
      </c>
      <c r="B87" s="14" t="s">
        <v>247</v>
      </c>
      <c r="C87" s="14" t="s">
        <v>221</v>
      </c>
      <c r="D87" s="14" t="s">
        <v>1344</v>
      </c>
      <c r="E87" s="15" t="n">
        <v>8200</v>
      </c>
      <c r="F87" s="18" t="n">
        <v>20.4</v>
      </c>
      <c r="G87" s="14" t="n">
        <v>5</v>
      </c>
      <c r="H87" s="14" t="s">
        <v>635</v>
      </c>
      <c r="I87" s="14" t="s">
        <v>330</v>
      </c>
      <c r="J87" s="6" t="s">
        <v>2043</v>
      </c>
      <c r="K87" s="16" t="s">
        <v>2042</v>
      </c>
      <c r="L87" s="6" t="s">
        <v>2045</v>
      </c>
      <c r="M87" s="14" t="s">
        <v>235</v>
      </c>
      <c r="N87" s="14" t="s">
        <v>346</v>
      </c>
      <c r="O87" s="14" t="s">
        <v>240</v>
      </c>
    </row>
    <row r="88" customFormat="false" ht="48" hidden="false" customHeight="true" outlineLevel="0" collapsed="false">
      <c r="A88" s="14" t="n">
        <v>86</v>
      </c>
      <c r="B88" s="14" t="s">
        <v>247</v>
      </c>
      <c r="C88" s="14" t="s">
        <v>221</v>
      </c>
      <c r="D88" s="14" t="s">
        <v>1523</v>
      </c>
      <c r="E88" s="15" t="n">
        <v>7214</v>
      </c>
      <c r="F88" s="18" t="n">
        <v>19.3</v>
      </c>
      <c r="G88" s="14" t="n">
        <v>5</v>
      </c>
      <c r="H88" s="14" t="s">
        <v>322</v>
      </c>
      <c r="I88" s="14" t="s">
        <v>272</v>
      </c>
      <c r="J88" s="6" t="s">
        <v>2055</v>
      </c>
      <c r="K88" s="16" t="s">
        <v>2054</v>
      </c>
      <c r="L88" s="6" t="s">
        <v>276</v>
      </c>
      <c r="M88" s="14" t="s">
        <v>273</v>
      </c>
      <c r="N88" s="14" t="s">
        <v>274</v>
      </c>
      <c r="O88" s="14" t="s">
        <v>240</v>
      </c>
    </row>
    <row r="89" customFormat="false" ht="48" hidden="false" customHeight="true" outlineLevel="0" collapsed="false">
      <c r="A89" s="14" t="n">
        <v>87</v>
      </c>
      <c r="B89" s="14" t="s">
        <v>247</v>
      </c>
      <c r="C89" s="14" t="s">
        <v>221</v>
      </c>
      <c r="D89" s="14" t="s">
        <v>2092</v>
      </c>
      <c r="E89" s="15" t="n">
        <v>6167</v>
      </c>
      <c r="F89" s="18" t="n">
        <v>18</v>
      </c>
      <c r="G89" s="14" t="n">
        <v>5</v>
      </c>
      <c r="H89" s="14" t="s">
        <v>264</v>
      </c>
      <c r="I89" s="14" t="s">
        <v>272</v>
      </c>
      <c r="J89" s="6" t="s">
        <v>2095</v>
      </c>
      <c r="K89" s="16" t="s">
        <v>2094</v>
      </c>
      <c r="L89" s="6" t="s">
        <v>276</v>
      </c>
      <c r="M89" s="14" t="s">
        <v>273</v>
      </c>
      <c r="N89" s="14" t="s">
        <v>274</v>
      </c>
      <c r="O89" s="14" t="s">
        <v>240</v>
      </c>
    </row>
    <row r="90" customFormat="false" ht="48" hidden="false" customHeight="true" outlineLevel="0" collapsed="false">
      <c r="A90" s="14" t="n">
        <v>88</v>
      </c>
      <c r="B90" s="14" t="s">
        <v>247</v>
      </c>
      <c r="C90" s="14" t="s">
        <v>442</v>
      </c>
      <c r="D90" s="14" t="s">
        <v>2386</v>
      </c>
      <c r="E90" s="15" t="n">
        <v>11000</v>
      </c>
      <c r="F90" s="18" t="n">
        <v>13.6</v>
      </c>
      <c r="G90" s="14" t="n">
        <v>5</v>
      </c>
      <c r="H90" s="14" t="s">
        <v>364</v>
      </c>
      <c r="I90" s="14" t="s">
        <v>255</v>
      </c>
      <c r="J90" s="6" t="s">
        <v>2388</v>
      </c>
      <c r="K90" s="16" t="s">
        <v>2387</v>
      </c>
      <c r="L90" s="6" t="s">
        <v>2390</v>
      </c>
      <c r="M90" s="14" t="s">
        <v>273</v>
      </c>
      <c r="N90" s="14" t="s">
        <v>274</v>
      </c>
      <c r="O90" s="14" t="s">
        <v>453</v>
      </c>
    </row>
    <row r="91" customFormat="false" ht="48" hidden="false" customHeight="true" outlineLevel="0" collapsed="false">
      <c r="A91" s="14" t="n">
        <v>89</v>
      </c>
      <c r="B91" s="14" t="s">
        <v>220</v>
      </c>
      <c r="C91" s="14" t="s">
        <v>221</v>
      </c>
      <c r="D91" s="14" t="s">
        <v>2508</v>
      </c>
      <c r="E91" s="15" t="n">
        <v>8192</v>
      </c>
      <c r="F91" s="18" t="n">
        <v>9.9</v>
      </c>
      <c r="G91" s="14" t="n">
        <v>5</v>
      </c>
      <c r="H91" s="14" t="s">
        <v>375</v>
      </c>
      <c r="I91" s="14" t="s">
        <v>255</v>
      </c>
      <c r="J91" s="6" t="s">
        <v>2510</v>
      </c>
      <c r="K91" s="16" t="s">
        <v>2509</v>
      </c>
      <c r="L91" s="6" t="s">
        <v>534</v>
      </c>
      <c r="M91" s="14" t="s">
        <v>235</v>
      </c>
      <c r="N91" s="14" t="s">
        <v>236</v>
      </c>
      <c r="O91" s="14" t="s">
        <v>240</v>
      </c>
    </row>
    <row r="92" customFormat="false" ht="48" hidden="false" customHeight="true" outlineLevel="0" collapsed="false">
      <c r="A92" s="14" t="n">
        <v>90</v>
      </c>
      <c r="B92" s="14" t="s">
        <v>374</v>
      </c>
      <c r="C92" s="14" t="s">
        <v>221</v>
      </c>
      <c r="D92" s="14" t="s">
        <v>2519</v>
      </c>
      <c r="E92" s="15" t="n">
        <v>8026</v>
      </c>
      <c r="F92" s="18" t="n">
        <v>9.3</v>
      </c>
      <c r="G92" s="14" t="n">
        <v>5</v>
      </c>
      <c r="H92" s="14" t="s">
        <v>225</v>
      </c>
      <c r="I92" s="14" t="s">
        <v>234</v>
      </c>
      <c r="J92" s="6" t="s">
        <v>2521</v>
      </c>
      <c r="K92" s="16" t="s">
        <v>2520</v>
      </c>
      <c r="L92" s="6" t="s">
        <v>958</v>
      </c>
      <c r="M92" s="14" t="s">
        <v>235</v>
      </c>
      <c r="N92" s="14" t="s">
        <v>236</v>
      </c>
      <c r="O92" s="14" t="s">
        <v>240</v>
      </c>
    </row>
    <row r="93" customFormat="false" ht="48" hidden="false" customHeight="true" outlineLevel="0" collapsed="false">
      <c r="A93" s="14" t="n">
        <v>91</v>
      </c>
      <c r="B93" s="14" t="s">
        <v>220</v>
      </c>
      <c r="C93" s="14" t="s">
        <v>221</v>
      </c>
      <c r="D93" s="14" t="s">
        <v>2728</v>
      </c>
      <c r="E93" s="15" t="n">
        <v>16371</v>
      </c>
      <c r="F93" s="18" t="n">
        <v>5.1</v>
      </c>
      <c r="G93" s="14" t="n">
        <v>5</v>
      </c>
      <c r="H93" s="14" t="s">
        <v>225</v>
      </c>
      <c r="I93" s="14" t="s">
        <v>255</v>
      </c>
      <c r="J93" s="6" t="s">
        <v>2730</v>
      </c>
      <c r="K93" s="16" t="s">
        <v>2729</v>
      </c>
      <c r="L93" s="6" t="s">
        <v>491</v>
      </c>
      <c r="M93" s="14" t="s">
        <v>235</v>
      </c>
      <c r="N93" s="14" t="s">
        <v>236</v>
      </c>
      <c r="O93" s="14" t="s">
        <v>240</v>
      </c>
    </row>
    <row r="94" customFormat="false" ht="48" hidden="false" customHeight="true" outlineLevel="0" collapsed="false">
      <c r="A94" s="14" t="n">
        <v>92</v>
      </c>
      <c r="B94" s="14" t="s">
        <v>220</v>
      </c>
      <c r="C94" s="14" t="s">
        <v>221</v>
      </c>
      <c r="D94" s="14" t="s">
        <v>2733</v>
      </c>
      <c r="E94" s="15" t="n">
        <v>29648</v>
      </c>
      <c r="F94" s="18" t="n">
        <v>5</v>
      </c>
      <c r="G94" s="14" t="n">
        <v>5</v>
      </c>
      <c r="H94" s="14" t="s">
        <v>225</v>
      </c>
      <c r="I94" s="14" t="s">
        <v>330</v>
      </c>
      <c r="J94" s="6" t="s">
        <v>2736</v>
      </c>
      <c r="K94" s="16" t="s">
        <v>2735</v>
      </c>
      <c r="L94" s="6" t="s">
        <v>1117</v>
      </c>
      <c r="M94" s="14" t="s">
        <v>235</v>
      </c>
      <c r="N94" s="14" t="s">
        <v>236</v>
      </c>
      <c r="O94" s="14" t="s">
        <v>240</v>
      </c>
    </row>
    <row r="95" customFormat="false" ht="48" hidden="false" customHeight="true" outlineLevel="0" collapsed="false">
      <c r="A95" s="14" t="n">
        <v>93</v>
      </c>
      <c r="B95" s="14" t="s">
        <v>220</v>
      </c>
      <c r="C95" s="14" t="s">
        <v>221</v>
      </c>
      <c r="D95" s="14" t="s">
        <v>964</v>
      </c>
      <c r="E95" s="15" t="n">
        <v>13198</v>
      </c>
      <c r="F95" s="18" t="n">
        <v>895.8</v>
      </c>
      <c r="G95" s="14" t="n">
        <v>4.9</v>
      </c>
      <c r="H95" s="14" t="s">
        <v>322</v>
      </c>
      <c r="I95" s="14" t="s">
        <v>330</v>
      </c>
      <c r="J95" s="6" t="s">
        <v>967</v>
      </c>
      <c r="K95" s="16" t="s">
        <v>966</v>
      </c>
      <c r="L95" s="6" t="s">
        <v>415</v>
      </c>
      <c r="M95" s="14" t="s">
        <v>235</v>
      </c>
      <c r="N95" s="14" t="s">
        <v>346</v>
      </c>
      <c r="O95" s="14" t="s">
        <v>240</v>
      </c>
    </row>
    <row r="96" customFormat="false" ht="48" hidden="false" customHeight="true" outlineLevel="0" collapsed="false">
      <c r="A96" s="14" t="n">
        <v>94</v>
      </c>
      <c r="B96" s="14" t="s">
        <v>247</v>
      </c>
      <c r="C96" s="14" t="s">
        <v>221</v>
      </c>
      <c r="D96" s="14" t="s">
        <v>638</v>
      </c>
      <c r="E96" s="15" t="n">
        <v>20800</v>
      </c>
      <c r="F96" s="18" t="n">
        <v>629.2</v>
      </c>
      <c r="G96" s="14" t="n">
        <v>4.9</v>
      </c>
      <c r="H96" s="14" t="s">
        <v>225</v>
      </c>
      <c r="I96" s="14" t="s">
        <v>330</v>
      </c>
      <c r="J96" s="6" t="s">
        <v>640</v>
      </c>
      <c r="K96" s="16" t="s">
        <v>972</v>
      </c>
      <c r="L96" s="6" t="s">
        <v>974</v>
      </c>
      <c r="M96" s="14" t="s">
        <v>235</v>
      </c>
      <c r="N96" s="14" t="s">
        <v>236</v>
      </c>
      <c r="O96" s="14" t="s">
        <v>240</v>
      </c>
    </row>
    <row r="97" customFormat="false" ht="48" hidden="false" customHeight="true" outlineLevel="0" collapsed="false">
      <c r="A97" s="14" t="n">
        <v>95</v>
      </c>
      <c r="B97" s="14" t="s">
        <v>220</v>
      </c>
      <c r="C97" s="14" t="s">
        <v>221</v>
      </c>
      <c r="D97" s="14" t="s">
        <v>954</v>
      </c>
      <c r="E97" s="15" t="n">
        <v>23777</v>
      </c>
      <c r="F97" s="18" t="n">
        <v>57.3</v>
      </c>
      <c r="G97" s="14" t="n">
        <v>4.9</v>
      </c>
      <c r="H97" s="14" t="s">
        <v>375</v>
      </c>
      <c r="I97" s="14" t="s">
        <v>234</v>
      </c>
      <c r="J97" s="6" t="s">
        <v>957</v>
      </c>
      <c r="K97" s="16" t="s">
        <v>956</v>
      </c>
      <c r="L97" s="6" t="s">
        <v>958</v>
      </c>
      <c r="M97" s="14" t="s">
        <v>235</v>
      </c>
      <c r="N97" s="14" t="s">
        <v>236</v>
      </c>
      <c r="O97" s="14" t="s">
        <v>240</v>
      </c>
    </row>
    <row r="98" customFormat="false" ht="48" hidden="false" customHeight="true" outlineLevel="0" collapsed="false">
      <c r="A98" s="14" t="n">
        <v>96</v>
      </c>
      <c r="B98" s="14" t="s">
        <v>220</v>
      </c>
      <c r="C98" s="14" t="s">
        <v>221</v>
      </c>
      <c r="D98" s="14" t="s">
        <v>964</v>
      </c>
      <c r="E98" s="15" t="n">
        <v>13198</v>
      </c>
      <c r="F98" s="18" t="n">
        <v>34.6</v>
      </c>
      <c r="G98" s="14" t="n">
        <v>4.6</v>
      </c>
      <c r="H98" s="14" t="s">
        <v>322</v>
      </c>
      <c r="I98" s="14" t="s">
        <v>234</v>
      </c>
      <c r="J98" s="6" t="s">
        <v>1708</v>
      </c>
      <c r="K98" s="16" t="s">
        <v>1707</v>
      </c>
      <c r="L98" s="6" t="s">
        <v>241</v>
      </c>
      <c r="M98" s="14" t="s">
        <v>235</v>
      </c>
      <c r="N98" s="14" t="s">
        <v>236</v>
      </c>
      <c r="O98" s="14" t="s">
        <v>240</v>
      </c>
    </row>
    <row r="99" customFormat="false" ht="48" hidden="false" customHeight="true" outlineLevel="0" collapsed="false">
      <c r="A99" s="14" t="n">
        <v>97</v>
      </c>
      <c r="B99" s="14" t="s">
        <v>220</v>
      </c>
      <c r="C99" s="14" t="s">
        <v>221</v>
      </c>
      <c r="D99" s="14" t="s">
        <v>1148</v>
      </c>
      <c r="E99" s="15" t="n">
        <v>6310</v>
      </c>
      <c r="F99" s="18" t="n">
        <v>75</v>
      </c>
      <c r="G99" s="14" t="n">
        <v>4.3</v>
      </c>
      <c r="H99" s="14" t="s">
        <v>322</v>
      </c>
      <c r="I99" s="14" t="s">
        <v>685</v>
      </c>
      <c r="J99" s="6" t="s">
        <v>1151</v>
      </c>
      <c r="K99" s="16" t="s">
        <v>1150</v>
      </c>
      <c r="L99" s="6" t="s">
        <v>874</v>
      </c>
      <c r="M99" s="14" t="s">
        <v>235</v>
      </c>
      <c r="N99" s="14" t="s">
        <v>686</v>
      </c>
      <c r="O99" s="14" t="s">
        <v>240</v>
      </c>
    </row>
    <row r="100" customFormat="false" ht="48" hidden="false" customHeight="true" outlineLevel="0" collapsed="false">
      <c r="A100" s="14" t="n">
        <v>98</v>
      </c>
      <c r="B100" s="14" t="s">
        <v>220</v>
      </c>
      <c r="C100" s="14" t="s">
        <v>221</v>
      </c>
      <c r="D100" s="14" t="s">
        <v>1155</v>
      </c>
      <c r="E100" s="15" t="n">
        <v>6563</v>
      </c>
      <c r="F100" s="18" t="n">
        <v>64.5</v>
      </c>
      <c r="G100" s="14" t="n">
        <v>4.3</v>
      </c>
      <c r="H100" s="14" t="s">
        <v>308</v>
      </c>
      <c r="I100" s="14" t="s">
        <v>255</v>
      </c>
      <c r="J100" s="6" t="s">
        <v>1158</v>
      </c>
      <c r="K100" s="16" t="s">
        <v>1157</v>
      </c>
      <c r="L100" s="6" t="s">
        <v>259</v>
      </c>
      <c r="M100" s="14" t="s">
        <v>235</v>
      </c>
      <c r="N100" s="14" t="s">
        <v>236</v>
      </c>
      <c r="O100" s="14" t="s">
        <v>240</v>
      </c>
    </row>
    <row r="101" customFormat="false" ht="48" hidden="false" customHeight="true" outlineLevel="0" collapsed="false">
      <c r="A101" s="14" t="n">
        <v>99</v>
      </c>
      <c r="B101" s="14" t="s">
        <v>220</v>
      </c>
      <c r="C101" s="14" t="s">
        <v>221</v>
      </c>
      <c r="D101" s="14" t="s">
        <v>474</v>
      </c>
      <c r="E101" s="15" t="n">
        <v>23968</v>
      </c>
      <c r="F101" s="18" t="n">
        <v>225.7</v>
      </c>
      <c r="G101" s="14" t="n">
        <v>4</v>
      </c>
      <c r="H101" s="14" t="s">
        <v>308</v>
      </c>
      <c r="I101" s="14" t="s">
        <v>513</v>
      </c>
      <c r="J101" s="6" t="s">
        <v>1235</v>
      </c>
      <c r="K101" s="16" t="s">
        <v>1234</v>
      </c>
      <c r="L101" s="6" t="s">
        <v>789</v>
      </c>
      <c r="M101" s="14" t="s">
        <v>673</v>
      </c>
      <c r="N101" s="14" t="s">
        <v>236</v>
      </c>
      <c r="O101" s="14" t="s">
        <v>240</v>
      </c>
    </row>
    <row r="102" customFormat="false" ht="48" hidden="false" customHeight="true" outlineLevel="0" collapsed="false">
      <c r="A102" s="14" t="n">
        <v>100</v>
      </c>
      <c r="B102" s="14" t="s">
        <v>220</v>
      </c>
      <c r="C102" s="14" t="s">
        <v>221</v>
      </c>
      <c r="D102" s="14" t="s">
        <v>1212</v>
      </c>
      <c r="E102" s="15" t="n">
        <v>9135</v>
      </c>
      <c r="F102" s="18" t="n">
        <v>221</v>
      </c>
      <c r="G102" s="14" t="n">
        <v>4</v>
      </c>
      <c r="H102" s="14" t="s">
        <v>322</v>
      </c>
      <c r="I102" s="14" t="s">
        <v>330</v>
      </c>
      <c r="J102" s="6" t="s">
        <v>1221</v>
      </c>
      <c r="K102" s="16" t="s">
        <v>1220</v>
      </c>
      <c r="L102" s="6" t="s">
        <v>415</v>
      </c>
      <c r="M102" s="14" t="s">
        <v>235</v>
      </c>
      <c r="N102" s="14" t="s">
        <v>346</v>
      </c>
      <c r="O102" s="14" t="s">
        <v>240</v>
      </c>
    </row>
    <row r="103" customFormat="false" ht="48" hidden="false" customHeight="true" outlineLevel="0" collapsed="false">
      <c r="A103" s="14" t="n">
        <v>101</v>
      </c>
      <c r="B103" s="14" t="s">
        <v>247</v>
      </c>
      <c r="C103" s="14" t="s">
        <v>221</v>
      </c>
      <c r="D103" s="14" t="s">
        <v>1272</v>
      </c>
      <c r="E103" s="15" t="n">
        <v>13100</v>
      </c>
      <c r="F103" s="18" t="n">
        <v>149.4</v>
      </c>
      <c r="G103" s="14" t="n">
        <v>4</v>
      </c>
      <c r="H103" s="14" t="s">
        <v>322</v>
      </c>
      <c r="I103" s="14" t="s">
        <v>906</v>
      </c>
      <c r="J103" s="6" t="s">
        <v>1274</v>
      </c>
      <c r="K103" s="16" t="s">
        <v>1273</v>
      </c>
      <c r="L103" s="6" t="s">
        <v>1277</v>
      </c>
      <c r="M103" s="14" t="s">
        <v>273</v>
      </c>
      <c r="N103" s="14" t="s">
        <v>274</v>
      </c>
      <c r="O103" s="14" t="s">
        <v>240</v>
      </c>
    </row>
    <row r="104" customFormat="false" ht="48" hidden="false" customHeight="true" outlineLevel="0" collapsed="false">
      <c r="A104" s="14" t="n">
        <v>102</v>
      </c>
      <c r="B104" s="14" t="s">
        <v>247</v>
      </c>
      <c r="C104" s="14" t="s">
        <v>221</v>
      </c>
      <c r="D104" s="14" t="s">
        <v>1282</v>
      </c>
      <c r="E104" s="15" t="n">
        <v>6600</v>
      </c>
      <c r="F104" s="18" t="n">
        <v>133.2</v>
      </c>
      <c r="G104" s="14" t="n">
        <v>4</v>
      </c>
      <c r="H104" s="14" t="s">
        <v>225</v>
      </c>
      <c r="I104" s="14" t="s">
        <v>330</v>
      </c>
      <c r="J104" s="6" t="s">
        <v>1284</v>
      </c>
      <c r="K104" s="16" t="s">
        <v>1283</v>
      </c>
      <c r="L104" s="6" t="s">
        <v>1287</v>
      </c>
      <c r="M104" s="14" t="s">
        <v>235</v>
      </c>
      <c r="N104" s="14" t="s">
        <v>346</v>
      </c>
      <c r="O104" s="14" t="s">
        <v>240</v>
      </c>
    </row>
    <row r="105" customFormat="false" ht="48" hidden="false" customHeight="true" outlineLevel="0" collapsed="false">
      <c r="A105" s="14" t="n">
        <v>103</v>
      </c>
      <c r="B105" s="14" t="s">
        <v>247</v>
      </c>
      <c r="C105" s="14" t="s">
        <v>221</v>
      </c>
      <c r="D105" s="14" t="s">
        <v>1262</v>
      </c>
      <c r="E105" s="15" t="n">
        <v>25800</v>
      </c>
      <c r="F105" s="18" t="n">
        <v>98.5</v>
      </c>
      <c r="G105" s="14" t="n">
        <v>4</v>
      </c>
      <c r="H105" s="14" t="s">
        <v>338</v>
      </c>
      <c r="I105" s="14" t="s">
        <v>685</v>
      </c>
      <c r="J105" s="6" t="s">
        <v>1264</v>
      </c>
      <c r="K105" s="16" t="s">
        <v>1263</v>
      </c>
      <c r="L105" s="6" t="s">
        <v>1267</v>
      </c>
      <c r="M105" s="14" t="s">
        <v>235</v>
      </c>
      <c r="N105" s="14" t="s">
        <v>686</v>
      </c>
      <c r="O105" s="14" t="s">
        <v>240</v>
      </c>
    </row>
    <row r="106" customFormat="false" ht="48" hidden="false" customHeight="true" outlineLevel="0" collapsed="false">
      <c r="A106" s="14" t="n">
        <v>104</v>
      </c>
      <c r="B106" s="14" t="s">
        <v>247</v>
      </c>
      <c r="C106" s="14" t="s">
        <v>1194</v>
      </c>
      <c r="D106" s="14" t="s">
        <v>1196</v>
      </c>
      <c r="E106" s="15" t="n">
        <v>15982</v>
      </c>
      <c r="F106" s="18" t="n">
        <v>80</v>
      </c>
      <c r="G106" s="14" t="n">
        <v>4</v>
      </c>
      <c r="H106" s="14" t="s">
        <v>338</v>
      </c>
      <c r="I106" s="14" t="s">
        <v>255</v>
      </c>
      <c r="J106" s="6" t="s">
        <v>1198</v>
      </c>
      <c r="K106" s="16" t="s">
        <v>1197</v>
      </c>
      <c r="L106" s="6" t="s">
        <v>259</v>
      </c>
      <c r="M106" s="14" t="s">
        <v>235</v>
      </c>
      <c r="N106" s="14" t="s">
        <v>236</v>
      </c>
      <c r="O106" s="14" t="s">
        <v>453</v>
      </c>
    </row>
    <row r="107" customFormat="false" ht="48" hidden="false" customHeight="true" outlineLevel="0" collapsed="false">
      <c r="A107" s="14" t="n">
        <v>105</v>
      </c>
      <c r="B107" s="14" t="s">
        <v>247</v>
      </c>
      <c r="C107" s="14" t="s">
        <v>442</v>
      </c>
      <c r="D107" s="14" t="s">
        <v>1252</v>
      </c>
      <c r="E107" s="15" t="n">
        <v>14300</v>
      </c>
      <c r="F107" s="18" t="n">
        <v>71.9</v>
      </c>
      <c r="G107" s="14" t="n">
        <v>4</v>
      </c>
      <c r="H107" s="14" t="s">
        <v>322</v>
      </c>
      <c r="I107" s="14" t="s">
        <v>330</v>
      </c>
      <c r="J107" s="6" t="s">
        <v>1254</v>
      </c>
      <c r="K107" s="16" t="s">
        <v>1253</v>
      </c>
      <c r="L107" s="6" t="s">
        <v>1257</v>
      </c>
      <c r="M107" s="14" t="s">
        <v>235</v>
      </c>
      <c r="N107" s="14" t="s">
        <v>236</v>
      </c>
      <c r="O107" s="14" t="s">
        <v>453</v>
      </c>
    </row>
    <row r="108" customFormat="false" ht="48" hidden="false" customHeight="true" outlineLevel="0" collapsed="false">
      <c r="A108" s="14" t="n">
        <v>106</v>
      </c>
      <c r="B108" s="14" t="s">
        <v>220</v>
      </c>
      <c r="C108" s="14" t="s">
        <v>221</v>
      </c>
      <c r="D108" s="14" t="s">
        <v>1205</v>
      </c>
      <c r="E108" s="15" t="n">
        <v>13608</v>
      </c>
      <c r="F108" s="18" t="n">
        <v>70.5</v>
      </c>
      <c r="G108" s="14" t="n">
        <v>4</v>
      </c>
      <c r="H108" s="14" t="s">
        <v>225</v>
      </c>
      <c r="I108" s="14" t="s">
        <v>255</v>
      </c>
      <c r="J108" s="6" t="s">
        <v>1208</v>
      </c>
      <c r="K108" s="16" t="s">
        <v>1207</v>
      </c>
      <c r="L108" s="6" t="s">
        <v>259</v>
      </c>
      <c r="M108" s="14" t="s">
        <v>235</v>
      </c>
      <c r="N108" s="14" t="s">
        <v>236</v>
      </c>
      <c r="O108" s="14" t="s">
        <v>240</v>
      </c>
    </row>
    <row r="109" customFormat="false" ht="48" hidden="false" customHeight="true" outlineLevel="0" collapsed="false">
      <c r="A109" s="14" t="n">
        <v>107</v>
      </c>
      <c r="B109" s="14" t="s">
        <v>247</v>
      </c>
      <c r="C109" s="14" t="s">
        <v>221</v>
      </c>
      <c r="D109" s="14" t="s">
        <v>1241</v>
      </c>
      <c r="E109" s="15" t="n">
        <v>7200</v>
      </c>
      <c r="F109" s="18" t="n">
        <v>69.2</v>
      </c>
      <c r="G109" s="14" t="n">
        <v>4</v>
      </c>
      <c r="H109" s="14" t="s">
        <v>375</v>
      </c>
      <c r="I109" s="14" t="s">
        <v>916</v>
      </c>
      <c r="J109" s="6" t="s">
        <v>1243</v>
      </c>
      <c r="K109" s="16" t="s">
        <v>1242</v>
      </c>
      <c r="L109" s="6" t="s">
        <v>1246</v>
      </c>
      <c r="M109" s="14" t="s">
        <v>235</v>
      </c>
      <c r="N109" s="14" t="s">
        <v>236</v>
      </c>
      <c r="O109" s="14" t="s">
        <v>240</v>
      </c>
    </row>
    <row r="110" customFormat="false" ht="48" hidden="false" customHeight="true" outlineLevel="0" collapsed="false">
      <c r="A110" s="14" t="n">
        <v>108</v>
      </c>
      <c r="B110" s="14" t="s">
        <v>220</v>
      </c>
      <c r="C110" s="14" t="s">
        <v>221</v>
      </c>
      <c r="D110" s="14" t="s">
        <v>1212</v>
      </c>
      <c r="E110" s="15" t="n">
        <v>9135</v>
      </c>
      <c r="F110" s="18" t="n">
        <v>56</v>
      </c>
      <c r="G110" s="14" t="n">
        <v>4</v>
      </c>
      <c r="H110" s="14" t="s">
        <v>586</v>
      </c>
      <c r="I110" s="14" t="s">
        <v>513</v>
      </c>
      <c r="J110" s="6" t="s">
        <v>1215</v>
      </c>
      <c r="K110" s="16" t="s">
        <v>1214</v>
      </c>
      <c r="L110" s="6" t="s">
        <v>514</v>
      </c>
      <c r="M110" s="14" t="s">
        <v>235</v>
      </c>
      <c r="N110" s="14" t="s">
        <v>236</v>
      </c>
      <c r="O110" s="14" t="s">
        <v>240</v>
      </c>
    </row>
    <row r="111" customFormat="false" ht="48" hidden="false" customHeight="true" outlineLevel="0" collapsed="false">
      <c r="A111" s="14" t="n">
        <v>109</v>
      </c>
      <c r="B111" s="14" t="s">
        <v>220</v>
      </c>
      <c r="C111" s="14" t="s">
        <v>221</v>
      </c>
      <c r="D111" s="14" t="s">
        <v>1186</v>
      </c>
      <c r="E111" s="15" t="n">
        <v>12471</v>
      </c>
      <c r="F111" s="18" t="n">
        <v>53.2</v>
      </c>
      <c r="G111" s="14" t="n">
        <v>4</v>
      </c>
      <c r="H111" s="14" t="s">
        <v>364</v>
      </c>
      <c r="I111" s="14" t="s">
        <v>234</v>
      </c>
      <c r="J111" s="6" t="s">
        <v>1188</v>
      </c>
      <c r="K111" s="16" t="s">
        <v>1187</v>
      </c>
      <c r="L111" s="6" t="s">
        <v>290</v>
      </c>
      <c r="M111" s="14" t="s">
        <v>235</v>
      </c>
      <c r="N111" s="14" t="s">
        <v>236</v>
      </c>
      <c r="O111" s="14" t="s">
        <v>240</v>
      </c>
    </row>
    <row r="112" customFormat="false" ht="48" hidden="false" customHeight="true" outlineLevel="0" collapsed="false">
      <c r="A112" s="14" t="n">
        <v>110</v>
      </c>
      <c r="B112" s="14" t="s">
        <v>220</v>
      </c>
      <c r="C112" s="14" t="s">
        <v>221</v>
      </c>
      <c r="D112" s="14" t="s">
        <v>864</v>
      </c>
      <c r="E112" s="15" t="n">
        <v>20541</v>
      </c>
      <c r="F112" s="18" t="n">
        <v>49.1</v>
      </c>
      <c r="G112" s="14" t="n">
        <v>4</v>
      </c>
      <c r="H112" s="14" t="s">
        <v>322</v>
      </c>
      <c r="I112" s="14" t="s">
        <v>685</v>
      </c>
      <c r="J112" s="6" t="s">
        <v>1314</v>
      </c>
      <c r="K112" s="16" t="s">
        <v>1313</v>
      </c>
      <c r="L112" s="6" t="s">
        <v>1316</v>
      </c>
      <c r="M112" s="14" t="s">
        <v>235</v>
      </c>
      <c r="N112" s="14" t="s">
        <v>686</v>
      </c>
      <c r="O112" s="14" t="s">
        <v>240</v>
      </c>
    </row>
    <row r="113" customFormat="false" ht="48" hidden="false" customHeight="true" outlineLevel="0" collapsed="false">
      <c r="A113" s="14" t="n">
        <v>111</v>
      </c>
      <c r="B113" s="14" t="s">
        <v>247</v>
      </c>
      <c r="C113" s="14" t="s">
        <v>221</v>
      </c>
      <c r="D113" s="14" t="s">
        <v>1319</v>
      </c>
      <c r="E113" s="15" t="n">
        <v>8100</v>
      </c>
      <c r="F113" s="18" t="n">
        <v>49.1</v>
      </c>
      <c r="G113" s="14" t="n">
        <v>4</v>
      </c>
      <c r="H113" s="14" t="s">
        <v>586</v>
      </c>
      <c r="I113" s="14" t="s">
        <v>916</v>
      </c>
      <c r="J113" s="6" t="s">
        <v>1321</v>
      </c>
      <c r="K113" s="16" t="s">
        <v>1320</v>
      </c>
      <c r="L113" s="6" t="s">
        <v>1324</v>
      </c>
      <c r="M113" s="14" t="s">
        <v>273</v>
      </c>
      <c r="N113" s="14" t="s">
        <v>274</v>
      </c>
      <c r="O113" s="14" t="s">
        <v>240</v>
      </c>
    </row>
    <row r="114" customFormat="false" ht="48" hidden="false" customHeight="true" outlineLevel="0" collapsed="false">
      <c r="A114" s="14" t="n">
        <v>112</v>
      </c>
      <c r="B114" s="14" t="s">
        <v>220</v>
      </c>
      <c r="C114" s="14" t="s">
        <v>221</v>
      </c>
      <c r="D114" s="14" t="s">
        <v>1740</v>
      </c>
      <c r="E114" s="15" t="n">
        <v>8603</v>
      </c>
      <c r="F114" s="18" t="n">
        <v>38.3</v>
      </c>
      <c r="G114" s="14" t="n">
        <v>4</v>
      </c>
      <c r="H114" s="14" t="s">
        <v>225</v>
      </c>
      <c r="I114" s="14" t="s">
        <v>513</v>
      </c>
      <c r="J114" s="6" t="s">
        <v>1742</v>
      </c>
      <c r="K114" s="16" t="s">
        <v>1741</v>
      </c>
      <c r="L114" s="6" t="s">
        <v>514</v>
      </c>
      <c r="M114" s="14" t="s">
        <v>235</v>
      </c>
      <c r="N114" s="14" t="s">
        <v>236</v>
      </c>
      <c r="O114" s="14" t="s">
        <v>240</v>
      </c>
    </row>
    <row r="115" customFormat="false" ht="48" hidden="false" customHeight="true" outlineLevel="0" collapsed="false">
      <c r="A115" s="14" t="n">
        <v>113</v>
      </c>
      <c r="B115" s="14" t="s">
        <v>247</v>
      </c>
      <c r="C115" s="14" t="s">
        <v>221</v>
      </c>
      <c r="D115" s="14" t="s">
        <v>1881</v>
      </c>
      <c r="E115" s="15" t="n">
        <v>28100</v>
      </c>
      <c r="F115" s="18" t="n">
        <v>32.7</v>
      </c>
      <c r="G115" s="14" t="n">
        <v>4</v>
      </c>
      <c r="H115" s="14" t="s">
        <v>322</v>
      </c>
      <c r="I115" s="14" t="s">
        <v>255</v>
      </c>
      <c r="J115" s="6" t="s">
        <v>1883</v>
      </c>
      <c r="K115" s="16" t="s">
        <v>1882</v>
      </c>
      <c r="L115" s="6" t="s">
        <v>1885</v>
      </c>
      <c r="M115" s="14" t="s">
        <v>235</v>
      </c>
      <c r="N115" s="14" t="s">
        <v>236</v>
      </c>
      <c r="O115" s="14" t="s">
        <v>240</v>
      </c>
    </row>
    <row r="116" customFormat="false" ht="48" hidden="false" customHeight="true" outlineLevel="0" collapsed="false">
      <c r="A116" s="14" t="n">
        <v>114</v>
      </c>
      <c r="B116" s="14" t="s">
        <v>374</v>
      </c>
      <c r="C116" s="14" t="s">
        <v>221</v>
      </c>
      <c r="D116" s="14" t="s">
        <v>1908</v>
      </c>
      <c r="E116" s="15" t="n">
        <v>20059</v>
      </c>
      <c r="F116" s="18" t="n">
        <v>31.6</v>
      </c>
      <c r="G116" s="14" t="n">
        <v>4</v>
      </c>
      <c r="H116" s="14" t="s">
        <v>322</v>
      </c>
      <c r="I116" s="14" t="s">
        <v>234</v>
      </c>
      <c r="J116" s="6" t="s">
        <v>1911</v>
      </c>
      <c r="K116" s="16" t="s">
        <v>1910</v>
      </c>
      <c r="L116" s="6" t="s">
        <v>958</v>
      </c>
      <c r="M116" s="14" t="s">
        <v>316</v>
      </c>
      <c r="N116" s="14" t="s">
        <v>346</v>
      </c>
      <c r="O116" s="14" t="s">
        <v>240</v>
      </c>
    </row>
    <row r="117" customFormat="false" ht="48" hidden="false" customHeight="true" outlineLevel="0" collapsed="false">
      <c r="A117" s="14" t="n">
        <v>115</v>
      </c>
      <c r="B117" s="14" t="s">
        <v>220</v>
      </c>
      <c r="C117" s="14" t="s">
        <v>221</v>
      </c>
      <c r="D117" s="14" t="s">
        <v>1991</v>
      </c>
      <c r="E117" s="15" t="n">
        <v>9464</v>
      </c>
      <c r="F117" s="18" t="n">
        <v>29.9</v>
      </c>
      <c r="G117" s="14" t="n">
        <v>4</v>
      </c>
      <c r="H117" s="14" t="s">
        <v>322</v>
      </c>
      <c r="I117" s="14" t="s">
        <v>255</v>
      </c>
      <c r="J117" s="6" t="s">
        <v>1993</v>
      </c>
      <c r="K117" s="16" t="s">
        <v>1992</v>
      </c>
      <c r="L117" s="6" t="s">
        <v>259</v>
      </c>
      <c r="M117" s="14" t="s">
        <v>235</v>
      </c>
      <c r="N117" s="14" t="s">
        <v>236</v>
      </c>
      <c r="O117" s="14" t="s">
        <v>453</v>
      </c>
    </row>
    <row r="118" customFormat="false" ht="48" hidden="false" customHeight="true" outlineLevel="0" collapsed="false">
      <c r="A118" s="14" t="n">
        <v>116</v>
      </c>
      <c r="B118" s="14" t="s">
        <v>247</v>
      </c>
      <c r="C118" s="14" t="s">
        <v>442</v>
      </c>
      <c r="D118" s="14" t="s">
        <v>2231</v>
      </c>
      <c r="E118" s="15" t="n">
        <v>5100</v>
      </c>
      <c r="F118" s="18" t="n">
        <v>24.5</v>
      </c>
      <c r="G118" s="14" t="n">
        <v>4</v>
      </c>
      <c r="H118" s="14" t="s">
        <v>364</v>
      </c>
      <c r="I118" s="14" t="s">
        <v>513</v>
      </c>
      <c r="J118" s="6" t="s">
        <v>2233</v>
      </c>
      <c r="K118" s="16" t="s">
        <v>2232</v>
      </c>
      <c r="L118" s="6" t="s">
        <v>2236</v>
      </c>
      <c r="M118" s="14" t="s">
        <v>273</v>
      </c>
      <c r="N118" s="14" t="s">
        <v>274</v>
      </c>
      <c r="O118" s="14" t="s">
        <v>453</v>
      </c>
    </row>
    <row r="119" customFormat="false" ht="48" hidden="false" customHeight="true" outlineLevel="0" collapsed="false">
      <c r="A119" s="14" t="n">
        <v>117</v>
      </c>
      <c r="B119" s="14" t="s">
        <v>247</v>
      </c>
      <c r="C119" s="14" t="s">
        <v>221</v>
      </c>
      <c r="D119" s="14" t="s">
        <v>2356</v>
      </c>
      <c r="E119" s="15" t="n">
        <v>23296</v>
      </c>
      <c r="F119" s="18" t="n">
        <v>22.1</v>
      </c>
      <c r="G119" s="14" t="n">
        <v>4</v>
      </c>
      <c r="H119" s="14" t="s">
        <v>586</v>
      </c>
      <c r="I119" s="14" t="s">
        <v>330</v>
      </c>
      <c r="J119" s="6" t="s">
        <v>2359</v>
      </c>
      <c r="K119" s="16" t="s">
        <v>2358</v>
      </c>
      <c r="L119" s="6" t="s">
        <v>1117</v>
      </c>
      <c r="M119" s="14" t="s">
        <v>235</v>
      </c>
      <c r="N119" s="14" t="s">
        <v>236</v>
      </c>
      <c r="O119" s="14" t="s">
        <v>240</v>
      </c>
    </row>
    <row r="120" customFormat="false" ht="48" hidden="false" customHeight="true" outlineLevel="0" collapsed="false">
      <c r="A120" s="14" t="n">
        <v>118</v>
      </c>
      <c r="B120" s="14" t="s">
        <v>374</v>
      </c>
      <c r="C120" s="14" t="s">
        <v>221</v>
      </c>
      <c r="D120" s="14" t="s">
        <v>2379</v>
      </c>
      <c r="E120" s="15" t="n">
        <v>18203</v>
      </c>
      <c r="F120" s="18" t="n">
        <v>22</v>
      </c>
      <c r="G120" s="14" t="n">
        <v>4</v>
      </c>
      <c r="H120" s="14" t="s">
        <v>338</v>
      </c>
      <c r="I120" s="14" t="s">
        <v>685</v>
      </c>
      <c r="J120" s="6" t="s">
        <v>2382</v>
      </c>
      <c r="K120" s="16" t="s">
        <v>2381</v>
      </c>
      <c r="L120" s="6" t="s">
        <v>874</v>
      </c>
      <c r="M120" s="14" t="s">
        <v>235</v>
      </c>
      <c r="N120" s="14" t="s">
        <v>686</v>
      </c>
      <c r="O120" s="14" t="s">
        <v>240</v>
      </c>
    </row>
    <row r="121" customFormat="false" ht="48" hidden="false" customHeight="true" outlineLevel="0" collapsed="false">
      <c r="A121" s="14" t="n">
        <v>119</v>
      </c>
      <c r="B121" s="14" t="s">
        <v>220</v>
      </c>
      <c r="C121" s="14" t="s">
        <v>221</v>
      </c>
      <c r="D121" s="14" t="s">
        <v>589</v>
      </c>
      <c r="E121" s="15" t="n">
        <v>6256</v>
      </c>
      <c r="F121" s="18" t="n">
        <v>15.5</v>
      </c>
      <c r="G121" s="14" t="n">
        <v>4</v>
      </c>
      <c r="H121" s="14" t="s">
        <v>375</v>
      </c>
      <c r="I121" s="14" t="s">
        <v>234</v>
      </c>
      <c r="J121" s="6" t="s">
        <v>2614</v>
      </c>
      <c r="K121" s="16" t="s">
        <v>2613</v>
      </c>
      <c r="L121" s="6" t="s">
        <v>290</v>
      </c>
      <c r="M121" s="14" t="s">
        <v>235</v>
      </c>
      <c r="N121" s="14" t="s">
        <v>236</v>
      </c>
      <c r="O121" s="14" t="s">
        <v>240</v>
      </c>
    </row>
    <row r="122" customFormat="false" ht="48" hidden="false" customHeight="true" outlineLevel="0" collapsed="false">
      <c r="A122" s="14" t="n">
        <v>120</v>
      </c>
      <c r="B122" s="14" t="s">
        <v>374</v>
      </c>
      <c r="C122" s="14" t="s">
        <v>221</v>
      </c>
      <c r="D122" s="14" t="s">
        <v>2627</v>
      </c>
      <c r="E122" s="15" t="n">
        <v>19892</v>
      </c>
      <c r="F122" s="18" t="n">
        <v>15</v>
      </c>
      <c r="G122" s="14" t="n">
        <v>4</v>
      </c>
      <c r="H122" s="14" t="s">
        <v>586</v>
      </c>
      <c r="I122" s="14" t="s">
        <v>234</v>
      </c>
      <c r="J122" s="6" t="s">
        <v>2629</v>
      </c>
      <c r="K122" s="16" t="s">
        <v>2628</v>
      </c>
      <c r="L122" s="6" t="s">
        <v>290</v>
      </c>
      <c r="M122" s="14" t="s">
        <v>235</v>
      </c>
      <c r="N122" s="14" t="s">
        <v>236</v>
      </c>
      <c r="O122" s="14" t="s">
        <v>240</v>
      </c>
    </row>
    <row r="123" customFormat="false" ht="48" hidden="false" customHeight="true" outlineLevel="0" collapsed="false">
      <c r="A123" s="14" t="n">
        <v>121</v>
      </c>
      <c r="B123" s="14" t="s">
        <v>220</v>
      </c>
      <c r="C123" s="14" t="s">
        <v>221</v>
      </c>
      <c r="D123" s="14" t="s">
        <v>2688</v>
      </c>
      <c r="E123" s="15" t="n">
        <v>5775</v>
      </c>
      <c r="F123" s="18" t="n">
        <v>13.8</v>
      </c>
      <c r="G123" s="14" t="n">
        <v>4</v>
      </c>
      <c r="H123" s="14" t="s">
        <v>322</v>
      </c>
      <c r="I123" s="14" t="s">
        <v>685</v>
      </c>
      <c r="J123" s="6" t="s">
        <v>2691</v>
      </c>
      <c r="K123" s="16" t="s">
        <v>2690</v>
      </c>
      <c r="L123" s="6" t="s">
        <v>726</v>
      </c>
      <c r="M123" s="14" t="s">
        <v>235</v>
      </c>
      <c r="N123" s="14" t="s">
        <v>686</v>
      </c>
      <c r="O123" s="14" t="s">
        <v>240</v>
      </c>
    </row>
    <row r="124" customFormat="false" ht="48" hidden="false" customHeight="true" outlineLevel="0" collapsed="false">
      <c r="A124" s="14" t="n">
        <v>122</v>
      </c>
      <c r="B124" s="14" t="s">
        <v>220</v>
      </c>
      <c r="C124" s="14" t="s">
        <v>221</v>
      </c>
      <c r="D124" s="14" t="s">
        <v>1155</v>
      </c>
      <c r="E124" s="15" t="n">
        <v>6563</v>
      </c>
      <c r="F124" s="18" t="n">
        <v>9</v>
      </c>
      <c r="G124" s="14" t="n">
        <v>4</v>
      </c>
      <c r="H124" s="14" t="s">
        <v>322</v>
      </c>
      <c r="I124" s="14" t="s">
        <v>330</v>
      </c>
      <c r="J124" s="6" t="s">
        <v>2858</v>
      </c>
      <c r="K124" s="16" t="s">
        <v>2857</v>
      </c>
      <c r="L124" s="6" t="s">
        <v>334</v>
      </c>
      <c r="M124" s="14" t="s">
        <v>235</v>
      </c>
      <c r="N124" s="14" t="s">
        <v>236</v>
      </c>
      <c r="O124" s="14" t="s">
        <v>240</v>
      </c>
    </row>
    <row r="125" customFormat="false" ht="48" hidden="false" customHeight="true" outlineLevel="0" collapsed="false">
      <c r="A125" s="14" t="n">
        <v>123</v>
      </c>
      <c r="B125" s="14" t="s">
        <v>220</v>
      </c>
      <c r="C125" s="14" t="s">
        <v>221</v>
      </c>
      <c r="D125" s="14" t="s">
        <v>2910</v>
      </c>
      <c r="E125" s="15" t="n">
        <v>8476</v>
      </c>
      <c r="F125" s="18" t="n">
        <v>7.4</v>
      </c>
      <c r="G125" s="14" t="n">
        <v>4</v>
      </c>
      <c r="H125" s="14" t="s">
        <v>635</v>
      </c>
      <c r="I125" s="14" t="s">
        <v>569</v>
      </c>
      <c r="J125" s="6" t="s">
        <v>2913</v>
      </c>
      <c r="K125" s="16" t="s">
        <v>2912</v>
      </c>
      <c r="L125" s="6" t="s">
        <v>2915</v>
      </c>
      <c r="M125" s="14" t="s">
        <v>235</v>
      </c>
      <c r="N125" s="14" t="s">
        <v>236</v>
      </c>
      <c r="O125" s="14" t="s">
        <v>240</v>
      </c>
    </row>
    <row r="126" customFormat="false" ht="48" hidden="false" customHeight="true" outlineLevel="0" collapsed="false">
      <c r="A126" s="14" t="n">
        <v>124</v>
      </c>
      <c r="B126" s="14" t="s">
        <v>374</v>
      </c>
      <c r="C126" s="14" t="s">
        <v>221</v>
      </c>
      <c r="D126" s="14" t="s">
        <v>2962</v>
      </c>
      <c r="E126" s="15" t="n">
        <v>6202</v>
      </c>
      <c r="F126" s="18" t="n">
        <v>5.5</v>
      </c>
      <c r="G126" s="14" t="n">
        <v>4</v>
      </c>
      <c r="H126" s="14" t="s">
        <v>635</v>
      </c>
      <c r="I126" s="14" t="s">
        <v>234</v>
      </c>
      <c r="J126" s="6" t="s">
        <v>2965</v>
      </c>
      <c r="K126" s="16" t="s">
        <v>2964</v>
      </c>
      <c r="L126" s="6" t="s">
        <v>503</v>
      </c>
      <c r="M126" s="14" t="s">
        <v>235</v>
      </c>
      <c r="N126" s="14" t="s">
        <v>236</v>
      </c>
      <c r="O126" s="14" t="s">
        <v>240</v>
      </c>
    </row>
    <row r="127" customFormat="false" ht="48" hidden="false" customHeight="true" outlineLevel="0" collapsed="false">
      <c r="A127" s="14" t="n">
        <v>125</v>
      </c>
      <c r="B127" s="14" t="s">
        <v>374</v>
      </c>
      <c r="C127" s="14" t="s">
        <v>221</v>
      </c>
      <c r="D127" s="14" t="s">
        <v>2994</v>
      </c>
      <c r="E127" s="15" t="n">
        <v>25813</v>
      </c>
      <c r="F127" s="18" t="n">
        <v>5.3</v>
      </c>
      <c r="G127" s="14" t="n">
        <v>3.9</v>
      </c>
      <c r="H127" s="14" t="s">
        <v>322</v>
      </c>
      <c r="I127" s="14" t="s">
        <v>884</v>
      </c>
      <c r="J127" s="6" t="s">
        <v>2997</v>
      </c>
      <c r="K127" s="16" t="s">
        <v>2996</v>
      </c>
      <c r="L127" s="6" t="s">
        <v>2221</v>
      </c>
      <c r="M127" s="14" t="s">
        <v>235</v>
      </c>
      <c r="N127" s="14" t="s">
        <v>236</v>
      </c>
      <c r="O127" s="14" t="s">
        <v>240</v>
      </c>
    </row>
    <row r="128" customFormat="false" ht="48" hidden="false" customHeight="true" outlineLevel="0" collapsed="false">
      <c r="A128" s="14" t="n">
        <v>126</v>
      </c>
      <c r="B128" s="14" t="s">
        <v>220</v>
      </c>
      <c r="C128" s="14" t="s">
        <v>221</v>
      </c>
      <c r="D128" s="14" t="s">
        <v>1353</v>
      </c>
      <c r="E128" s="15" t="n">
        <v>29285</v>
      </c>
      <c r="F128" s="18" t="n">
        <v>74.7</v>
      </c>
      <c r="G128" s="14" t="n">
        <v>3.6</v>
      </c>
      <c r="H128" s="14" t="s">
        <v>225</v>
      </c>
      <c r="I128" s="14" t="s">
        <v>255</v>
      </c>
      <c r="J128" s="6" t="s">
        <v>1355</v>
      </c>
      <c r="K128" s="16" t="s">
        <v>1354</v>
      </c>
      <c r="L128" s="6" t="s">
        <v>491</v>
      </c>
      <c r="M128" s="14" t="s">
        <v>235</v>
      </c>
      <c r="N128" s="14" t="s">
        <v>236</v>
      </c>
      <c r="O128" s="14" t="s">
        <v>240</v>
      </c>
    </row>
    <row r="129" customFormat="false" ht="48" hidden="false" customHeight="true" outlineLevel="0" collapsed="false">
      <c r="A129" s="14" t="n">
        <v>127</v>
      </c>
      <c r="B129" s="14" t="s">
        <v>374</v>
      </c>
      <c r="C129" s="14" t="s">
        <v>221</v>
      </c>
      <c r="D129" s="14" t="s">
        <v>2259</v>
      </c>
      <c r="E129" s="15" t="n">
        <v>26527</v>
      </c>
      <c r="F129" s="18" t="n">
        <v>27.5</v>
      </c>
      <c r="G129" s="14" t="n">
        <v>3.6</v>
      </c>
      <c r="H129" s="14" t="s">
        <v>225</v>
      </c>
      <c r="I129" s="14" t="s">
        <v>234</v>
      </c>
      <c r="J129" s="6" t="s">
        <v>2261</v>
      </c>
      <c r="K129" s="16" t="s">
        <v>2260</v>
      </c>
      <c r="L129" s="6" t="s">
        <v>2263</v>
      </c>
      <c r="M129" s="14" t="s">
        <v>235</v>
      </c>
      <c r="N129" s="14" t="s">
        <v>236</v>
      </c>
      <c r="O129" s="14" t="s">
        <v>240</v>
      </c>
    </row>
    <row r="130" customFormat="false" ht="48" hidden="false" customHeight="true" outlineLevel="0" collapsed="false">
      <c r="A130" s="14" t="n">
        <v>128</v>
      </c>
      <c r="B130" s="14" t="s">
        <v>247</v>
      </c>
      <c r="C130" s="14" t="s">
        <v>221</v>
      </c>
      <c r="D130" s="14" t="s">
        <v>3002</v>
      </c>
      <c r="E130" s="15" t="n">
        <v>18505</v>
      </c>
      <c r="F130" s="18" t="n">
        <v>7.6</v>
      </c>
      <c r="G130" s="14" t="n">
        <v>3.6</v>
      </c>
      <c r="H130" s="14" t="s">
        <v>225</v>
      </c>
      <c r="I130" s="14" t="s">
        <v>255</v>
      </c>
      <c r="J130" s="6" t="s">
        <v>3005</v>
      </c>
      <c r="K130" s="16" t="s">
        <v>3004</v>
      </c>
      <c r="L130" s="6" t="s">
        <v>534</v>
      </c>
      <c r="M130" s="14" t="s">
        <v>235</v>
      </c>
      <c r="N130" s="14" t="s">
        <v>236</v>
      </c>
      <c r="O130" s="14" t="s">
        <v>240</v>
      </c>
    </row>
    <row r="131" customFormat="false" ht="48" hidden="false" customHeight="true" outlineLevel="0" collapsed="false">
      <c r="A131" s="14" t="n">
        <v>129</v>
      </c>
      <c r="B131" s="14" t="s">
        <v>374</v>
      </c>
      <c r="C131" s="14" t="s">
        <v>221</v>
      </c>
      <c r="D131" s="14" t="s">
        <v>2994</v>
      </c>
      <c r="E131" s="15" t="n">
        <v>25813</v>
      </c>
      <c r="F131" s="18" t="n">
        <v>7.1</v>
      </c>
      <c r="G131" s="14" t="n">
        <v>3.6</v>
      </c>
      <c r="H131" s="14" t="s">
        <v>308</v>
      </c>
      <c r="I131" s="14" t="s">
        <v>3017</v>
      </c>
      <c r="J131" s="6" t="s">
        <v>3015</v>
      </c>
      <c r="K131" s="16" t="s">
        <v>3014</v>
      </c>
      <c r="L131" s="6" t="s">
        <v>491</v>
      </c>
      <c r="M131" s="14" t="s">
        <v>235</v>
      </c>
      <c r="N131" s="14" t="s">
        <v>236</v>
      </c>
      <c r="O131" s="14" t="s">
        <v>240</v>
      </c>
    </row>
    <row r="132" customFormat="false" ht="48" hidden="false" customHeight="true" outlineLevel="0" collapsed="false">
      <c r="A132" s="14" t="n">
        <v>130</v>
      </c>
      <c r="B132" s="14" t="s">
        <v>247</v>
      </c>
      <c r="C132" s="14" t="s">
        <v>221</v>
      </c>
      <c r="D132" s="14" t="s">
        <v>1631</v>
      </c>
      <c r="E132" s="15" t="n">
        <v>11000</v>
      </c>
      <c r="F132" s="18" t="n">
        <v>905</v>
      </c>
      <c r="G132" s="14" t="n">
        <v>3</v>
      </c>
      <c r="H132" s="14" t="s">
        <v>225</v>
      </c>
      <c r="I132" s="14" t="s">
        <v>1635</v>
      </c>
      <c r="J132" s="6" t="s">
        <v>1633</v>
      </c>
      <c r="K132" s="16" t="s">
        <v>1632</v>
      </c>
      <c r="L132" s="6" t="s">
        <v>1637</v>
      </c>
      <c r="M132" s="14" t="s">
        <v>235</v>
      </c>
      <c r="N132" s="14" t="s">
        <v>236</v>
      </c>
      <c r="O132" s="14" t="s">
        <v>240</v>
      </c>
    </row>
    <row r="133" customFormat="false" ht="48" hidden="false" customHeight="true" outlineLevel="0" collapsed="false">
      <c r="A133" s="14" t="n">
        <v>131</v>
      </c>
      <c r="B133" s="14" t="s">
        <v>247</v>
      </c>
      <c r="C133" s="14" t="s">
        <v>221</v>
      </c>
      <c r="D133" s="14" t="s">
        <v>1541</v>
      </c>
      <c r="E133" s="15" t="n">
        <v>5500</v>
      </c>
      <c r="F133" s="18" t="n">
        <v>822.9</v>
      </c>
      <c r="G133" s="14" t="n">
        <v>3</v>
      </c>
      <c r="H133" s="14" t="s">
        <v>635</v>
      </c>
      <c r="I133" s="14" t="s">
        <v>741</v>
      </c>
      <c r="J133" s="6" t="s">
        <v>1543</v>
      </c>
      <c r="K133" s="16" t="s">
        <v>1542</v>
      </c>
      <c r="L133" s="6" t="s">
        <v>1546</v>
      </c>
      <c r="M133" s="14" t="s">
        <v>235</v>
      </c>
      <c r="N133" s="14" t="s">
        <v>236</v>
      </c>
      <c r="O133" s="14" t="s">
        <v>240</v>
      </c>
    </row>
    <row r="134" customFormat="false" ht="48" hidden="false" customHeight="true" outlineLevel="0" collapsed="false">
      <c r="A134" s="14" t="n">
        <v>132</v>
      </c>
      <c r="B134" s="14" t="s">
        <v>247</v>
      </c>
      <c r="C134" s="14" t="s">
        <v>221</v>
      </c>
      <c r="D134" s="14" t="s">
        <v>1559</v>
      </c>
      <c r="E134" s="15" t="n">
        <v>22200</v>
      </c>
      <c r="F134" s="18" t="n">
        <v>652.1</v>
      </c>
      <c r="G134" s="14" t="n">
        <v>3</v>
      </c>
      <c r="H134" s="14" t="s">
        <v>338</v>
      </c>
      <c r="I134" s="14" t="s">
        <v>741</v>
      </c>
      <c r="J134" s="6" t="s">
        <v>1561</v>
      </c>
      <c r="K134" s="16" t="s">
        <v>1560</v>
      </c>
      <c r="L134" s="6" t="s">
        <v>1564</v>
      </c>
      <c r="M134" s="14" t="s">
        <v>235</v>
      </c>
      <c r="N134" s="14" t="s">
        <v>236</v>
      </c>
      <c r="O134" s="14" t="s">
        <v>240</v>
      </c>
    </row>
    <row r="135" customFormat="false" ht="48" hidden="false" customHeight="true" outlineLevel="0" collapsed="false">
      <c r="A135" s="14" t="n">
        <v>133</v>
      </c>
      <c r="B135" s="14" t="s">
        <v>247</v>
      </c>
      <c r="C135" s="14" t="s">
        <v>221</v>
      </c>
      <c r="D135" s="14" t="s">
        <v>1501</v>
      </c>
      <c r="E135" s="15" t="n">
        <v>20163</v>
      </c>
      <c r="F135" s="18" t="n">
        <v>183.8</v>
      </c>
      <c r="G135" s="14" t="n">
        <v>3</v>
      </c>
      <c r="H135" s="14" t="s">
        <v>322</v>
      </c>
      <c r="I135" s="14" t="s">
        <v>255</v>
      </c>
      <c r="J135" s="6" t="s">
        <v>1503</v>
      </c>
      <c r="K135" s="16" t="s">
        <v>1502</v>
      </c>
      <c r="L135" s="6" t="s">
        <v>534</v>
      </c>
      <c r="M135" s="14" t="s">
        <v>235</v>
      </c>
      <c r="N135" s="14" t="s">
        <v>236</v>
      </c>
      <c r="O135" s="14" t="s">
        <v>240</v>
      </c>
    </row>
    <row r="136" customFormat="false" ht="48" hidden="false" customHeight="true" outlineLevel="0" collapsed="false">
      <c r="A136" s="14" t="n">
        <v>134</v>
      </c>
      <c r="B136" s="14" t="s">
        <v>247</v>
      </c>
      <c r="C136" s="14" t="s">
        <v>442</v>
      </c>
      <c r="D136" s="14" t="s">
        <v>1585</v>
      </c>
      <c r="E136" s="15" t="n">
        <v>8600</v>
      </c>
      <c r="F136" s="18" t="n">
        <v>169.9</v>
      </c>
      <c r="G136" s="14" t="n">
        <v>3</v>
      </c>
      <c r="H136" s="14" t="s">
        <v>364</v>
      </c>
      <c r="I136" s="14" t="s">
        <v>255</v>
      </c>
      <c r="J136" s="6" t="s">
        <v>1587</v>
      </c>
      <c r="K136" s="16" t="s">
        <v>1586</v>
      </c>
      <c r="L136" s="6" t="s">
        <v>1590</v>
      </c>
      <c r="M136" s="14" t="s">
        <v>235</v>
      </c>
      <c r="N136" s="14" t="s">
        <v>236</v>
      </c>
      <c r="O136" s="14" t="s">
        <v>453</v>
      </c>
    </row>
    <row r="137" customFormat="false" ht="48" hidden="false" customHeight="true" outlineLevel="0" collapsed="false">
      <c r="A137" s="14" t="n">
        <v>135</v>
      </c>
      <c r="B137" s="14" t="s">
        <v>220</v>
      </c>
      <c r="C137" s="14" t="s">
        <v>221</v>
      </c>
      <c r="D137" s="14" t="s">
        <v>1459</v>
      </c>
      <c r="E137" s="15" t="n">
        <v>23817</v>
      </c>
      <c r="F137" s="18" t="n">
        <v>160.7</v>
      </c>
      <c r="G137" s="14" t="n">
        <v>3</v>
      </c>
      <c r="H137" s="14" t="s">
        <v>225</v>
      </c>
      <c r="I137" s="14" t="s">
        <v>330</v>
      </c>
      <c r="J137" s="6" t="s">
        <v>1462</v>
      </c>
      <c r="K137" s="16" t="s">
        <v>1461</v>
      </c>
      <c r="L137" s="6" t="s">
        <v>1117</v>
      </c>
      <c r="M137" s="14" t="s">
        <v>235</v>
      </c>
      <c r="N137" s="14" t="s">
        <v>236</v>
      </c>
      <c r="O137" s="14" t="s">
        <v>240</v>
      </c>
    </row>
    <row r="138" customFormat="false" ht="48" hidden="false" customHeight="true" outlineLevel="0" collapsed="false">
      <c r="A138" s="14" t="n">
        <v>136</v>
      </c>
      <c r="B138" s="14" t="s">
        <v>220</v>
      </c>
      <c r="C138" s="14" t="s">
        <v>221</v>
      </c>
      <c r="D138" s="14" t="s">
        <v>1515</v>
      </c>
      <c r="E138" s="15" t="n">
        <v>5356</v>
      </c>
      <c r="F138" s="18" t="n">
        <v>138.4</v>
      </c>
      <c r="G138" s="14" t="n">
        <v>3</v>
      </c>
      <c r="H138" s="14" t="s">
        <v>308</v>
      </c>
      <c r="I138" s="14" t="s">
        <v>255</v>
      </c>
      <c r="J138" s="6" t="s">
        <v>1518</v>
      </c>
      <c r="K138" s="16" t="s">
        <v>1517</v>
      </c>
      <c r="L138" s="6" t="s">
        <v>259</v>
      </c>
      <c r="M138" s="14" t="s">
        <v>316</v>
      </c>
      <c r="N138" s="14" t="s">
        <v>236</v>
      </c>
      <c r="O138" s="14" t="s">
        <v>240</v>
      </c>
    </row>
    <row r="139" customFormat="false" ht="48" hidden="false" customHeight="true" outlineLevel="0" collapsed="false">
      <c r="A139" s="14" t="n">
        <v>137</v>
      </c>
      <c r="B139" s="14" t="s">
        <v>247</v>
      </c>
      <c r="C139" s="14" t="s">
        <v>221</v>
      </c>
      <c r="D139" s="14" t="s">
        <v>1532</v>
      </c>
      <c r="E139" s="15" t="n">
        <v>11100</v>
      </c>
      <c r="F139" s="18" t="n">
        <v>135.6</v>
      </c>
      <c r="G139" s="14" t="n">
        <v>3</v>
      </c>
      <c r="H139" s="14" t="s">
        <v>308</v>
      </c>
      <c r="I139" s="14" t="s">
        <v>685</v>
      </c>
      <c r="J139" s="6" t="s">
        <v>1534</v>
      </c>
      <c r="K139" s="16" t="s">
        <v>1533</v>
      </c>
      <c r="L139" s="6" t="s">
        <v>1537</v>
      </c>
      <c r="M139" s="14" t="s">
        <v>235</v>
      </c>
      <c r="N139" s="14" t="s">
        <v>686</v>
      </c>
      <c r="O139" s="14" t="s">
        <v>240</v>
      </c>
    </row>
    <row r="140" customFormat="false" ht="48" hidden="false" customHeight="true" outlineLevel="0" collapsed="false">
      <c r="A140" s="14" t="n">
        <v>138</v>
      </c>
      <c r="B140" s="14" t="s">
        <v>247</v>
      </c>
      <c r="C140" s="14" t="s">
        <v>442</v>
      </c>
      <c r="D140" s="14" t="s">
        <v>1467</v>
      </c>
      <c r="E140" s="15" t="n">
        <v>27447</v>
      </c>
      <c r="F140" s="18" t="n">
        <v>122.1</v>
      </c>
      <c r="G140" s="14" t="n">
        <v>3</v>
      </c>
      <c r="H140" s="14" t="s">
        <v>225</v>
      </c>
      <c r="I140" s="14" t="s">
        <v>330</v>
      </c>
      <c r="J140" s="6" t="s">
        <v>1470</v>
      </c>
      <c r="K140" s="16" t="s">
        <v>1469</v>
      </c>
      <c r="L140" s="6" t="s">
        <v>1117</v>
      </c>
      <c r="M140" s="14" t="s">
        <v>235</v>
      </c>
      <c r="N140" s="14" t="s">
        <v>236</v>
      </c>
      <c r="O140" s="14" t="s">
        <v>453</v>
      </c>
    </row>
    <row r="141" customFormat="false" ht="48" hidden="false" customHeight="true" outlineLevel="0" collapsed="false">
      <c r="A141" s="14" t="n">
        <v>139</v>
      </c>
      <c r="B141" s="14" t="s">
        <v>220</v>
      </c>
      <c r="C141" s="14" t="s">
        <v>221</v>
      </c>
      <c r="D141" s="14" t="s">
        <v>1148</v>
      </c>
      <c r="E141" s="15" t="n">
        <v>6310</v>
      </c>
      <c r="F141" s="18" t="n">
        <v>99.9</v>
      </c>
      <c r="G141" s="14" t="n">
        <v>3</v>
      </c>
      <c r="H141" s="14" t="s">
        <v>308</v>
      </c>
      <c r="I141" s="14" t="s">
        <v>685</v>
      </c>
      <c r="J141" s="6" t="s">
        <v>1509</v>
      </c>
      <c r="K141" s="16" t="s">
        <v>1508</v>
      </c>
      <c r="L141" s="6" t="s">
        <v>726</v>
      </c>
      <c r="M141" s="14" t="s">
        <v>235</v>
      </c>
      <c r="N141" s="14" t="s">
        <v>686</v>
      </c>
      <c r="O141" s="14" t="s">
        <v>240</v>
      </c>
    </row>
    <row r="142" customFormat="false" ht="48" hidden="false" customHeight="true" outlineLevel="0" collapsed="false">
      <c r="A142" s="14" t="n">
        <v>140</v>
      </c>
      <c r="B142" s="14" t="s">
        <v>247</v>
      </c>
      <c r="C142" s="14" t="s">
        <v>442</v>
      </c>
      <c r="D142" s="14" t="s">
        <v>1595</v>
      </c>
      <c r="E142" s="15" t="n">
        <v>5400</v>
      </c>
      <c r="F142" s="18" t="n">
        <v>81.8</v>
      </c>
      <c r="G142" s="14" t="n">
        <v>3</v>
      </c>
      <c r="H142" s="14" t="s">
        <v>322</v>
      </c>
      <c r="I142" s="14" t="s">
        <v>906</v>
      </c>
      <c r="J142" s="6" t="s">
        <v>1597</v>
      </c>
      <c r="K142" s="16" t="s">
        <v>1596</v>
      </c>
      <c r="L142" s="6" t="s">
        <v>1601</v>
      </c>
      <c r="M142" s="14" t="s">
        <v>235</v>
      </c>
      <c r="N142" s="14" t="s">
        <v>236</v>
      </c>
      <c r="O142" s="14" t="s">
        <v>453</v>
      </c>
    </row>
    <row r="143" customFormat="false" ht="48" hidden="false" customHeight="true" outlineLevel="0" collapsed="false">
      <c r="A143" s="14" t="n">
        <v>141</v>
      </c>
      <c r="B143" s="14" t="s">
        <v>220</v>
      </c>
      <c r="C143" s="14" t="s">
        <v>221</v>
      </c>
      <c r="D143" s="14" t="s">
        <v>1475</v>
      </c>
      <c r="E143" s="15" t="n">
        <v>18320</v>
      </c>
      <c r="F143" s="18" t="n">
        <v>78.1</v>
      </c>
      <c r="G143" s="14" t="n">
        <v>3</v>
      </c>
      <c r="H143" s="14" t="s">
        <v>225</v>
      </c>
      <c r="I143" s="14" t="s">
        <v>255</v>
      </c>
      <c r="J143" s="6" t="s">
        <v>1478</v>
      </c>
      <c r="K143" s="16" t="s">
        <v>1477</v>
      </c>
      <c r="L143" s="6" t="s">
        <v>259</v>
      </c>
      <c r="M143" s="14" t="s">
        <v>235</v>
      </c>
      <c r="N143" s="14" t="s">
        <v>236</v>
      </c>
      <c r="O143" s="14" t="s">
        <v>453</v>
      </c>
    </row>
    <row r="144" customFormat="false" ht="48" hidden="false" customHeight="true" outlineLevel="0" collapsed="false">
      <c r="A144" s="14" t="n">
        <v>142</v>
      </c>
      <c r="B144" s="14" t="s">
        <v>247</v>
      </c>
      <c r="C144" s="14" t="s">
        <v>221</v>
      </c>
      <c r="D144" s="14" t="s">
        <v>1605</v>
      </c>
      <c r="E144" s="15" t="n">
        <v>7300</v>
      </c>
      <c r="F144" s="18" t="n">
        <v>69</v>
      </c>
      <c r="G144" s="14" t="n">
        <v>3</v>
      </c>
      <c r="H144" s="14" t="s">
        <v>225</v>
      </c>
      <c r="I144" s="14" t="s">
        <v>916</v>
      </c>
      <c r="J144" s="6" t="s">
        <v>1607</v>
      </c>
      <c r="K144" s="16" t="s">
        <v>1606</v>
      </c>
      <c r="L144" s="6" t="s">
        <v>1610</v>
      </c>
      <c r="M144" s="14" t="s">
        <v>466</v>
      </c>
      <c r="N144" s="14" t="s">
        <v>236</v>
      </c>
      <c r="O144" s="14" t="s">
        <v>240</v>
      </c>
    </row>
    <row r="145" customFormat="false" ht="48" hidden="false" customHeight="true" outlineLevel="0" collapsed="false">
      <c r="A145" s="14" t="n">
        <v>143</v>
      </c>
      <c r="B145" s="14" t="s">
        <v>247</v>
      </c>
      <c r="C145" s="14" t="s">
        <v>221</v>
      </c>
      <c r="D145" s="14" t="s">
        <v>1551</v>
      </c>
      <c r="E145" s="15" t="n">
        <v>12700</v>
      </c>
      <c r="F145" s="18" t="n">
        <v>66.3</v>
      </c>
      <c r="G145" s="14" t="n">
        <v>3</v>
      </c>
      <c r="H145" s="14" t="s">
        <v>225</v>
      </c>
      <c r="I145" s="14" t="s">
        <v>255</v>
      </c>
      <c r="J145" s="6" t="s">
        <v>1553</v>
      </c>
      <c r="K145" s="16" t="s">
        <v>1552</v>
      </c>
      <c r="L145" s="6" t="s">
        <v>1556</v>
      </c>
      <c r="M145" s="14" t="s">
        <v>466</v>
      </c>
      <c r="N145" s="14" t="s">
        <v>236</v>
      </c>
      <c r="O145" s="14" t="s">
        <v>240</v>
      </c>
    </row>
    <row r="146" customFormat="false" ht="48" hidden="false" customHeight="true" outlineLevel="0" collapsed="false">
      <c r="A146" s="14" t="n">
        <v>144</v>
      </c>
      <c r="B146" s="14" t="s">
        <v>247</v>
      </c>
      <c r="C146" s="14" t="s">
        <v>221</v>
      </c>
      <c r="D146" s="14" t="s">
        <v>1577</v>
      </c>
      <c r="E146" s="15" t="n">
        <v>13000</v>
      </c>
      <c r="F146" s="18" t="n">
        <v>64</v>
      </c>
      <c r="G146" s="14" t="n">
        <v>3</v>
      </c>
      <c r="H146" s="14" t="s">
        <v>338</v>
      </c>
      <c r="I146" s="14" t="s">
        <v>906</v>
      </c>
      <c r="J146" s="6" t="s">
        <v>1579</v>
      </c>
      <c r="K146" s="16" t="s">
        <v>1578</v>
      </c>
      <c r="L146" s="6" t="s">
        <v>1582</v>
      </c>
      <c r="M146" s="14" t="s">
        <v>235</v>
      </c>
      <c r="N146" s="14" t="s">
        <v>236</v>
      </c>
      <c r="O146" s="14" t="s">
        <v>240</v>
      </c>
    </row>
    <row r="147" customFormat="false" ht="48" hidden="false" customHeight="true" outlineLevel="0" collapsed="false">
      <c r="A147" s="14" t="n">
        <v>145</v>
      </c>
      <c r="B147" s="14" t="s">
        <v>247</v>
      </c>
      <c r="C147" s="14" t="s">
        <v>221</v>
      </c>
      <c r="D147" s="14" t="s">
        <v>1615</v>
      </c>
      <c r="E147" s="15" t="n">
        <v>24900</v>
      </c>
      <c r="F147" s="18" t="n">
        <v>62.7</v>
      </c>
      <c r="G147" s="14" t="n">
        <v>3</v>
      </c>
      <c r="H147" s="14" t="s">
        <v>322</v>
      </c>
      <c r="I147" s="14" t="s">
        <v>255</v>
      </c>
      <c r="J147" s="6" t="s">
        <v>1617</v>
      </c>
      <c r="K147" s="16" t="s">
        <v>1616</v>
      </c>
      <c r="L147" s="6" t="s">
        <v>1620</v>
      </c>
      <c r="M147" s="14" t="s">
        <v>235</v>
      </c>
      <c r="N147" s="14" t="s">
        <v>236</v>
      </c>
      <c r="O147" s="14" t="s">
        <v>240</v>
      </c>
    </row>
    <row r="148" customFormat="false" ht="48" hidden="false" customHeight="true" outlineLevel="0" collapsed="false">
      <c r="A148" s="14" t="n">
        <v>146</v>
      </c>
      <c r="B148" s="14" t="s">
        <v>247</v>
      </c>
      <c r="C148" s="14" t="s">
        <v>221</v>
      </c>
      <c r="D148" s="14" t="s">
        <v>1523</v>
      </c>
      <c r="E148" s="15" t="n">
        <v>7900</v>
      </c>
      <c r="F148" s="18" t="n">
        <v>60.4</v>
      </c>
      <c r="G148" s="14" t="n">
        <v>3</v>
      </c>
      <c r="H148" s="14" t="s">
        <v>338</v>
      </c>
      <c r="I148" s="14" t="s">
        <v>330</v>
      </c>
      <c r="J148" s="6" t="s">
        <v>1525</v>
      </c>
      <c r="K148" s="16" t="s">
        <v>1524</v>
      </c>
      <c r="L148" s="6" t="s">
        <v>1528</v>
      </c>
      <c r="M148" s="14" t="s">
        <v>235</v>
      </c>
      <c r="N148" s="14" t="s">
        <v>236</v>
      </c>
      <c r="O148" s="14" t="s">
        <v>240</v>
      </c>
    </row>
    <row r="149" customFormat="false" ht="48" hidden="false" customHeight="true" outlineLevel="0" collapsed="false">
      <c r="A149" s="14" t="n">
        <v>147</v>
      </c>
      <c r="B149" s="14" t="s">
        <v>220</v>
      </c>
      <c r="C149" s="14" t="s">
        <v>221</v>
      </c>
      <c r="D149" s="14" t="s">
        <v>1475</v>
      </c>
      <c r="E149" s="15" t="n">
        <v>18320</v>
      </c>
      <c r="F149" s="18" t="n">
        <v>57.6</v>
      </c>
      <c r="G149" s="14" t="n">
        <v>3</v>
      </c>
      <c r="H149" s="14" t="s">
        <v>338</v>
      </c>
      <c r="I149" s="14" t="s">
        <v>741</v>
      </c>
      <c r="J149" s="6" t="s">
        <v>1485</v>
      </c>
      <c r="K149" s="16" t="s">
        <v>1484</v>
      </c>
      <c r="L149" s="6" t="s">
        <v>1487</v>
      </c>
      <c r="M149" s="14" t="s">
        <v>673</v>
      </c>
      <c r="N149" s="14" t="s">
        <v>236</v>
      </c>
      <c r="O149" s="14" t="s">
        <v>453</v>
      </c>
    </row>
    <row r="150" customFormat="false" ht="48" hidden="false" customHeight="true" outlineLevel="0" collapsed="false">
      <c r="A150" s="14" t="n">
        <v>148</v>
      </c>
      <c r="B150" s="14" t="s">
        <v>247</v>
      </c>
      <c r="C150" s="14" t="s">
        <v>221</v>
      </c>
      <c r="D150" s="14" t="s">
        <v>1623</v>
      </c>
      <c r="E150" s="15" t="n">
        <v>19200</v>
      </c>
      <c r="F150" s="18" t="n">
        <v>57.5</v>
      </c>
      <c r="G150" s="14" t="n">
        <v>3</v>
      </c>
      <c r="H150" s="14" t="s">
        <v>225</v>
      </c>
      <c r="I150" s="14" t="s">
        <v>685</v>
      </c>
      <c r="J150" s="6" t="s">
        <v>1625</v>
      </c>
      <c r="K150" s="16" t="s">
        <v>1624</v>
      </c>
      <c r="L150" s="6" t="s">
        <v>1628</v>
      </c>
      <c r="M150" s="14" t="s">
        <v>235</v>
      </c>
      <c r="N150" s="14" t="s">
        <v>686</v>
      </c>
      <c r="O150" s="14" t="s">
        <v>240</v>
      </c>
    </row>
    <row r="151" customFormat="false" ht="48" hidden="false" customHeight="true" outlineLevel="0" collapsed="false">
      <c r="A151" s="14" t="n">
        <v>149</v>
      </c>
      <c r="B151" s="14" t="s">
        <v>247</v>
      </c>
      <c r="C151" s="14" t="s">
        <v>221</v>
      </c>
      <c r="D151" s="14" t="s">
        <v>1674</v>
      </c>
      <c r="E151" s="15" t="n">
        <v>18000</v>
      </c>
      <c r="F151" s="18" t="n">
        <v>48.5</v>
      </c>
      <c r="G151" s="14" t="n">
        <v>3</v>
      </c>
      <c r="H151" s="14" t="s">
        <v>322</v>
      </c>
      <c r="I151" s="14" t="s">
        <v>255</v>
      </c>
      <c r="J151" s="6" t="s">
        <v>1676</v>
      </c>
      <c r="K151" s="16" t="s">
        <v>1675</v>
      </c>
      <c r="L151" s="6" t="s">
        <v>1678</v>
      </c>
      <c r="M151" s="14" t="s">
        <v>235</v>
      </c>
      <c r="N151" s="14" t="s">
        <v>236</v>
      </c>
      <c r="O151" s="14" t="s">
        <v>240</v>
      </c>
    </row>
    <row r="152" customFormat="false" ht="48" hidden="false" customHeight="true" outlineLevel="0" collapsed="false">
      <c r="A152" s="14" t="n">
        <v>150</v>
      </c>
      <c r="B152" s="14" t="s">
        <v>247</v>
      </c>
      <c r="C152" s="14" t="s">
        <v>221</v>
      </c>
      <c r="D152" s="14" t="s">
        <v>626</v>
      </c>
      <c r="E152" s="15" t="n">
        <v>26100</v>
      </c>
      <c r="F152" s="18" t="n">
        <v>46.9</v>
      </c>
      <c r="G152" s="14" t="n">
        <v>3</v>
      </c>
      <c r="H152" s="14" t="s">
        <v>375</v>
      </c>
      <c r="I152" s="14" t="s">
        <v>330</v>
      </c>
      <c r="J152" s="6" t="s">
        <v>1734</v>
      </c>
      <c r="K152" s="16" t="s">
        <v>1733</v>
      </c>
      <c r="L152" s="6" t="s">
        <v>1736</v>
      </c>
      <c r="M152" s="14" t="s">
        <v>235</v>
      </c>
      <c r="N152" s="14" t="s">
        <v>236</v>
      </c>
      <c r="O152" s="14" t="s">
        <v>240</v>
      </c>
    </row>
    <row r="153" customFormat="false" ht="48" hidden="false" customHeight="true" outlineLevel="0" collapsed="false">
      <c r="A153" s="14" t="n">
        <v>151</v>
      </c>
      <c r="B153" s="14" t="s">
        <v>247</v>
      </c>
      <c r="C153" s="14" t="s">
        <v>221</v>
      </c>
      <c r="D153" s="14" t="s">
        <v>1924</v>
      </c>
      <c r="E153" s="15" t="n">
        <v>14900</v>
      </c>
      <c r="F153" s="18" t="n">
        <v>39.7</v>
      </c>
      <c r="G153" s="14" t="n">
        <v>3</v>
      </c>
      <c r="H153" s="14" t="s">
        <v>338</v>
      </c>
      <c r="I153" s="14" t="s">
        <v>513</v>
      </c>
      <c r="J153" s="6" t="s">
        <v>1926</v>
      </c>
      <c r="K153" s="16" t="s">
        <v>1925</v>
      </c>
      <c r="L153" s="6" t="s">
        <v>1928</v>
      </c>
      <c r="M153" s="14" t="s">
        <v>235</v>
      </c>
      <c r="N153" s="14" t="s">
        <v>236</v>
      </c>
      <c r="O153" s="14" t="s">
        <v>240</v>
      </c>
    </row>
    <row r="154" customFormat="false" ht="48" hidden="false" customHeight="true" outlineLevel="0" collapsed="false">
      <c r="A154" s="14" t="n">
        <v>152</v>
      </c>
      <c r="B154" s="14" t="s">
        <v>220</v>
      </c>
      <c r="C154" s="14" t="s">
        <v>221</v>
      </c>
      <c r="D154" s="14" t="s">
        <v>1949</v>
      </c>
      <c r="E154" s="15" t="n">
        <v>12627</v>
      </c>
      <c r="F154" s="18" t="n">
        <v>38.8</v>
      </c>
      <c r="G154" s="14" t="n">
        <v>3</v>
      </c>
      <c r="H154" s="14" t="s">
        <v>264</v>
      </c>
      <c r="I154" s="14" t="s">
        <v>330</v>
      </c>
      <c r="J154" s="6" t="s">
        <v>1951</v>
      </c>
      <c r="K154" s="16" t="s">
        <v>1950</v>
      </c>
      <c r="L154" s="6" t="s">
        <v>415</v>
      </c>
      <c r="M154" s="14" t="s">
        <v>235</v>
      </c>
      <c r="N154" s="14" t="s">
        <v>236</v>
      </c>
      <c r="O154" s="14" t="s">
        <v>240</v>
      </c>
    </row>
    <row r="155" customFormat="false" ht="48" hidden="false" customHeight="true" outlineLevel="0" collapsed="false">
      <c r="A155" s="14" t="n">
        <v>153</v>
      </c>
      <c r="B155" s="14" t="s">
        <v>247</v>
      </c>
      <c r="C155" s="14" t="s">
        <v>221</v>
      </c>
      <c r="D155" s="14" t="s">
        <v>2202</v>
      </c>
      <c r="E155" s="15" t="n">
        <v>6200</v>
      </c>
      <c r="F155" s="18" t="n">
        <v>33.3</v>
      </c>
      <c r="G155" s="14" t="n">
        <v>3</v>
      </c>
      <c r="H155" s="14" t="s">
        <v>375</v>
      </c>
      <c r="I155" s="14" t="s">
        <v>255</v>
      </c>
      <c r="J155" s="6" t="s">
        <v>2204</v>
      </c>
      <c r="K155" s="16" t="s">
        <v>2203</v>
      </c>
      <c r="L155" s="6" t="s">
        <v>2206</v>
      </c>
      <c r="M155" s="14" t="s">
        <v>235</v>
      </c>
      <c r="N155" s="14" t="s">
        <v>236</v>
      </c>
      <c r="O155" s="14" t="s">
        <v>240</v>
      </c>
    </row>
    <row r="156" customFormat="false" ht="48" hidden="false" customHeight="true" outlineLevel="0" collapsed="false">
      <c r="A156" s="14" t="n">
        <v>154</v>
      </c>
      <c r="B156" s="14" t="s">
        <v>247</v>
      </c>
      <c r="C156" s="14" t="s">
        <v>442</v>
      </c>
      <c r="D156" s="14" t="s">
        <v>2303</v>
      </c>
      <c r="E156" s="15" t="n">
        <v>11600</v>
      </c>
      <c r="F156" s="18" t="n">
        <v>31.4</v>
      </c>
      <c r="G156" s="14" t="n">
        <v>3</v>
      </c>
      <c r="H156" s="14" t="s">
        <v>322</v>
      </c>
      <c r="I156" s="14" t="s">
        <v>330</v>
      </c>
      <c r="J156" s="6" t="s">
        <v>2305</v>
      </c>
      <c r="K156" s="16" t="s">
        <v>2304</v>
      </c>
      <c r="L156" s="6" t="s">
        <v>2307</v>
      </c>
      <c r="M156" s="14" t="s">
        <v>235</v>
      </c>
      <c r="N156" s="14" t="s">
        <v>236</v>
      </c>
      <c r="O156" s="14" t="s">
        <v>453</v>
      </c>
    </row>
    <row r="157" customFormat="false" ht="48" hidden="false" customHeight="true" outlineLevel="0" collapsed="false">
      <c r="A157" s="14" t="n">
        <v>155</v>
      </c>
      <c r="B157" s="14" t="s">
        <v>247</v>
      </c>
      <c r="C157" s="14" t="s">
        <v>221</v>
      </c>
      <c r="D157" s="14" t="s">
        <v>2349</v>
      </c>
      <c r="E157" s="15" t="n">
        <v>12600</v>
      </c>
      <c r="F157" s="18" t="n">
        <v>30.5</v>
      </c>
      <c r="G157" s="14" t="n">
        <v>3</v>
      </c>
      <c r="H157" s="14" t="s">
        <v>225</v>
      </c>
      <c r="I157" s="14" t="s">
        <v>255</v>
      </c>
      <c r="J157" s="6" t="s">
        <v>2351</v>
      </c>
      <c r="K157" s="16" t="s">
        <v>2350</v>
      </c>
      <c r="L157" s="6" t="s">
        <v>2353</v>
      </c>
      <c r="M157" s="14" t="s">
        <v>235</v>
      </c>
      <c r="N157" s="14" t="s">
        <v>236</v>
      </c>
      <c r="O157" s="14" t="s">
        <v>240</v>
      </c>
    </row>
    <row r="158" customFormat="false" ht="48" hidden="false" customHeight="true" outlineLevel="0" collapsed="false">
      <c r="A158" s="14" t="n">
        <v>156</v>
      </c>
      <c r="B158" s="14" t="s">
        <v>247</v>
      </c>
      <c r="C158" s="14" t="s">
        <v>442</v>
      </c>
      <c r="D158" s="14" t="s">
        <v>1585</v>
      </c>
      <c r="E158" s="15" t="n">
        <v>8600</v>
      </c>
      <c r="F158" s="18" t="n">
        <v>25.8</v>
      </c>
      <c r="G158" s="14" t="n">
        <v>3</v>
      </c>
      <c r="H158" s="14" t="s">
        <v>338</v>
      </c>
      <c r="I158" s="14" t="s">
        <v>255</v>
      </c>
      <c r="J158" s="6" t="s">
        <v>2550</v>
      </c>
      <c r="K158" s="16" t="s">
        <v>2549</v>
      </c>
      <c r="L158" s="6" t="s">
        <v>2553</v>
      </c>
      <c r="M158" s="14" t="s">
        <v>235</v>
      </c>
      <c r="N158" s="14" t="s">
        <v>236</v>
      </c>
      <c r="O158" s="14" t="s">
        <v>453</v>
      </c>
    </row>
    <row r="159" customFormat="false" ht="48" hidden="false" customHeight="true" outlineLevel="0" collapsed="false">
      <c r="A159" s="14" t="n">
        <v>157</v>
      </c>
      <c r="B159" s="14" t="s">
        <v>247</v>
      </c>
      <c r="C159" s="14" t="s">
        <v>221</v>
      </c>
      <c r="D159" s="14" t="s">
        <v>2619</v>
      </c>
      <c r="E159" s="15" t="n">
        <v>11800</v>
      </c>
      <c r="F159" s="18" t="n">
        <v>23.5</v>
      </c>
      <c r="G159" s="14" t="n">
        <v>3</v>
      </c>
      <c r="H159" s="14" t="s">
        <v>225</v>
      </c>
      <c r="I159" s="14" t="s">
        <v>1495</v>
      </c>
      <c r="J159" s="6" t="s">
        <v>2621</v>
      </c>
      <c r="K159" s="16" t="s">
        <v>2620</v>
      </c>
      <c r="L159" s="6" t="s">
        <v>2624</v>
      </c>
      <c r="M159" s="14" t="s">
        <v>273</v>
      </c>
      <c r="N159" s="14" t="s">
        <v>274</v>
      </c>
      <c r="O159" s="14" t="s">
        <v>240</v>
      </c>
    </row>
    <row r="160" customFormat="false" ht="48" hidden="false" customHeight="true" outlineLevel="0" collapsed="false">
      <c r="A160" s="14" t="n">
        <v>158</v>
      </c>
      <c r="B160" s="14" t="s">
        <v>374</v>
      </c>
      <c r="C160" s="14" t="s">
        <v>221</v>
      </c>
      <c r="D160" s="14" t="s">
        <v>2634</v>
      </c>
      <c r="E160" s="15" t="n">
        <v>18585</v>
      </c>
      <c r="F160" s="18" t="n">
        <v>23.3</v>
      </c>
      <c r="G160" s="14" t="n">
        <v>3</v>
      </c>
      <c r="H160" s="14" t="s">
        <v>225</v>
      </c>
      <c r="I160" s="14" t="s">
        <v>255</v>
      </c>
      <c r="J160" s="6" t="s">
        <v>2637</v>
      </c>
      <c r="K160" s="16" t="s">
        <v>2636</v>
      </c>
      <c r="L160" s="6" t="s">
        <v>259</v>
      </c>
      <c r="M160" s="14" t="s">
        <v>235</v>
      </c>
      <c r="N160" s="14" t="s">
        <v>236</v>
      </c>
      <c r="O160" s="14" t="s">
        <v>240</v>
      </c>
    </row>
    <row r="161" customFormat="false" ht="48" hidden="false" customHeight="true" outlineLevel="0" collapsed="false">
      <c r="A161" s="14" t="n">
        <v>159</v>
      </c>
      <c r="B161" s="14" t="s">
        <v>220</v>
      </c>
      <c r="C161" s="14" t="s">
        <v>221</v>
      </c>
      <c r="D161" s="14" t="s">
        <v>1093</v>
      </c>
      <c r="E161" s="15" t="n">
        <v>17119</v>
      </c>
      <c r="F161" s="18" t="n">
        <v>18.8</v>
      </c>
      <c r="G161" s="14" t="n">
        <v>3</v>
      </c>
      <c r="H161" s="14" t="s">
        <v>322</v>
      </c>
      <c r="I161" s="14" t="s">
        <v>330</v>
      </c>
      <c r="J161" s="6" t="s">
        <v>2824</v>
      </c>
      <c r="K161" s="16" t="s">
        <v>2823</v>
      </c>
      <c r="L161" s="6" t="s">
        <v>415</v>
      </c>
      <c r="M161" s="14" t="s">
        <v>235</v>
      </c>
      <c r="N161" s="14" t="s">
        <v>236</v>
      </c>
      <c r="O161" s="14" t="s">
        <v>240</v>
      </c>
    </row>
    <row r="162" customFormat="false" ht="48" hidden="false" customHeight="true" outlineLevel="0" collapsed="false">
      <c r="A162" s="14" t="n">
        <v>160</v>
      </c>
      <c r="B162" s="14" t="s">
        <v>220</v>
      </c>
      <c r="C162" s="14" t="s">
        <v>221</v>
      </c>
      <c r="D162" s="14" t="s">
        <v>2851</v>
      </c>
      <c r="E162" s="15" t="n">
        <v>16637</v>
      </c>
      <c r="F162" s="18" t="n">
        <v>17.6</v>
      </c>
      <c r="G162" s="14" t="n">
        <v>3</v>
      </c>
      <c r="H162" s="14" t="s">
        <v>322</v>
      </c>
      <c r="I162" s="14" t="s">
        <v>255</v>
      </c>
      <c r="J162" s="6" t="s">
        <v>2853</v>
      </c>
      <c r="K162" s="16" t="s">
        <v>2852</v>
      </c>
      <c r="L162" s="6" t="s">
        <v>259</v>
      </c>
      <c r="M162" s="14" t="s">
        <v>235</v>
      </c>
      <c r="N162" s="14" t="s">
        <v>236</v>
      </c>
      <c r="O162" s="14" t="s">
        <v>240</v>
      </c>
    </row>
    <row r="163" customFormat="false" ht="48" hidden="false" customHeight="true" outlineLevel="0" collapsed="false">
      <c r="A163" s="14" t="n">
        <v>161</v>
      </c>
      <c r="B163" s="14" t="s">
        <v>247</v>
      </c>
      <c r="C163" s="14" t="s">
        <v>221</v>
      </c>
      <c r="D163" s="14" t="s">
        <v>2904</v>
      </c>
      <c r="E163" s="15" t="n">
        <v>8795</v>
      </c>
      <c r="F163" s="18" t="n">
        <v>16.1</v>
      </c>
      <c r="G163" s="14" t="n">
        <v>3</v>
      </c>
      <c r="H163" s="14" t="s">
        <v>338</v>
      </c>
      <c r="I163" s="14" t="s">
        <v>234</v>
      </c>
      <c r="J163" s="6" t="s">
        <v>2906</v>
      </c>
      <c r="K163" s="16" t="s">
        <v>2905</v>
      </c>
      <c r="L163" s="6" t="s">
        <v>241</v>
      </c>
      <c r="M163" s="14" t="s">
        <v>235</v>
      </c>
      <c r="N163" s="14" t="s">
        <v>236</v>
      </c>
      <c r="O163" s="14" t="s">
        <v>240</v>
      </c>
    </row>
    <row r="164" customFormat="false" ht="48" hidden="false" customHeight="true" outlineLevel="0" collapsed="false">
      <c r="A164" s="14" t="n">
        <v>162</v>
      </c>
      <c r="B164" s="14" t="s">
        <v>220</v>
      </c>
      <c r="C164" s="14" t="s">
        <v>221</v>
      </c>
      <c r="D164" s="14" t="s">
        <v>2342</v>
      </c>
      <c r="E164" s="15" t="n">
        <v>27662</v>
      </c>
      <c r="F164" s="18" t="n">
        <v>11.5</v>
      </c>
      <c r="G164" s="14" t="n">
        <v>3</v>
      </c>
      <c r="H164" s="14" t="s">
        <v>322</v>
      </c>
      <c r="I164" s="14" t="s">
        <v>884</v>
      </c>
      <c r="J164" s="6" t="s">
        <v>3026</v>
      </c>
      <c r="K164" s="16" t="s">
        <v>3025</v>
      </c>
      <c r="L164" s="6" t="s">
        <v>1163</v>
      </c>
      <c r="M164" s="14" t="s">
        <v>917</v>
      </c>
      <c r="N164" s="14" t="s">
        <v>236</v>
      </c>
      <c r="O164" s="14" t="s">
        <v>240</v>
      </c>
    </row>
    <row r="165" customFormat="false" ht="48" hidden="false" customHeight="true" outlineLevel="0" collapsed="false">
      <c r="A165" s="14" t="n">
        <v>163</v>
      </c>
      <c r="B165" s="14" t="s">
        <v>247</v>
      </c>
      <c r="C165" s="14" t="s">
        <v>221</v>
      </c>
      <c r="D165" s="14" t="s">
        <v>1615</v>
      </c>
      <c r="E165" s="15" t="n">
        <v>24903</v>
      </c>
      <c r="F165" s="18" t="n">
        <v>6.9</v>
      </c>
      <c r="G165" s="14" t="n">
        <v>3</v>
      </c>
      <c r="H165" s="14" t="s">
        <v>338</v>
      </c>
      <c r="I165" s="14" t="s">
        <v>685</v>
      </c>
      <c r="J165" s="6" t="s">
        <v>3094</v>
      </c>
      <c r="K165" s="16" t="s">
        <v>3093</v>
      </c>
      <c r="L165" s="6" t="s">
        <v>689</v>
      </c>
      <c r="M165" s="14" t="s">
        <v>235</v>
      </c>
      <c r="N165" s="14" t="s">
        <v>686</v>
      </c>
      <c r="O165" s="14" t="s">
        <v>240</v>
      </c>
    </row>
  </sheetData>
  <autoFilter ref="A2:O165"/>
  <conditionalFormatting sqref="F3:F165">
    <cfRule type="colorScale" priority="2">
      <colorScale>
        <cfvo type="min" val="0"/>
        <cfvo type="percentile" val="90"/>
        <color rgb="FFFFFFFF"/>
        <color rgb="FF63BE7B"/>
      </colorScale>
    </cfRule>
  </conditionalFormatting>
  <hyperlinks>
    <hyperlink ref="K3" r:id="rId1" display="https://www.instagram.com/reel/DeKt5O_Sz9_/"/>
    <hyperlink ref="K4" r:id="rId2" display="https://www.instagram.com/reel/DYo8Da5PPe3/"/>
    <hyperlink ref="K5" r:id="rId3" display="https://x.com/fromzerotomill/status/1992916088544256502"/>
    <hyperlink ref="K6" r:id="rId4" display="https://www.instagram.com/reel/DeIN6T6zB0G/"/>
    <hyperlink ref="K7" r:id="rId5" display="https://www.instagram.com/reel/DW8TbCSDWOZ/"/>
    <hyperlink ref="K8" r:id="rId6" display="https://x.com/theroborourke/status/1990343987148775791"/>
    <hyperlink ref="K9" r:id="rId7" display="https://x.com/romanbuildsaas/status/2047825608030494758"/>
    <hyperlink ref="K10" r:id="rId8" display="https://x.com/theroborourke/status/2016436919505146264"/>
    <hyperlink ref="K11" r:id="rId9" display="https://x.com/fin465/status/2055137077868814804"/>
    <hyperlink ref="K12" r:id="rId10" display="https://x.com/imsehej/status/2007850577326456879"/>
    <hyperlink ref="K13" r:id="rId11" display="https://www.instagram.com/reel/DWQxe0VjcyN/"/>
    <hyperlink ref="K14" r:id="rId12" display="https://www.instagram.com/reel/DZpxfcdhO3g/"/>
    <hyperlink ref="K15" r:id="rId13" display="https://www.instagram.com/reel/Ddr6DBaRrL7/"/>
    <hyperlink ref="K16" r:id="rId14" display="https://www.instagram.com/reel/DV2q3zoErC3/"/>
    <hyperlink ref="K17" r:id="rId15" display="https://www.instagram.com/reel/DXwmJB0S7TG/"/>
    <hyperlink ref="K18" r:id="rId16" display="https://www.instagram.com/reel/DcriHRDS7Gt/"/>
    <hyperlink ref="K19" r:id="rId17" display="https://x.com/theroborourke/status/2097222027950125427"/>
    <hyperlink ref="K20" r:id="rId18" display="https://x.com/MichLieben/status/2109690075546329232"/>
    <hyperlink ref="K21" r:id="rId19" display="https://x.com/lukepierceops/status/2110899653717737517"/>
    <hyperlink ref="K22" r:id="rId20" display="https://x.com/NickB2005/status/2095121648710037913"/>
    <hyperlink ref="K23" r:id="rId21" display="https://x.com/theroborourke/status/1990376468736618997"/>
    <hyperlink ref="K24" r:id="rId22" display="https://www.linkedin.com/feed/update/urn:li:activity:7422654796735807491"/>
    <hyperlink ref="K25" r:id="rId23" display="https://x.com/theroborourke/status/1984891228635255217"/>
    <hyperlink ref="K26" r:id="rId24" display="https://x.com/TheMattBerman/status/2024678503598235963"/>
    <hyperlink ref="K27" r:id="rId25" display="https://x.com/fromzerotomill/status/2015743611237785804"/>
    <hyperlink ref="K28" r:id="rId26" display="https://x.com/MichLieben/status/2039432665078923529"/>
    <hyperlink ref="K29" r:id="rId27" display="https://www.instagram.com/reel/DcGk3BOI4_r/"/>
    <hyperlink ref="K30" r:id="rId28" display="https://x.com/theroborourke/status/2000523290205364430"/>
    <hyperlink ref="K31" r:id="rId29" display="https://www.instagram.com/reel/DZMEp61IK8J/"/>
    <hyperlink ref="K32" r:id="rId30" display="https://x.com/jasoncfox/status/2005610481969504723"/>
    <hyperlink ref="K33" r:id="rId31" display="https://www.instagram.com/reel/DbDrqpnDu9d/"/>
    <hyperlink ref="K34" r:id="rId32" display="https://www.instagram.com/reel/DchttGrpIa6/"/>
    <hyperlink ref="K35" r:id="rId33" display="https://x.com/draprints/status/2095133643182322119"/>
    <hyperlink ref="K36" r:id="rId34" display="https://www.instagram.com/reel/Db8S4BmJlfM/"/>
    <hyperlink ref="K37" r:id="rId35" display="https://x.com/Hartdrawss/status/2029852118723551289"/>
    <hyperlink ref="K38" r:id="rId36" display="https://www.linkedin.com/feed/update/urn:li:activity:7421567657579196416"/>
    <hyperlink ref="K39" r:id="rId37" display="https://www.linkedin.com/feed/update/urn:li:activity:7434606028261892096"/>
    <hyperlink ref="K40" r:id="rId38" display="https://www.linkedin.com/feed/update/urn:li:activity:7432431813991538688"/>
    <hyperlink ref="K41" r:id="rId39" display="https://www.instagram.com/reel/DcJW1_5OCmB/"/>
    <hyperlink ref="K42" r:id="rId40" display="https://www.linkedin.com/feed/update/urn:li:activity:7483506353366515712"/>
    <hyperlink ref="K43" r:id="rId41" display="https://www.linkedin.com/feed/update/urn:li:activity:7508299114216968193"/>
    <hyperlink ref="K44" r:id="rId42" display="https://www.instagram.com/reel/Dcgp5WGs_H9/"/>
    <hyperlink ref="K45" r:id="rId43" display="https://www.instagram.com/reel/DYN1ENyPIMJ/"/>
    <hyperlink ref="K46" r:id="rId44" display="https://www.instagram.com/reel/DZClftTpxeV/"/>
    <hyperlink ref="K47" r:id="rId45" display="https://x.com/romanbuildsaas/status/2017670516719432131"/>
    <hyperlink ref="K48" r:id="rId46" display="https://www.instagram.com/reel/Dbl6NsgSR9R/"/>
    <hyperlink ref="K49" r:id="rId47" display="https://x.com/denohawari/status/2073135200968859772"/>
    <hyperlink ref="K50" r:id="rId48" display="https://x.com/marlowxbt/status/2064014528401277174"/>
    <hyperlink ref="K51" r:id="rId49" display="https://x.com/scott_bair/status/2043596395580670401"/>
    <hyperlink ref="K52" r:id="rId50" display="https://x.com/RetentionAdam/status/2016190513251287229"/>
    <hyperlink ref="K53" r:id="rId51" display="https://www.linkedin.com/feed/update/urn:li:activity:7385915021148438528"/>
    <hyperlink ref="K54" r:id="rId52" display="https://www.linkedin.com/feed/update/urn:li:activity:7396917745914781696"/>
    <hyperlink ref="K55" r:id="rId53" display="https://www.instagram.com/reel/DblbBF0gJ8g/"/>
    <hyperlink ref="K56" r:id="rId54" display="https://x.com/ianwong_/status/2090454226011091033"/>
    <hyperlink ref="K57" r:id="rId55" display="https://www.linkedin.com/feed/update/urn:li:activity:7511422825266688001"/>
    <hyperlink ref="K58" r:id="rId56" display="https://www.linkedin.com/feed/update/urn:li:activity:7419725664758693888"/>
    <hyperlink ref="K59" r:id="rId57" display="https://www.linkedin.com/feed/update/urn:li:activity:7507859803386511361"/>
    <hyperlink ref="K60" r:id="rId58" display="https://www.instagram.com/reel/Db_AqZjoN_r/"/>
    <hyperlink ref="K61" r:id="rId59" display="https://www.linkedin.com/feed/update/urn:li:activity:7430219623037407232"/>
    <hyperlink ref="K62" r:id="rId60" display="https://www.instagram.com/reel/Da8ZPqps4rM/"/>
    <hyperlink ref="K63" r:id="rId61" display="https://www.linkedin.com/feed/update/urn:li:activity:7454205178427232257"/>
    <hyperlink ref="K64" r:id="rId62" display="https://www.instagram.com/reel/DeZn1JCB8_i/"/>
    <hyperlink ref="K65" r:id="rId63" display="https://www.instagram.com/reel/DZFimmrsrsc/"/>
    <hyperlink ref="K66" r:id="rId64" display="https://www.instagram.com/reel/Dbsxb8IhIXA/"/>
    <hyperlink ref="K67" r:id="rId65" display="https://www.instagram.com/reel/DXzcVckxl22/"/>
    <hyperlink ref="K68" r:id="rId66" display="https://x.com/dimitarangg/status/2048044038209654934"/>
    <hyperlink ref="K69" r:id="rId67" display="https://x.com/andreysuperior/status/2059992370414796888"/>
    <hyperlink ref="K70" r:id="rId68" display="https://x.com/TheMattBerman/status/2027220216409723296"/>
    <hyperlink ref="K71" r:id="rId69" display="https://x.com/parsedpatterns/status/2006786675741962478"/>
    <hyperlink ref="K72" r:id="rId70" display="https://x.com/CartuneNetwerk/status/2063291410049065307"/>
    <hyperlink ref="K73" r:id="rId71" display="https://www.instagram.com/reel/DbOTspij6yZ/"/>
    <hyperlink ref="K74" r:id="rId72" display="https://www.instagram.com/reel/DbpURTwRL_W/"/>
    <hyperlink ref="K75" r:id="rId73" display="https://x.com/om_patel5/status/2040295631793635465"/>
    <hyperlink ref="K76" r:id="rId74" display="https://x.com/scaling_shields/status/2014306814054244421"/>
    <hyperlink ref="K77" r:id="rId75" display="https://www.linkedin.com/feed/update/urn:li:activity:7470938105974362112"/>
    <hyperlink ref="K78" r:id="rId76" display="https://www.instagram.com/reel/Dcbe_AuOO3L/"/>
    <hyperlink ref="K79" r:id="rId77" display="https://www.instagram.com/reel/DclVkO-ym1J/"/>
    <hyperlink ref="K80" r:id="rId78" display="https://www.instagram.com/reel/DdL7H1QFDHh/"/>
    <hyperlink ref="K81" r:id="rId79" display="https://x.com/cailynyongyong/status/2043832596304670749"/>
    <hyperlink ref="K82" r:id="rId80" display="https://x.com/TechSalesGuy/status/2092971899659681881"/>
    <hyperlink ref="K83" r:id="rId81" display="https://www.instagram.com/reel/DbYHkLmtIBv/"/>
    <hyperlink ref="K84" r:id="rId82" display="https://www.instagram.com/reel/DbHIs-aSgsS/"/>
    <hyperlink ref="K85" r:id="rId83" display="https://x.com/frederickjames/status/2091503229146194334"/>
    <hyperlink ref="K86" r:id="rId84" display="https://www.instagram.com/reel/DcQ-uJJMWqf/"/>
    <hyperlink ref="K87" r:id="rId85" display="https://www.instagram.com/reel/DcKTVQWu47A/"/>
    <hyperlink ref="K88" r:id="rId86" display="https://www.instagram.com/reel/DSDONxmCDsS/"/>
    <hyperlink ref="K89" r:id="rId87" display="https://www.instagram.com/reel/DZF1FpUvcRk/"/>
    <hyperlink ref="K90" r:id="rId88" display="https://www.instagram.com/reel/DcC-2k8zJqP/"/>
    <hyperlink ref="K91" r:id="rId89" display="https://x.com/emilios_eth/status/2015877389411037492"/>
    <hyperlink ref="K92" r:id="rId90" display="https://www.linkedin.com/feed/update/urn:li:activity:7406591175941435392"/>
    <hyperlink ref="K93" r:id="rId91" display="https://x.com/qwenwork/status/2054934477483471041"/>
    <hyperlink ref="K94" r:id="rId92" display="https://x.com/BrendanFoody/status/2109838645339607285"/>
    <hyperlink ref="K95" r:id="rId93" display="https://x.com/WorkflowWhisper/status/2012590119929172319"/>
    <hyperlink ref="K96" r:id="rId94" display="https://www.instagram.com/reel/Db_hVF_P5lF/"/>
    <hyperlink ref="K97" r:id="rId95" display="https://x.com/jonnym1ller/status/2096786649149825058"/>
    <hyperlink ref="K98" r:id="rId96" display="https://x.com/WorkflowWhisper/status/2020557627416023335"/>
    <hyperlink ref="K99" r:id="rId97" display="https://x.com/dimitarangg/status/2022410074593939657"/>
    <hyperlink ref="K100" r:id="rId98" display="https://x.com/levikmunneke/status/2035123865463267798"/>
    <hyperlink ref="K101" r:id="rId99" display="https://x.com/fin465/status/2056468083271926258"/>
    <hyperlink ref="K102" r:id="rId100" display="https://x.com/mustufa4socials/status/2016885450863169982"/>
    <hyperlink ref="K103" r:id="rId101" display="https://www.instagram.com/reel/DeDwgVQhW9c/"/>
    <hyperlink ref="K104" r:id="rId102" display="https://www.instagram.com/reel/DbYjVyLuzzP/"/>
    <hyperlink ref="K105" r:id="rId103" display="https://www.instagram.com/reel/Dbw5GydgGij/"/>
    <hyperlink ref="K106" r:id="rId104" display="https://www.instagram.com/reel/DW9CNBigZnZ/"/>
    <hyperlink ref="K107" r:id="rId105" display="https://www.instagram.com/reel/DctTCKgO6JQ/"/>
    <hyperlink ref="K108" r:id="rId106" display="https://x.com/bryantchou/status/2067246888231866803"/>
    <hyperlink ref="K109" r:id="rId107" display="https://www.instagram.com/reel/Db59Qt3ztrJ/"/>
    <hyperlink ref="K110" r:id="rId108" display="https://x.com/mustufa4socials/status/2054258775222284442"/>
    <hyperlink ref="K111" r:id="rId109" display="https://x.com/dangreenheck/status/2102137910921240807"/>
    <hyperlink ref="K112" r:id="rId110" display="https://x.com/scaling_shields/status/2011801978087633235"/>
    <hyperlink ref="K113" r:id="rId111" display="https://www.instagram.com/reel/DciGZoSIpME/"/>
    <hyperlink ref="K114" r:id="rId112" display="https://x.com/EliXPampa/status/2100548320964096222"/>
    <hyperlink ref="K115" r:id="rId113" display="https://www.instagram.com/reel/DcaHgBHkv8z/"/>
    <hyperlink ref="K116" r:id="rId114" display="https://www.linkedin.com/feed/update/urn:li:activity:7432775956957663232"/>
    <hyperlink ref="K117" r:id="rId115" display="https://x.com/DeepStarts/status/2055143109194068017"/>
    <hyperlink ref="K118" r:id="rId116" display="https://www.instagram.com/reel/DbqZgYdC3Th/"/>
    <hyperlink ref="K119" r:id="rId117" display="https://www.instagram.com/reel/DctEm8ugamJ/"/>
    <hyperlink ref="K120" r:id="rId118" display="https://www.linkedin.com/feed/update/urn:li:activity:7394664828847525889"/>
    <hyperlink ref="K121" r:id="rId119" display="https://x.com/imsehej/status/2029235992339828761"/>
    <hyperlink ref="K122" r:id="rId120" display="https://www.linkedin.com/feed/update/urn:li:activity:7462864777107800064"/>
    <hyperlink ref="K123" r:id="rId121" display="https://x.com/dan__rosenthal/status/2076013236646736214"/>
    <hyperlink ref="K124" r:id="rId122" display="https://x.com/levikmunneke/status/2046355512741310930"/>
    <hyperlink ref="K125" r:id="rId123" display="https://x.com/IwuezeAmarachi/status/2018653428776419719"/>
    <hyperlink ref="K126" r:id="rId124" display="https://www.linkedin.com/feed/update/urn:li:activity:7475212160911101952"/>
    <hyperlink ref="K127" r:id="rId125" display="https://www.linkedin.com/feed/update/urn:li:activity:7472340499320827904"/>
    <hyperlink ref="K128" r:id="rId126" display="https://x.com/AlfieJCarter/status/2057848330902745536"/>
    <hyperlink ref="K129" r:id="rId127" display="https://www.linkedin.com/feed/update/urn:li:activity:7434655206426042368"/>
    <hyperlink ref="K130" r:id="rId128" display="https://www.instagram.com/reel/DcG4JWWN7nd/"/>
    <hyperlink ref="K131" r:id="rId129" display="https://www.linkedin.com/feed/update/urn:li:activity:7485808173090750464"/>
    <hyperlink ref="K132" r:id="rId130" display="https://www.instagram.com/reel/DdeQ4Ndq_h_/"/>
    <hyperlink ref="K133" r:id="rId131" display="https://www.instagram.com/reel/DcFoz5ch63i/"/>
    <hyperlink ref="K134" r:id="rId132" display="https://www.instagram.com/reel/DbYPh8AxEoP/"/>
    <hyperlink ref="K135" r:id="rId133" display="https://www.instagram.com/reel/DdAftEkumIU/"/>
    <hyperlink ref="K136" r:id="rId134" display="https://www.instagram.com/reel/Db0WCUkOUwe/"/>
    <hyperlink ref="K137" r:id="rId135" display="https://x.com/francesafetytra/status/2091815041586856396"/>
    <hyperlink ref="K138" r:id="rId136" display="https://x.com/hyojun_at/status/1986236078999900277"/>
    <hyperlink ref="K139" r:id="rId137" display="https://www.instagram.com/reel/DbL3kepRXBz/"/>
    <hyperlink ref="K140" r:id="rId138" display="https://www.instagram.com/reel/DdYuYOjTZnS/"/>
    <hyperlink ref="K141" r:id="rId139" display="https://x.com/dimitarangg/status/2022896228493627606"/>
    <hyperlink ref="K142" r:id="rId140" display="https://www.instagram.com/reel/Dbaj1-HI7r5/"/>
    <hyperlink ref="K143" r:id="rId141" display="https://x.com/CAronitpereira/status/2010993908382343528"/>
    <hyperlink ref="K144" r:id="rId142" display="https://www.instagram.com/reel/DbLnqZTDHNd/"/>
    <hyperlink ref="K145" r:id="rId143" display="https://www.instagram.com/reel/DdEKK0ThxVu/"/>
    <hyperlink ref="K146" r:id="rId144" display="https://www.instagram.com/reel/DbPCpZvzM0l/"/>
    <hyperlink ref="K147" r:id="rId145" display="https://www.instagram.com/reel/DbAzTiqSg8j/"/>
    <hyperlink ref="K148" r:id="rId146" display="https://www.instagram.com/reel/DctXXS8DjnA/"/>
    <hyperlink ref="K149" r:id="rId147" display="https://x.com/CAronitpereira/status/2054862822564364779"/>
    <hyperlink ref="K150" r:id="rId148" display="https://www.instagram.com/reel/Db73Km_sekv/"/>
    <hyperlink ref="K151" r:id="rId149" display="https://www.instagram.com/reel/DbJYp_OP6M1/"/>
    <hyperlink ref="K152" r:id="rId150" display="https://www.instagram.com/reel/DbTSnDZBQGM/"/>
    <hyperlink ref="K153" r:id="rId151" display="https://www.instagram.com/reel/DbTmJ_UAr7z/"/>
    <hyperlink ref="K154" r:id="rId152" display="https://x.com/ZyMazza/status/2042651604092956786"/>
    <hyperlink ref="K155" r:id="rId153" display="https://www.instagram.com/reel/DcjOceDKj52/"/>
    <hyperlink ref="K156" r:id="rId154" display="https://www.instagram.com/reel/DbpmEFEzK1d/"/>
    <hyperlink ref="K157" r:id="rId155" display="https://www.instagram.com/reel/Da8ffLGDnlv/"/>
    <hyperlink ref="K158" r:id="rId156" display="https://www.instagram.com/reel/Db26XzEMB3d/"/>
    <hyperlink ref="K159" r:id="rId157" display="https://www.instagram.com/reel/DcQ_MXYB4Z1/"/>
    <hyperlink ref="K160" r:id="rId158" display="https://www.linkedin.com/feed/update/urn:li:activity:7504070681752576000"/>
    <hyperlink ref="K161" r:id="rId159" display="https://x.com/paolo_scales/status/2091961906210967746"/>
    <hyperlink ref="K162" r:id="rId160" display="https://x.com/CynthiaOzumba/status/2094869216767750399"/>
    <hyperlink ref="K163" r:id="rId161" display="https://www.instagram.com/reel/DYe6edOCC-l/"/>
    <hyperlink ref="K164" r:id="rId162" display="https://x.com/leonabboud/status/2008556160962752656"/>
    <hyperlink ref="K165" r:id="rId163" display="https://www.instagram.com/reel/DXyeKQSxbr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6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7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0"/>
    <col collapsed="false" customWidth="true" hidden="false" outlineLevel="0" max="5" min="3" style="0" width="10"/>
    <col collapsed="false" customWidth="true" hidden="false" outlineLevel="0" max="6" min="6" style="0" width="8"/>
    <col collapsed="false" customWidth="true" hidden="false" outlineLevel="0" max="7" min="7" style="0" width="7"/>
    <col collapsed="false" customWidth="true" hidden="false" outlineLevel="0" max="8" min="8" style="0" width="26"/>
    <col collapsed="false" customWidth="true" hidden="false" outlineLevel="0" max="10" min="9" style="0" width="40"/>
    <col collapsed="false" customWidth="true" hidden="false" outlineLevel="0" max="11" min="11" style="0" width="28"/>
    <col collapsed="false" customWidth="true" hidden="false" outlineLevel="0" max="12" min="12" style="0" width="50"/>
    <col collapsed="false" customWidth="true" hidden="false" outlineLevel="0" max="13" min="13" style="0" width="24"/>
    <col collapsed="false" customWidth="true" hidden="false" outlineLevel="0" max="14" min="14" style="0" width="40"/>
    <col collapsed="false" customWidth="true" hidden="false" outlineLevel="0" max="15" min="15" style="0" width="12"/>
    <col collapsed="false" customWidth="true" hidden="false" outlineLevel="0" max="17" min="16" style="0" width="14"/>
    <col collapsed="false" customWidth="true" hidden="false" outlineLevel="0" max="18" min="18" style="0" width="8"/>
    <col collapsed="false" customWidth="true" hidden="false" outlineLevel="0" max="19" min="19" style="0" width="32"/>
    <col collapsed="false" customWidth="true" hidden="false" outlineLevel="0" max="20" min="20" style="0" width="24"/>
  </cols>
  <sheetData>
    <row r="1" customFormat="false" ht="15" hidden="false" customHeight="false" outlineLevel="0" collapsed="false">
      <c r="A1" s="25" t="s">
        <v>3423</v>
      </c>
    </row>
    <row r="2" customFormat="false" ht="31.5" hidden="false" customHeight="true" outlineLevel="0" collapsed="false">
      <c r="A2" s="13" t="s">
        <v>178</v>
      </c>
      <c r="B2" s="13" t="s">
        <v>186</v>
      </c>
      <c r="C2" s="13" t="s">
        <v>188</v>
      </c>
      <c r="D2" s="13" t="s">
        <v>200</v>
      </c>
      <c r="E2" s="13" t="s">
        <v>3424</v>
      </c>
      <c r="F2" s="13" t="s">
        <v>40</v>
      </c>
      <c r="G2" s="13" t="s">
        <v>3420</v>
      </c>
      <c r="H2" s="13" t="s">
        <v>3425</v>
      </c>
      <c r="I2" s="13" t="s">
        <v>3426</v>
      </c>
      <c r="J2" s="13" t="s">
        <v>3427</v>
      </c>
      <c r="K2" s="13" t="s">
        <v>3428</v>
      </c>
      <c r="L2" s="13" t="s">
        <v>3429</v>
      </c>
      <c r="M2" s="13" t="s">
        <v>3430</v>
      </c>
      <c r="N2" s="13" t="s">
        <v>3431</v>
      </c>
      <c r="O2" s="13" t="s">
        <v>3432</v>
      </c>
      <c r="P2" s="13" t="s">
        <v>3433</v>
      </c>
      <c r="Q2" s="13" t="s">
        <v>3434</v>
      </c>
      <c r="R2" s="13" t="s">
        <v>3435</v>
      </c>
      <c r="S2" s="13" t="s">
        <v>191</v>
      </c>
      <c r="T2" s="13" t="s">
        <v>3436</v>
      </c>
    </row>
    <row r="3" customFormat="false" ht="69.75" hidden="false" customHeight="true" outlineLevel="0" collapsed="false">
      <c r="A3" s="14" t="n">
        <v>1</v>
      </c>
      <c r="B3" s="14" t="s">
        <v>902</v>
      </c>
      <c r="C3" s="15" t="n">
        <v>47100</v>
      </c>
      <c r="D3" s="15" t="n">
        <v>1700000</v>
      </c>
      <c r="E3" s="15" t="n">
        <v>2200</v>
      </c>
      <c r="F3" s="18" t="n">
        <v>765</v>
      </c>
      <c r="G3" s="19" t="n">
        <v>7</v>
      </c>
      <c r="H3" s="6" t="s">
        <v>3437</v>
      </c>
      <c r="I3" s="6" t="s">
        <v>904</v>
      </c>
      <c r="J3" s="6" t="s">
        <v>3438</v>
      </c>
      <c r="K3" s="6" t="s">
        <v>3439</v>
      </c>
      <c r="L3" s="6" t="s">
        <v>910</v>
      </c>
      <c r="M3" s="14" t="s">
        <v>3440</v>
      </c>
      <c r="N3" s="6" t="s">
        <v>3441</v>
      </c>
      <c r="O3" s="14" t="s">
        <v>3442</v>
      </c>
      <c r="P3" s="14" t="s">
        <v>3443</v>
      </c>
      <c r="Q3" s="14" t="s">
        <v>3444</v>
      </c>
      <c r="R3" s="14"/>
      <c r="S3" s="16" t="s">
        <v>903</v>
      </c>
      <c r="T3" s="14" t="s">
        <v>899</v>
      </c>
    </row>
    <row r="4" customFormat="false" ht="69.75" hidden="false" customHeight="true" outlineLevel="0" collapsed="false">
      <c r="A4" s="14" t="n">
        <v>2</v>
      </c>
      <c r="B4" s="14" t="s">
        <v>638</v>
      </c>
      <c r="C4" s="15" t="n">
        <v>20800</v>
      </c>
      <c r="D4" s="15" t="n">
        <v>162700</v>
      </c>
      <c r="E4" s="15" t="n">
        <v>258.5</v>
      </c>
      <c r="F4" s="18" t="n">
        <v>629.2</v>
      </c>
      <c r="G4" s="19" t="n">
        <v>4.9</v>
      </c>
      <c r="H4" s="6" t="s">
        <v>3445</v>
      </c>
      <c r="I4" s="6" t="s">
        <v>640</v>
      </c>
      <c r="J4" s="6" t="s">
        <v>3446</v>
      </c>
      <c r="K4" s="6" t="s">
        <v>3447</v>
      </c>
      <c r="L4" s="6" t="s">
        <v>976</v>
      </c>
      <c r="M4" s="14" t="s">
        <v>3448</v>
      </c>
      <c r="N4" s="6" t="s">
        <v>3449</v>
      </c>
      <c r="O4" s="14" t="s">
        <v>3450</v>
      </c>
      <c r="P4" s="14" t="s">
        <v>3451</v>
      </c>
      <c r="Q4" s="14" t="s">
        <v>3452</v>
      </c>
      <c r="R4" s="14"/>
      <c r="S4" s="16" t="s">
        <v>972</v>
      </c>
      <c r="T4" s="14" t="s">
        <v>574</v>
      </c>
    </row>
    <row r="5" customFormat="false" ht="69.75" hidden="false" customHeight="true" outlineLevel="0" collapsed="false">
      <c r="A5" s="14" t="n">
        <v>3</v>
      </c>
      <c r="B5" s="14" t="s">
        <v>565</v>
      </c>
      <c r="C5" s="15" t="n">
        <v>15800</v>
      </c>
      <c r="D5" s="15" t="n">
        <v>233900</v>
      </c>
      <c r="E5" s="15" t="n">
        <v>697.25</v>
      </c>
      <c r="F5" s="18" t="n">
        <v>335.5</v>
      </c>
      <c r="G5" s="19" t="n">
        <v>7</v>
      </c>
      <c r="H5" s="6" t="s">
        <v>3453</v>
      </c>
      <c r="I5" s="6" t="s">
        <v>567</v>
      </c>
      <c r="J5" s="6" t="s">
        <v>3454</v>
      </c>
      <c r="K5" s="6" t="s">
        <v>3455</v>
      </c>
      <c r="L5" s="6" t="s">
        <v>573</v>
      </c>
      <c r="M5" s="14" t="s">
        <v>3456</v>
      </c>
      <c r="N5" s="6" t="s">
        <v>3457</v>
      </c>
      <c r="O5" s="14" t="s">
        <v>3442</v>
      </c>
      <c r="P5" s="14" t="s">
        <v>3443</v>
      </c>
      <c r="Q5" s="14" t="s">
        <v>3444</v>
      </c>
      <c r="R5" s="14"/>
      <c r="S5" s="16" t="s">
        <v>566</v>
      </c>
      <c r="T5" s="14" t="s">
        <v>574</v>
      </c>
    </row>
    <row r="6" customFormat="false" ht="69.75" hidden="false" customHeight="true" outlineLevel="0" collapsed="false">
      <c r="A6" s="14" t="n">
        <v>4</v>
      </c>
      <c r="B6" s="14" t="s">
        <v>912</v>
      </c>
      <c r="C6" s="15" t="n">
        <v>14400</v>
      </c>
      <c r="D6" s="15" t="n">
        <v>771100</v>
      </c>
      <c r="E6" s="15" t="n">
        <v>2800</v>
      </c>
      <c r="F6" s="18" t="n">
        <v>276.1</v>
      </c>
      <c r="G6" s="19" t="n">
        <v>5</v>
      </c>
      <c r="H6" s="6" t="s">
        <v>3458</v>
      </c>
      <c r="I6" s="6" t="s">
        <v>914</v>
      </c>
      <c r="J6" s="6" t="s">
        <v>3459</v>
      </c>
      <c r="K6" s="6" t="s">
        <v>3460</v>
      </c>
      <c r="L6" s="6" t="s">
        <v>921</v>
      </c>
      <c r="M6" s="14" t="s">
        <v>3461</v>
      </c>
      <c r="N6" s="6" t="s">
        <v>3462</v>
      </c>
      <c r="O6" s="14" t="s">
        <v>3463</v>
      </c>
      <c r="P6" s="14" t="s">
        <v>3451</v>
      </c>
      <c r="Q6" s="14" t="s">
        <v>3444</v>
      </c>
      <c r="R6" s="14"/>
      <c r="S6" s="16" t="s">
        <v>913</v>
      </c>
      <c r="T6" s="14" t="s">
        <v>923</v>
      </c>
    </row>
    <row r="7" customFormat="false" ht="69.75" hidden="false" customHeight="true" outlineLevel="0" collapsed="false">
      <c r="A7" s="14" t="n">
        <v>5</v>
      </c>
      <c r="B7" s="14" t="s">
        <v>936</v>
      </c>
      <c r="C7" s="15" t="n">
        <v>17500</v>
      </c>
      <c r="D7" s="15" t="n">
        <v>211000</v>
      </c>
      <c r="E7" s="15" t="n">
        <v>1100</v>
      </c>
      <c r="F7" s="18" t="n">
        <v>199.3</v>
      </c>
      <c r="G7" s="19" t="n">
        <v>5</v>
      </c>
      <c r="H7" s="6" t="s">
        <v>3464</v>
      </c>
      <c r="I7" s="6" t="s">
        <v>938</v>
      </c>
      <c r="J7" s="6" t="s">
        <v>3465</v>
      </c>
      <c r="K7" s="6" t="s">
        <v>3466</v>
      </c>
      <c r="L7" s="6" t="s">
        <v>943</v>
      </c>
      <c r="M7" s="14" t="s">
        <v>3467</v>
      </c>
      <c r="N7" s="6" t="s">
        <v>3468</v>
      </c>
      <c r="O7" s="14" t="s">
        <v>3450</v>
      </c>
      <c r="P7" s="14" t="s">
        <v>3469</v>
      </c>
      <c r="Q7" s="14" t="s">
        <v>3444</v>
      </c>
      <c r="R7" s="14"/>
      <c r="S7" s="16" t="s">
        <v>937</v>
      </c>
      <c r="T7" s="14" t="s">
        <v>747</v>
      </c>
    </row>
    <row r="8" customFormat="false" ht="69.75" hidden="false" customHeight="true" outlineLevel="0" collapsed="false">
      <c r="A8" s="14" t="n">
        <v>6</v>
      </c>
      <c r="B8" s="14" t="s">
        <v>553</v>
      </c>
      <c r="C8" s="15" t="n">
        <v>52200</v>
      </c>
      <c r="D8" s="15" t="n">
        <v>83700</v>
      </c>
      <c r="E8" s="15" t="n">
        <v>439</v>
      </c>
      <c r="F8" s="18" t="n">
        <v>190.6</v>
      </c>
      <c r="G8" s="19" t="n">
        <v>9</v>
      </c>
      <c r="H8" s="6" t="s">
        <v>3470</v>
      </c>
      <c r="I8" s="6" t="s">
        <v>555</v>
      </c>
      <c r="J8" s="6" t="s">
        <v>3471</v>
      </c>
      <c r="K8" s="6" t="s">
        <v>3472</v>
      </c>
      <c r="L8" s="6" t="s">
        <v>560</v>
      </c>
      <c r="M8" s="14" t="s">
        <v>3473</v>
      </c>
      <c r="N8" s="6" t="s">
        <v>3474</v>
      </c>
      <c r="O8" s="14" t="s">
        <v>3450</v>
      </c>
      <c r="P8" s="14" t="s">
        <v>3469</v>
      </c>
      <c r="Q8" s="14" t="s">
        <v>3452</v>
      </c>
      <c r="R8" s="14"/>
      <c r="S8" s="16" t="s">
        <v>554</v>
      </c>
      <c r="T8" s="14" t="s">
        <v>562</v>
      </c>
    </row>
    <row r="9" customFormat="false" ht="69.75" hidden="false" customHeight="true" outlineLevel="0" collapsed="false">
      <c r="A9" s="14" t="n">
        <v>7</v>
      </c>
      <c r="B9" s="14" t="s">
        <v>1272</v>
      </c>
      <c r="C9" s="15" t="n">
        <v>13100</v>
      </c>
      <c r="D9" s="15" t="n">
        <v>2000000</v>
      </c>
      <c r="E9" s="15" t="n">
        <v>13300</v>
      </c>
      <c r="F9" s="18" t="n">
        <v>149.4</v>
      </c>
      <c r="G9" s="19" t="n">
        <v>4</v>
      </c>
      <c r="H9" s="6" t="s">
        <v>3475</v>
      </c>
      <c r="I9" s="6" t="s">
        <v>1274</v>
      </c>
      <c r="J9" s="6" t="s">
        <v>3476</v>
      </c>
      <c r="K9" s="6" t="s">
        <v>3477</v>
      </c>
      <c r="L9" s="6" t="s">
        <v>1279</v>
      </c>
      <c r="M9" s="14" t="s">
        <v>3478</v>
      </c>
      <c r="N9" s="6" t="s">
        <v>3479</v>
      </c>
      <c r="O9" s="14" t="s">
        <v>3442</v>
      </c>
      <c r="P9" s="14" t="s">
        <v>3443</v>
      </c>
      <c r="Q9" s="14" t="s">
        <v>3444</v>
      </c>
      <c r="R9" s="14"/>
      <c r="S9" s="16" t="s">
        <v>1273</v>
      </c>
      <c r="T9" s="14" t="s">
        <v>1280</v>
      </c>
    </row>
    <row r="10" customFormat="false" ht="69.75" hidden="false" customHeight="true" outlineLevel="0" collapsed="false">
      <c r="A10" s="14" t="n">
        <v>8</v>
      </c>
      <c r="B10" s="14" t="s">
        <v>638</v>
      </c>
      <c r="C10" s="15" t="n">
        <v>20800</v>
      </c>
      <c r="D10" s="15" t="n">
        <v>84500</v>
      </c>
      <c r="E10" s="15" t="n">
        <v>603.5</v>
      </c>
      <c r="F10" s="18" t="n">
        <v>140.1</v>
      </c>
      <c r="G10" s="19" t="n">
        <v>6.3</v>
      </c>
      <c r="H10" s="6" t="s">
        <v>3480</v>
      </c>
      <c r="I10" s="6" t="s">
        <v>640</v>
      </c>
      <c r="J10" s="6" t="s">
        <v>3481</v>
      </c>
      <c r="K10" s="6" t="s">
        <v>3482</v>
      </c>
      <c r="L10" s="6" t="s">
        <v>645</v>
      </c>
      <c r="M10" s="14" t="s">
        <v>3448</v>
      </c>
      <c r="N10" s="6" t="s">
        <v>3483</v>
      </c>
      <c r="O10" s="14" t="s">
        <v>3450</v>
      </c>
      <c r="P10" s="14" t="s">
        <v>3469</v>
      </c>
      <c r="Q10" s="14" t="s">
        <v>3452</v>
      </c>
      <c r="R10" s="14"/>
      <c r="S10" s="16" t="s">
        <v>639</v>
      </c>
      <c r="T10" s="14" t="s">
        <v>646</v>
      </c>
    </row>
    <row r="11" customFormat="false" ht="69.75" hidden="false" customHeight="true" outlineLevel="0" collapsed="false">
      <c r="A11" s="14" t="n">
        <v>9</v>
      </c>
      <c r="B11" s="14" t="s">
        <v>1282</v>
      </c>
      <c r="C11" s="15" t="n">
        <v>6600</v>
      </c>
      <c r="D11" s="15" t="n">
        <v>186400</v>
      </c>
      <c r="E11" s="15" t="n">
        <v>1400</v>
      </c>
      <c r="F11" s="18" t="n">
        <v>133.2</v>
      </c>
      <c r="G11" s="19" t="n">
        <v>4</v>
      </c>
      <c r="H11" s="6" t="s">
        <v>3484</v>
      </c>
      <c r="I11" s="6" t="s">
        <v>1284</v>
      </c>
      <c r="J11" s="6" t="s">
        <v>3485</v>
      </c>
      <c r="K11" s="6" t="s">
        <v>3486</v>
      </c>
      <c r="L11" s="6" t="s">
        <v>1288</v>
      </c>
      <c r="M11" s="14" t="s">
        <v>3487</v>
      </c>
      <c r="N11" s="6" t="s">
        <v>3488</v>
      </c>
      <c r="O11" s="14" t="s">
        <v>3450</v>
      </c>
      <c r="P11" s="14" t="s">
        <v>3469</v>
      </c>
      <c r="Q11" s="14" t="s">
        <v>3452</v>
      </c>
      <c r="R11" s="14"/>
      <c r="S11" s="16" t="s">
        <v>1283</v>
      </c>
      <c r="T11" s="14" t="s">
        <v>1289</v>
      </c>
    </row>
    <row r="12" customFormat="false" ht="69.75" hidden="false" customHeight="true" outlineLevel="0" collapsed="false">
      <c r="A12" s="14" t="n">
        <v>10</v>
      </c>
      <c r="B12" s="14" t="s">
        <v>1568</v>
      </c>
      <c r="C12" s="15" t="n">
        <v>92400</v>
      </c>
      <c r="D12" s="15" t="n">
        <v>100100</v>
      </c>
      <c r="E12" s="15" t="n">
        <v>828</v>
      </c>
      <c r="F12" s="18" t="n">
        <v>120.9</v>
      </c>
      <c r="G12" s="19" t="n">
        <v>7</v>
      </c>
      <c r="H12" s="6" t="s">
        <v>3489</v>
      </c>
      <c r="I12" s="6" t="s">
        <v>1570</v>
      </c>
      <c r="J12" s="6" t="s">
        <v>3490</v>
      </c>
      <c r="K12" s="6" t="s">
        <v>3491</v>
      </c>
      <c r="L12" s="6" t="s">
        <v>1575</v>
      </c>
      <c r="M12" s="14" t="s">
        <v>3492</v>
      </c>
      <c r="N12" s="6" t="s">
        <v>3493</v>
      </c>
      <c r="O12" s="14" t="s">
        <v>3442</v>
      </c>
      <c r="P12" s="14" t="s">
        <v>3443</v>
      </c>
      <c r="Q12" s="14" t="s">
        <v>3444</v>
      </c>
      <c r="R12" s="14"/>
      <c r="S12" s="16" t="s">
        <v>1569</v>
      </c>
      <c r="T12" s="14" t="s">
        <v>747</v>
      </c>
    </row>
    <row r="13" customFormat="false" ht="69.75" hidden="false" customHeight="true" outlineLevel="0" collapsed="false">
      <c r="A13" s="14" t="n">
        <v>11</v>
      </c>
      <c r="B13" s="14" t="s">
        <v>1864</v>
      </c>
      <c r="C13" s="15" t="n">
        <v>74300</v>
      </c>
      <c r="D13" s="15" t="n">
        <v>272900</v>
      </c>
      <c r="E13" s="15" t="n">
        <v>2300</v>
      </c>
      <c r="F13" s="18" t="n">
        <v>120</v>
      </c>
      <c r="G13" s="19" t="n">
        <v>6</v>
      </c>
      <c r="H13" s="6" t="s">
        <v>3494</v>
      </c>
      <c r="I13" s="6" t="s">
        <v>1866</v>
      </c>
      <c r="J13" s="6" t="s">
        <v>3495</v>
      </c>
      <c r="K13" s="6" t="s">
        <v>3496</v>
      </c>
      <c r="L13" s="6" t="s">
        <v>1870</v>
      </c>
      <c r="M13" s="14" t="s">
        <v>3497</v>
      </c>
      <c r="N13" s="6" t="s">
        <v>3498</v>
      </c>
      <c r="O13" s="14" t="s">
        <v>3442</v>
      </c>
      <c r="P13" s="14" t="s">
        <v>3443</v>
      </c>
      <c r="Q13" s="14" t="s">
        <v>3444</v>
      </c>
      <c r="R13" s="14"/>
      <c r="S13" s="16" t="s">
        <v>1865</v>
      </c>
      <c r="T13" s="14" t="s">
        <v>747</v>
      </c>
    </row>
    <row r="14" customFormat="false" ht="69.75" hidden="false" customHeight="true" outlineLevel="0" collapsed="false">
      <c r="A14" s="14" t="n">
        <v>12</v>
      </c>
      <c r="B14" s="14" t="s">
        <v>446</v>
      </c>
      <c r="C14" s="15" t="n">
        <v>6300</v>
      </c>
      <c r="D14" s="15" t="n">
        <v>21900</v>
      </c>
      <c r="E14" s="15" t="n">
        <v>206</v>
      </c>
      <c r="F14" s="18" t="n">
        <v>106.3</v>
      </c>
      <c r="G14" s="19" t="n">
        <v>8</v>
      </c>
      <c r="H14" s="6" t="s">
        <v>3499</v>
      </c>
      <c r="I14" s="6" t="s">
        <v>449</v>
      </c>
      <c r="J14" s="6" t="s">
        <v>3500</v>
      </c>
      <c r="K14" s="6" t="s">
        <v>3501</v>
      </c>
      <c r="L14" s="6" t="s">
        <v>456</v>
      </c>
      <c r="M14" s="14" t="s">
        <v>3502</v>
      </c>
      <c r="N14" s="6" t="s">
        <v>3503</v>
      </c>
      <c r="O14" s="14" t="s">
        <v>3442</v>
      </c>
      <c r="P14" s="14" t="s">
        <v>3469</v>
      </c>
      <c r="Q14" s="14" t="s">
        <v>3452</v>
      </c>
      <c r="R14" s="14"/>
      <c r="S14" s="16" t="s">
        <v>448</v>
      </c>
      <c r="T14" s="14" t="s">
        <v>458</v>
      </c>
    </row>
    <row r="15" customFormat="false" ht="69.75" hidden="false" customHeight="true" outlineLevel="0" collapsed="false">
      <c r="A15" s="14" t="n">
        <v>13</v>
      </c>
      <c r="B15" s="14" t="s">
        <v>1872</v>
      </c>
      <c r="C15" s="15" t="n">
        <v>33000</v>
      </c>
      <c r="D15" s="15" t="n">
        <v>2700000</v>
      </c>
      <c r="E15" s="15" t="n">
        <v>27500</v>
      </c>
      <c r="F15" s="18" t="n">
        <v>98.7</v>
      </c>
      <c r="G15" s="19" t="n">
        <v>4</v>
      </c>
      <c r="H15" s="6" t="s">
        <v>3504</v>
      </c>
      <c r="I15" s="6" t="s">
        <v>1874</v>
      </c>
      <c r="J15" s="6" t="s">
        <v>3505</v>
      </c>
      <c r="K15" s="6" t="s">
        <v>3506</v>
      </c>
      <c r="L15" s="6" t="s">
        <v>1879</v>
      </c>
      <c r="M15" s="14" t="s">
        <v>3507</v>
      </c>
      <c r="N15" s="6" t="s">
        <v>3508</v>
      </c>
      <c r="O15" s="14" t="s">
        <v>3442</v>
      </c>
      <c r="P15" s="14" t="s">
        <v>3469</v>
      </c>
      <c r="Q15" s="14" t="s">
        <v>3452</v>
      </c>
      <c r="R15" s="14" t="n">
        <v>60</v>
      </c>
      <c r="S15" s="16" t="s">
        <v>1873</v>
      </c>
      <c r="T15" s="14" t="s">
        <v>1640</v>
      </c>
    </row>
    <row r="16" customFormat="false" ht="69.75" hidden="false" customHeight="true" outlineLevel="0" collapsed="false">
      <c r="A16" s="14" t="n">
        <v>14</v>
      </c>
      <c r="B16" s="14" t="s">
        <v>1262</v>
      </c>
      <c r="C16" s="15" t="n">
        <v>25800</v>
      </c>
      <c r="D16" s="15" t="n">
        <v>848500</v>
      </c>
      <c r="E16" s="15" t="n">
        <v>8600</v>
      </c>
      <c r="F16" s="18" t="n">
        <v>98.5</v>
      </c>
      <c r="G16" s="19" t="n">
        <v>4</v>
      </c>
      <c r="H16" s="6" t="s">
        <v>3509</v>
      </c>
      <c r="I16" s="6" t="s">
        <v>1264</v>
      </c>
      <c r="J16" s="6" t="s">
        <v>3510</v>
      </c>
      <c r="K16" s="6" t="s">
        <v>3511</v>
      </c>
      <c r="L16" s="6" t="s">
        <v>1269</v>
      </c>
      <c r="M16" s="14" t="s">
        <v>3512</v>
      </c>
      <c r="N16" s="6" t="s">
        <v>3513</v>
      </c>
      <c r="O16" s="14" t="s">
        <v>3442</v>
      </c>
      <c r="P16" s="14" t="s">
        <v>3443</v>
      </c>
      <c r="Q16" s="14" t="s">
        <v>3444</v>
      </c>
      <c r="R16" s="14"/>
      <c r="S16" s="16" t="s">
        <v>1263</v>
      </c>
      <c r="T16" s="14" t="s">
        <v>747</v>
      </c>
    </row>
    <row r="17" customFormat="false" ht="69.75" hidden="false" customHeight="true" outlineLevel="0" collapsed="false">
      <c r="A17" s="14" t="n">
        <v>15</v>
      </c>
      <c r="B17" s="14" t="s">
        <v>891</v>
      </c>
      <c r="C17" s="15" t="n">
        <v>18100</v>
      </c>
      <c r="D17" s="15" t="n">
        <v>385300</v>
      </c>
      <c r="E17" s="15" t="n">
        <v>4000</v>
      </c>
      <c r="F17" s="18" t="n">
        <v>96</v>
      </c>
      <c r="G17" s="19" t="n">
        <v>5</v>
      </c>
      <c r="H17" s="6" t="s">
        <v>3514</v>
      </c>
      <c r="I17" s="6" t="s">
        <v>893</v>
      </c>
      <c r="J17" s="6" t="s">
        <v>3515</v>
      </c>
      <c r="K17" s="6" t="s">
        <v>3516</v>
      </c>
      <c r="L17" s="6" t="s">
        <v>897</v>
      </c>
      <c r="M17" s="14" t="s">
        <v>3517</v>
      </c>
      <c r="N17" s="6" t="s">
        <v>3518</v>
      </c>
      <c r="O17" s="14" t="s">
        <v>3442</v>
      </c>
      <c r="P17" s="14" t="s">
        <v>3469</v>
      </c>
      <c r="Q17" s="14" t="s">
        <v>3444</v>
      </c>
      <c r="R17" s="14"/>
      <c r="S17" s="16" t="s">
        <v>892</v>
      </c>
      <c r="T17" s="14" t="s">
        <v>899</v>
      </c>
    </row>
    <row r="18" customFormat="false" ht="69.75" hidden="false" customHeight="true" outlineLevel="0" collapsed="false">
      <c r="A18" s="14" t="n">
        <v>16</v>
      </c>
      <c r="B18" s="14" t="s">
        <v>926</v>
      </c>
      <c r="C18" s="15" t="n">
        <v>18900</v>
      </c>
      <c r="D18" s="15" t="n">
        <v>263300</v>
      </c>
      <c r="E18" s="15" t="n">
        <v>2800</v>
      </c>
      <c r="F18" s="18" t="n">
        <v>92.8</v>
      </c>
      <c r="G18" s="19" t="n">
        <v>5</v>
      </c>
      <c r="H18" s="6" t="s">
        <v>3519</v>
      </c>
      <c r="I18" s="6" t="s">
        <v>928</v>
      </c>
      <c r="J18" s="6" t="s">
        <v>3520</v>
      </c>
      <c r="K18" s="6" t="s">
        <v>3521</v>
      </c>
      <c r="L18" s="6" t="s">
        <v>933</v>
      </c>
      <c r="M18" s="14" t="s">
        <v>3522</v>
      </c>
      <c r="N18" s="6" t="s">
        <v>3523</v>
      </c>
      <c r="O18" s="14" t="s">
        <v>3442</v>
      </c>
      <c r="P18" s="14" t="s">
        <v>3443</v>
      </c>
      <c r="Q18" s="14" t="s">
        <v>3444</v>
      </c>
      <c r="R18" s="14"/>
      <c r="S18" s="16" t="s">
        <v>927</v>
      </c>
      <c r="T18" s="14" t="s">
        <v>458</v>
      </c>
    </row>
    <row r="19" customFormat="false" ht="69.75" hidden="false" customHeight="true" outlineLevel="0" collapsed="false">
      <c r="A19" s="14" t="n">
        <v>17</v>
      </c>
      <c r="B19" s="14" t="s">
        <v>1252</v>
      </c>
      <c r="C19" s="15" t="n">
        <v>14300</v>
      </c>
      <c r="D19" s="15" t="n">
        <v>211700</v>
      </c>
      <c r="E19" s="15" t="n">
        <v>2900</v>
      </c>
      <c r="F19" s="18" t="n">
        <v>71.9</v>
      </c>
      <c r="G19" s="19" t="n">
        <v>4</v>
      </c>
      <c r="H19" s="6" t="s">
        <v>3524</v>
      </c>
      <c r="I19" s="6" t="s">
        <v>1254</v>
      </c>
      <c r="J19" s="6" t="s">
        <v>3525</v>
      </c>
      <c r="K19" s="6" t="s">
        <v>3526</v>
      </c>
      <c r="L19" s="6" t="s">
        <v>1259</v>
      </c>
      <c r="M19" s="14" t="s">
        <v>3527</v>
      </c>
      <c r="N19" s="6" t="s">
        <v>3498</v>
      </c>
      <c r="O19" s="14" t="s">
        <v>3442</v>
      </c>
      <c r="P19" s="14" t="s">
        <v>3443</v>
      </c>
      <c r="Q19" s="14" t="s">
        <v>3444</v>
      </c>
      <c r="R19" s="14"/>
      <c r="S19" s="16" t="s">
        <v>1253</v>
      </c>
      <c r="T19" s="14" t="s">
        <v>1260</v>
      </c>
    </row>
    <row r="20" customFormat="false" ht="69.75" hidden="false" customHeight="true" outlineLevel="0" collapsed="false">
      <c r="A20" s="14" t="n">
        <v>18</v>
      </c>
      <c r="B20" s="14" t="s">
        <v>1855</v>
      </c>
      <c r="C20" s="15" t="n">
        <v>35900</v>
      </c>
      <c r="D20" s="15" t="n">
        <v>252000</v>
      </c>
      <c r="E20" s="15" t="n">
        <v>3600</v>
      </c>
      <c r="F20" s="18" t="n">
        <v>69.8</v>
      </c>
      <c r="G20" s="19" t="n">
        <v>4</v>
      </c>
      <c r="H20" s="6" t="s">
        <v>3528</v>
      </c>
      <c r="I20" s="6"/>
      <c r="J20" s="6"/>
      <c r="K20" s="6"/>
      <c r="L20" s="6" t="s">
        <v>1862</v>
      </c>
      <c r="M20" s="14" t="s">
        <v>3529</v>
      </c>
      <c r="N20" s="6" t="s">
        <v>3530</v>
      </c>
      <c r="O20" s="14" t="s">
        <v>3450</v>
      </c>
      <c r="P20" s="14" t="s">
        <v>3451</v>
      </c>
      <c r="Q20" s="14" t="s">
        <v>3452</v>
      </c>
      <c r="R20" s="14"/>
      <c r="S20" s="16" t="s">
        <v>1856</v>
      </c>
      <c r="T20" s="14" t="s">
        <v>1249</v>
      </c>
    </row>
    <row r="21" customFormat="false" ht="69.75" hidden="false" customHeight="true" outlineLevel="0" collapsed="false">
      <c r="A21" s="14" t="n">
        <v>19</v>
      </c>
      <c r="B21" s="14" t="s">
        <v>1241</v>
      </c>
      <c r="C21" s="15" t="n">
        <v>7200</v>
      </c>
      <c r="D21" s="15" t="n">
        <v>77700</v>
      </c>
      <c r="E21" s="15" t="n">
        <v>1100</v>
      </c>
      <c r="F21" s="18" t="n">
        <v>69.2</v>
      </c>
      <c r="G21" s="19" t="n">
        <v>4</v>
      </c>
      <c r="H21" s="6" t="s">
        <v>3531</v>
      </c>
      <c r="I21" s="6" t="s">
        <v>1243</v>
      </c>
      <c r="J21" s="6" t="s">
        <v>3532</v>
      </c>
      <c r="K21" s="6" t="s">
        <v>3533</v>
      </c>
      <c r="L21" s="6" t="s">
        <v>1248</v>
      </c>
      <c r="M21" s="14" t="s">
        <v>3534</v>
      </c>
      <c r="N21" s="6" t="s">
        <v>3535</v>
      </c>
      <c r="O21" s="14" t="s">
        <v>3442</v>
      </c>
      <c r="P21" s="14" t="s">
        <v>3451</v>
      </c>
      <c r="Q21" s="14" t="s">
        <v>3444</v>
      </c>
      <c r="R21" s="14"/>
      <c r="S21" s="16" t="s">
        <v>1242</v>
      </c>
      <c r="T21" s="14" t="s">
        <v>1249</v>
      </c>
    </row>
    <row r="22" customFormat="false" ht="69.75" hidden="false" customHeight="true" outlineLevel="0" collapsed="false">
      <c r="A22" s="14" t="n">
        <v>20</v>
      </c>
      <c r="B22" s="14" t="s">
        <v>945</v>
      </c>
      <c r="C22" s="15" t="n">
        <v>5600</v>
      </c>
      <c r="D22" s="15" t="n">
        <v>151400</v>
      </c>
      <c r="E22" s="15" t="n">
        <v>2900</v>
      </c>
      <c r="F22" s="18" t="n">
        <v>52.6</v>
      </c>
      <c r="G22" s="19" t="n">
        <v>5</v>
      </c>
      <c r="H22" s="6" t="s">
        <v>3519</v>
      </c>
      <c r="I22" s="6" t="s">
        <v>947</v>
      </c>
      <c r="J22" s="6" t="s">
        <v>3536</v>
      </c>
      <c r="K22" s="6" t="s">
        <v>3537</v>
      </c>
      <c r="L22" s="6" t="s">
        <v>951</v>
      </c>
      <c r="M22" s="14" t="s">
        <v>3517</v>
      </c>
      <c r="N22" s="6" t="s">
        <v>3538</v>
      </c>
      <c r="O22" s="14" t="s">
        <v>3442</v>
      </c>
      <c r="P22" s="14" t="s">
        <v>3443</v>
      </c>
      <c r="Q22" s="14" t="s">
        <v>3444</v>
      </c>
      <c r="R22" s="14"/>
      <c r="S22" s="16" t="s">
        <v>946</v>
      </c>
      <c r="T22" s="14" t="s">
        <v>952</v>
      </c>
    </row>
    <row r="23" customFormat="false" ht="69.75" hidden="false" customHeight="true" outlineLevel="0" collapsed="false">
      <c r="A23" s="14" t="n">
        <v>21</v>
      </c>
      <c r="B23" s="14" t="s">
        <v>737</v>
      </c>
      <c r="C23" s="15" t="n">
        <v>23400</v>
      </c>
      <c r="D23" s="15" t="n">
        <v>84300</v>
      </c>
      <c r="E23" s="15" t="n">
        <v>1600</v>
      </c>
      <c r="F23" s="18" t="n">
        <v>52</v>
      </c>
      <c r="G23" s="19" t="n">
        <v>6</v>
      </c>
      <c r="H23" s="6" t="s">
        <v>3539</v>
      </c>
      <c r="I23" s="6" t="s">
        <v>739</v>
      </c>
      <c r="J23" s="6" t="s">
        <v>3540</v>
      </c>
      <c r="K23" s="6" t="s">
        <v>3541</v>
      </c>
      <c r="L23" s="6" t="s">
        <v>745</v>
      </c>
      <c r="M23" s="14" t="s">
        <v>3542</v>
      </c>
      <c r="N23" s="6" t="s">
        <v>3543</v>
      </c>
      <c r="O23" s="14" t="s">
        <v>3442</v>
      </c>
      <c r="P23" s="14" t="s">
        <v>3469</v>
      </c>
      <c r="Q23" s="14" t="s">
        <v>3444</v>
      </c>
      <c r="R23" s="14"/>
      <c r="S23" s="16" t="s">
        <v>738</v>
      </c>
      <c r="T23" s="14" t="s">
        <v>747</v>
      </c>
    </row>
    <row r="24" customFormat="false" ht="69.75" hidden="false" customHeight="true" outlineLevel="0" collapsed="false">
      <c r="A24" s="14" t="n">
        <v>22</v>
      </c>
      <c r="B24" s="14" t="s">
        <v>1319</v>
      </c>
      <c r="C24" s="15" t="n">
        <v>8100</v>
      </c>
      <c r="D24" s="15" t="n">
        <v>90900</v>
      </c>
      <c r="E24" s="15" t="n">
        <v>1900</v>
      </c>
      <c r="F24" s="18" t="n">
        <v>49.1</v>
      </c>
      <c r="G24" s="19" t="n">
        <v>4</v>
      </c>
      <c r="H24" s="6" t="s">
        <v>3544</v>
      </c>
      <c r="I24" s="6" t="s">
        <v>1321</v>
      </c>
      <c r="J24" s="6" t="s">
        <v>3545</v>
      </c>
      <c r="K24" s="6" t="s">
        <v>3546</v>
      </c>
      <c r="L24" s="6" t="s">
        <v>1326</v>
      </c>
      <c r="M24" s="14" t="s">
        <v>3547</v>
      </c>
      <c r="N24" s="6" t="s">
        <v>3548</v>
      </c>
      <c r="O24" s="14" t="s">
        <v>3450</v>
      </c>
      <c r="P24" s="14" t="s">
        <v>3469</v>
      </c>
      <c r="Q24" s="14" t="s">
        <v>3452</v>
      </c>
      <c r="R24" s="14"/>
      <c r="S24" s="16" t="s">
        <v>1320</v>
      </c>
      <c r="T24" s="14" t="s">
        <v>574</v>
      </c>
    </row>
    <row r="25" customFormat="false" ht="69.75" hidden="false" customHeight="true" outlineLevel="0" collapsed="false">
      <c r="A25" s="14" t="n">
        <v>23</v>
      </c>
      <c r="B25" s="14" t="s">
        <v>1378</v>
      </c>
      <c r="C25" s="15" t="n">
        <v>34500</v>
      </c>
      <c r="D25" s="15" t="n">
        <v>118200</v>
      </c>
      <c r="E25" s="15" t="n">
        <v>2600</v>
      </c>
      <c r="F25" s="18" t="n">
        <v>45.4</v>
      </c>
      <c r="G25" s="19" t="n">
        <v>6</v>
      </c>
      <c r="H25" s="6" t="s">
        <v>3549</v>
      </c>
      <c r="I25" s="6" t="s">
        <v>1380</v>
      </c>
      <c r="J25" s="6" t="s">
        <v>3550</v>
      </c>
      <c r="K25" s="6" t="s">
        <v>3551</v>
      </c>
      <c r="L25" s="6" t="s">
        <v>1384</v>
      </c>
      <c r="M25" s="14" t="s">
        <v>3448</v>
      </c>
      <c r="N25" s="6" t="s">
        <v>3552</v>
      </c>
      <c r="O25" s="14" t="s">
        <v>3442</v>
      </c>
      <c r="P25" s="14" t="s">
        <v>3469</v>
      </c>
      <c r="Q25" s="14" t="s">
        <v>3444</v>
      </c>
      <c r="R25" s="14"/>
      <c r="S25" s="16" t="s">
        <v>1379</v>
      </c>
      <c r="T25" s="14" t="s">
        <v>1386</v>
      </c>
    </row>
    <row r="26" customFormat="false" ht="69.75" hidden="false" customHeight="true" outlineLevel="0" collapsed="false">
      <c r="A26" s="14" t="n">
        <v>24</v>
      </c>
      <c r="B26" s="14" t="s">
        <v>1714</v>
      </c>
      <c r="C26" s="15" t="n">
        <v>98800</v>
      </c>
      <c r="D26" s="15" t="n">
        <v>177300</v>
      </c>
      <c r="E26" s="15" t="n">
        <v>4500</v>
      </c>
      <c r="F26" s="18" t="n">
        <v>39.3</v>
      </c>
      <c r="G26" s="19" t="n">
        <v>8</v>
      </c>
      <c r="H26" s="6" t="s">
        <v>3553</v>
      </c>
      <c r="I26" s="6" t="s">
        <v>1716</v>
      </c>
      <c r="J26" s="6" t="s">
        <v>3554</v>
      </c>
      <c r="K26" s="6" t="s">
        <v>3555</v>
      </c>
      <c r="L26" s="6" t="s">
        <v>1720</v>
      </c>
      <c r="M26" s="14" t="s">
        <v>3556</v>
      </c>
      <c r="N26" s="6" t="s">
        <v>3557</v>
      </c>
      <c r="O26" s="14" t="s">
        <v>3558</v>
      </c>
      <c r="P26" s="14" t="s">
        <v>3469</v>
      </c>
      <c r="Q26" s="14" t="s">
        <v>3452</v>
      </c>
      <c r="R26" s="14"/>
      <c r="S26" s="16" t="s">
        <v>1715</v>
      </c>
      <c r="T26" s="14" t="s">
        <v>1721</v>
      </c>
    </row>
    <row r="27" customFormat="false" ht="69.75" hidden="false" customHeight="true" outlineLevel="0" collapsed="false">
      <c r="A27" s="14" t="n">
        <v>25</v>
      </c>
      <c r="B27" s="14" t="s">
        <v>1881</v>
      </c>
      <c r="C27" s="15" t="n">
        <v>28100</v>
      </c>
      <c r="D27" s="15" t="n">
        <v>61100</v>
      </c>
      <c r="E27" s="15" t="n">
        <v>1900</v>
      </c>
      <c r="F27" s="18" t="n">
        <v>32.7</v>
      </c>
      <c r="G27" s="19" t="n">
        <v>4</v>
      </c>
      <c r="H27" s="6" t="s">
        <v>3559</v>
      </c>
      <c r="I27" s="6" t="s">
        <v>1883</v>
      </c>
      <c r="J27" s="6" t="s">
        <v>3560</v>
      </c>
      <c r="K27" s="6" t="s">
        <v>3561</v>
      </c>
      <c r="L27" s="6" t="s">
        <v>1886</v>
      </c>
      <c r="M27" s="14" t="s">
        <v>3522</v>
      </c>
      <c r="N27" s="6" t="s">
        <v>3562</v>
      </c>
      <c r="O27" s="14" t="s">
        <v>3442</v>
      </c>
      <c r="P27" s="14" t="s">
        <v>3443</v>
      </c>
      <c r="Q27" s="14" t="s">
        <v>3444</v>
      </c>
      <c r="R27" s="14"/>
      <c r="S27" s="16" t="s">
        <v>1882</v>
      </c>
      <c r="T27" s="14" t="s">
        <v>1280</v>
      </c>
    </row>
    <row r="28" customFormat="false" ht="69.75" hidden="false" customHeight="true" outlineLevel="0" collapsed="false">
      <c r="A28" s="14" t="n">
        <v>26</v>
      </c>
      <c r="B28" s="14" t="s">
        <v>1335</v>
      </c>
      <c r="C28" s="15" t="n">
        <v>24800</v>
      </c>
      <c r="D28" s="15" t="n">
        <v>99300</v>
      </c>
      <c r="E28" s="15" t="n">
        <v>3100</v>
      </c>
      <c r="F28" s="18" t="n">
        <v>31.9</v>
      </c>
      <c r="G28" s="19" t="n">
        <v>5.9</v>
      </c>
      <c r="H28" s="6" t="s">
        <v>3563</v>
      </c>
      <c r="I28" s="6" t="s">
        <v>1337</v>
      </c>
      <c r="J28" s="6" t="s">
        <v>3564</v>
      </c>
      <c r="K28" s="6" t="s">
        <v>3565</v>
      </c>
      <c r="L28" s="6" t="s">
        <v>1341</v>
      </c>
      <c r="M28" s="14" t="s">
        <v>3566</v>
      </c>
      <c r="N28" s="6" t="s">
        <v>3567</v>
      </c>
      <c r="O28" s="14" t="s">
        <v>3442</v>
      </c>
      <c r="P28" s="14" t="s">
        <v>3469</v>
      </c>
      <c r="Q28" s="14" t="s">
        <v>3452</v>
      </c>
      <c r="R28" s="14"/>
      <c r="S28" s="16" t="s">
        <v>1336</v>
      </c>
      <c r="T28" s="14" t="s">
        <v>562</v>
      </c>
    </row>
    <row r="29" customFormat="false" ht="69.75" hidden="false" customHeight="true" outlineLevel="0" collapsed="false">
      <c r="A29" s="14" t="n">
        <v>27</v>
      </c>
      <c r="B29" s="14" t="s">
        <v>1689</v>
      </c>
      <c r="C29" s="15" t="n">
        <v>22000</v>
      </c>
      <c r="D29" s="15" t="n">
        <v>77900</v>
      </c>
      <c r="E29" s="15" t="n">
        <v>2400</v>
      </c>
      <c r="F29" s="18" t="n">
        <v>31.8</v>
      </c>
      <c r="G29" s="19" t="n">
        <v>5</v>
      </c>
      <c r="H29" s="6" t="s">
        <v>3568</v>
      </c>
      <c r="I29" s="6" t="s">
        <v>1691</v>
      </c>
      <c r="J29" s="6" t="s">
        <v>3569</v>
      </c>
      <c r="K29" s="6" t="s">
        <v>3570</v>
      </c>
      <c r="L29" s="6" t="s">
        <v>1695</v>
      </c>
      <c r="M29" s="14" t="s">
        <v>3571</v>
      </c>
      <c r="N29" s="6" t="s">
        <v>3572</v>
      </c>
      <c r="O29" s="14" t="s">
        <v>3442</v>
      </c>
      <c r="P29" s="14" t="s">
        <v>3469</v>
      </c>
      <c r="Q29" s="14" t="s">
        <v>3452</v>
      </c>
      <c r="R29" s="14"/>
      <c r="S29" s="16" t="s">
        <v>1690</v>
      </c>
      <c r="T29" s="14" t="s">
        <v>574</v>
      </c>
    </row>
    <row r="30" customFormat="false" ht="69.75" hidden="false" customHeight="true" outlineLevel="0" collapsed="false">
      <c r="A30" s="14" t="n">
        <v>28</v>
      </c>
      <c r="B30" s="14" t="s">
        <v>2747</v>
      </c>
      <c r="C30" s="15" t="n">
        <v>51100</v>
      </c>
      <c r="D30" s="15" t="n">
        <v>95200</v>
      </c>
      <c r="E30" s="15" t="n">
        <v>3200</v>
      </c>
      <c r="F30" s="18" t="n">
        <v>29.7</v>
      </c>
      <c r="G30" s="19" t="n">
        <v>4</v>
      </c>
      <c r="H30" s="6" t="s">
        <v>3573</v>
      </c>
      <c r="I30" s="6" t="s">
        <v>2749</v>
      </c>
      <c r="J30" s="6" t="s">
        <v>3574</v>
      </c>
      <c r="K30" s="6" t="s">
        <v>3575</v>
      </c>
      <c r="L30" s="6" t="s">
        <v>2752</v>
      </c>
      <c r="M30" s="14" t="s">
        <v>3522</v>
      </c>
      <c r="N30" s="6" t="s">
        <v>3576</v>
      </c>
      <c r="O30" s="14" t="s">
        <v>3442</v>
      </c>
      <c r="P30" s="14" t="s">
        <v>3451</v>
      </c>
      <c r="Q30" s="14" t="s">
        <v>3444</v>
      </c>
      <c r="R30" s="14" t="n">
        <v>169</v>
      </c>
      <c r="S30" s="16" t="s">
        <v>2748</v>
      </c>
      <c r="T30" s="14" t="s">
        <v>747</v>
      </c>
    </row>
    <row r="31" customFormat="false" ht="69.75" hidden="false" customHeight="true" outlineLevel="0" collapsed="false">
      <c r="A31" s="14" t="n">
        <v>29</v>
      </c>
      <c r="B31" s="14" t="s">
        <v>2440</v>
      </c>
      <c r="C31" s="15" t="n">
        <v>40200</v>
      </c>
      <c r="D31" s="15" t="n">
        <v>185700</v>
      </c>
      <c r="E31" s="15" t="n">
        <v>6700</v>
      </c>
      <c r="F31" s="18" t="n">
        <v>27.8</v>
      </c>
      <c r="G31" s="19" t="n">
        <v>5</v>
      </c>
      <c r="H31" s="6" t="s">
        <v>3577</v>
      </c>
      <c r="I31" s="6" t="s">
        <v>2442</v>
      </c>
      <c r="J31" s="6" t="s">
        <v>3578</v>
      </c>
      <c r="K31" s="6" t="s">
        <v>3579</v>
      </c>
      <c r="L31" s="6" t="s">
        <v>2446</v>
      </c>
      <c r="M31" s="14" t="s">
        <v>3580</v>
      </c>
      <c r="N31" s="6" t="s">
        <v>3581</v>
      </c>
      <c r="O31" s="14" t="s">
        <v>3442</v>
      </c>
      <c r="P31" s="14" t="s">
        <v>3469</v>
      </c>
      <c r="Q31" s="14" t="s">
        <v>3444</v>
      </c>
      <c r="R31" s="14"/>
      <c r="S31" s="16" t="s">
        <v>2441</v>
      </c>
      <c r="T31" s="14" t="s">
        <v>747</v>
      </c>
    </row>
    <row r="32" customFormat="false" ht="69.75" hidden="false" customHeight="true" outlineLevel="0" collapsed="false">
      <c r="A32" s="14" t="n">
        <v>30</v>
      </c>
      <c r="B32" s="14" t="s">
        <v>2465</v>
      </c>
      <c r="C32" s="15" t="n">
        <v>32900</v>
      </c>
      <c r="D32" s="15" t="n">
        <v>1000000</v>
      </c>
      <c r="E32" s="15" t="n">
        <v>37800</v>
      </c>
      <c r="F32" s="18" t="n">
        <v>27.3</v>
      </c>
      <c r="G32" s="19" t="n">
        <v>5</v>
      </c>
      <c r="H32" s="6" t="s">
        <v>3582</v>
      </c>
      <c r="I32" s="6" t="s">
        <v>2467</v>
      </c>
      <c r="J32" s="6" t="s">
        <v>3583</v>
      </c>
      <c r="K32" s="6" t="s">
        <v>3584</v>
      </c>
      <c r="L32" s="6" t="s">
        <v>2471</v>
      </c>
      <c r="M32" s="14" t="s">
        <v>532</v>
      </c>
      <c r="N32" s="6" t="s">
        <v>3585</v>
      </c>
      <c r="O32" s="14" t="s">
        <v>3442</v>
      </c>
      <c r="P32" s="14" t="s">
        <v>3469</v>
      </c>
      <c r="Q32" s="14" t="s">
        <v>3444</v>
      </c>
      <c r="R32" s="14"/>
      <c r="S32" s="16" t="s">
        <v>2466</v>
      </c>
      <c r="T32" s="14" t="s">
        <v>747</v>
      </c>
    </row>
    <row r="33" customFormat="false" ht="69.75" hidden="false" customHeight="true" outlineLevel="0" collapsed="false">
      <c r="A33" s="14" t="n">
        <v>31</v>
      </c>
      <c r="B33" s="14" t="s">
        <v>2231</v>
      </c>
      <c r="C33" s="15" t="n">
        <v>5100</v>
      </c>
      <c r="D33" s="15" t="n">
        <v>119800</v>
      </c>
      <c r="E33" s="15" t="n">
        <v>4900</v>
      </c>
      <c r="F33" s="18" t="n">
        <v>24.5</v>
      </c>
      <c r="G33" s="19" t="n">
        <v>4</v>
      </c>
      <c r="H33" s="6" t="s">
        <v>3586</v>
      </c>
      <c r="I33" s="6" t="s">
        <v>2233</v>
      </c>
      <c r="J33" s="6" t="s">
        <v>3587</v>
      </c>
      <c r="K33" s="6" t="s">
        <v>3588</v>
      </c>
      <c r="L33" s="6" t="s">
        <v>2238</v>
      </c>
      <c r="M33" s="14" t="s">
        <v>3589</v>
      </c>
      <c r="N33" s="6" t="s">
        <v>3590</v>
      </c>
      <c r="O33" s="14" t="s">
        <v>3442</v>
      </c>
      <c r="P33" s="14" t="s">
        <v>3443</v>
      </c>
      <c r="Q33" s="14" t="s">
        <v>3444</v>
      </c>
      <c r="R33" s="14"/>
      <c r="S33" s="16" t="s">
        <v>2232</v>
      </c>
      <c r="T33" s="14" t="s">
        <v>1593</v>
      </c>
    </row>
    <row r="34" customFormat="false" ht="69.75" hidden="false" customHeight="true" outlineLevel="0" collapsed="false">
      <c r="A34" s="14" t="n">
        <v>32</v>
      </c>
      <c r="B34" s="14" t="s">
        <v>1344</v>
      </c>
      <c r="C34" s="15" t="n">
        <v>8200</v>
      </c>
      <c r="D34" s="15" t="n">
        <v>61500</v>
      </c>
      <c r="E34" s="15" t="n">
        <v>2700</v>
      </c>
      <c r="F34" s="18" t="n">
        <v>22.4</v>
      </c>
      <c r="G34" s="19" t="n">
        <v>7</v>
      </c>
      <c r="H34" s="6" t="s">
        <v>3591</v>
      </c>
      <c r="I34" s="6" t="s">
        <v>1346</v>
      </c>
      <c r="J34" s="6" t="s">
        <v>3592</v>
      </c>
      <c r="K34" s="6" t="s">
        <v>3593</v>
      </c>
      <c r="L34" s="6" t="s">
        <v>1351</v>
      </c>
      <c r="M34" s="14" t="s">
        <v>3594</v>
      </c>
      <c r="N34" s="6" t="s">
        <v>3595</v>
      </c>
      <c r="O34" s="14" t="s">
        <v>3442</v>
      </c>
      <c r="P34" s="14" t="s">
        <v>3443</v>
      </c>
      <c r="Q34" s="14" t="s">
        <v>3444</v>
      </c>
      <c r="R34" s="14"/>
      <c r="S34" s="16" t="s">
        <v>1345</v>
      </c>
      <c r="T34" s="14" t="s">
        <v>923</v>
      </c>
    </row>
    <row r="35" customFormat="false" ht="69.75" hidden="false" customHeight="true" outlineLevel="0" collapsed="false">
      <c r="A35" s="14" t="n">
        <v>33</v>
      </c>
      <c r="B35" s="14" t="s">
        <v>1757</v>
      </c>
      <c r="C35" s="15" t="n">
        <v>17700</v>
      </c>
      <c r="D35" s="15" t="n">
        <v>59300</v>
      </c>
      <c r="E35" s="15" t="n">
        <v>2800</v>
      </c>
      <c r="F35" s="18" t="n">
        <v>21.3</v>
      </c>
      <c r="G35" s="19" t="n">
        <v>6</v>
      </c>
      <c r="H35" s="6" t="s">
        <v>3596</v>
      </c>
      <c r="I35" s="6" t="s">
        <v>1759</v>
      </c>
      <c r="J35" s="6" t="s">
        <v>3597</v>
      </c>
      <c r="K35" s="6" t="s">
        <v>3598</v>
      </c>
      <c r="L35" s="6" t="s">
        <v>1763</v>
      </c>
      <c r="M35" s="14" t="s">
        <v>3599</v>
      </c>
      <c r="N35" s="6" t="s">
        <v>3600</v>
      </c>
      <c r="O35" s="14" t="s">
        <v>3442</v>
      </c>
      <c r="P35" s="14" t="s">
        <v>3443</v>
      </c>
      <c r="Q35" s="14" t="s">
        <v>3452</v>
      </c>
      <c r="R35" s="14"/>
      <c r="S35" s="16" t="s">
        <v>1758</v>
      </c>
      <c r="T35" s="14" t="s">
        <v>1386</v>
      </c>
    </row>
    <row r="36" customFormat="false" ht="69.75" hidden="false" customHeight="true" outlineLevel="0" collapsed="false">
      <c r="A36" s="14" t="n">
        <v>34</v>
      </c>
      <c r="B36" s="14" t="s">
        <v>3008</v>
      </c>
      <c r="C36" s="15" t="n">
        <v>47300</v>
      </c>
      <c r="D36" s="15" t="n">
        <v>266600</v>
      </c>
      <c r="E36" s="15" t="n">
        <v>12900</v>
      </c>
      <c r="F36" s="18" t="n">
        <v>20.7</v>
      </c>
      <c r="G36" s="19" t="n">
        <v>4</v>
      </c>
      <c r="H36" s="6" t="s">
        <v>3601</v>
      </c>
      <c r="I36" s="6" t="s">
        <v>3010</v>
      </c>
      <c r="J36" s="6" t="s">
        <v>3602</v>
      </c>
      <c r="K36" s="6" t="s">
        <v>3603</v>
      </c>
      <c r="L36" s="6" t="s">
        <v>3013</v>
      </c>
      <c r="M36" s="14" t="s">
        <v>3522</v>
      </c>
      <c r="N36" s="6" t="s">
        <v>3604</v>
      </c>
      <c r="O36" s="14" t="s">
        <v>3442</v>
      </c>
      <c r="P36" s="14" t="s">
        <v>3443</v>
      </c>
      <c r="Q36" s="14" t="s">
        <v>3444</v>
      </c>
      <c r="R36" s="14"/>
      <c r="S36" s="16" t="s">
        <v>3009</v>
      </c>
      <c r="T36" s="14" t="s">
        <v>1260</v>
      </c>
    </row>
    <row r="37" customFormat="false" ht="69.75" hidden="false" customHeight="true" outlineLevel="0" collapsed="false">
      <c r="A37" s="14" t="n">
        <v>35</v>
      </c>
      <c r="B37" s="14" t="s">
        <v>1344</v>
      </c>
      <c r="C37" s="15" t="n">
        <v>8200</v>
      </c>
      <c r="D37" s="15" t="n">
        <v>58100</v>
      </c>
      <c r="E37" s="15" t="n">
        <v>2900</v>
      </c>
      <c r="F37" s="18" t="n">
        <v>20.4</v>
      </c>
      <c r="G37" s="19" t="n">
        <v>5</v>
      </c>
      <c r="H37" s="6" t="s">
        <v>3605</v>
      </c>
      <c r="I37" s="6" t="s">
        <v>2043</v>
      </c>
      <c r="J37" s="6" t="s">
        <v>3606</v>
      </c>
      <c r="K37" s="6" t="s">
        <v>3607</v>
      </c>
      <c r="L37" s="6" t="s">
        <v>2046</v>
      </c>
      <c r="M37" s="14" t="s">
        <v>3608</v>
      </c>
      <c r="N37" s="6" t="s">
        <v>3609</v>
      </c>
      <c r="O37" s="14" t="s">
        <v>3442</v>
      </c>
      <c r="P37" s="14" t="s">
        <v>3451</v>
      </c>
      <c r="Q37" s="14" t="s">
        <v>3444</v>
      </c>
      <c r="R37" s="14"/>
      <c r="S37" s="16" t="s">
        <v>2042</v>
      </c>
      <c r="T37" s="14" t="s">
        <v>574</v>
      </c>
    </row>
    <row r="38" customFormat="false" ht="69.75" hidden="false" customHeight="true" outlineLevel="0" collapsed="false">
      <c r="A38" s="14" t="n">
        <v>36</v>
      </c>
      <c r="B38" s="14" t="s">
        <v>1139</v>
      </c>
      <c r="C38" s="15" t="n">
        <v>7300</v>
      </c>
      <c r="D38" s="15" t="n">
        <v>46900</v>
      </c>
      <c r="E38" s="15" t="n">
        <v>2400</v>
      </c>
      <c r="F38" s="18" t="n">
        <v>19.8</v>
      </c>
      <c r="G38" s="19" t="n">
        <v>8</v>
      </c>
      <c r="H38" s="6" t="s">
        <v>3610</v>
      </c>
      <c r="I38" s="6" t="s">
        <v>1141</v>
      </c>
      <c r="J38" s="6" t="s">
        <v>3611</v>
      </c>
      <c r="K38" s="6" t="s">
        <v>3612</v>
      </c>
      <c r="L38" s="6" t="s">
        <v>1146</v>
      </c>
      <c r="M38" s="14" t="s">
        <v>3613</v>
      </c>
      <c r="N38" s="6" t="s">
        <v>3614</v>
      </c>
      <c r="O38" s="14" t="s">
        <v>3442</v>
      </c>
      <c r="P38" s="14" t="s">
        <v>3469</v>
      </c>
      <c r="Q38" s="14" t="s">
        <v>3444</v>
      </c>
      <c r="R38" s="14"/>
      <c r="S38" s="16" t="s">
        <v>1140</v>
      </c>
      <c r="T38" s="14" t="s">
        <v>574</v>
      </c>
    </row>
    <row r="39" customFormat="false" ht="69.75" hidden="false" customHeight="true" outlineLevel="0" collapsed="false">
      <c r="A39" s="14" t="n">
        <v>37</v>
      </c>
      <c r="B39" s="14" t="s">
        <v>2797</v>
      </c>
      <c r="C39" s="15" t="n">
        <v>31600</v>
      </c>
      <c r="D39" s="15" t="n">
        <v>48900</v>
      </c>
      <c r="E39" s="15" t="n">
        <v>2500</v>
      </c>
      <c r="F39" s="18" t="n">
        <v>19.2</v>
      </c>
      <c r="G39" s="19" t="n">
        <v>5</v>
      </c>
      <c r="H39" s="6" t="s">
        <v>3615</v>
      </c>
      <c r="I39" s="6" t="s">
        <v>2799</v>
      </c>
      <c r="J39" s="6" t="s">
        <v>3616</v>
      </c>
      <c r="K39" s="6" t="s">
        <v>3617</v>
      </c>
      <c r="L39" s="6" t="s">
        <v>2803</v>
      </c>
      <c r="M39" s="14" t="s">
        <v>3618</v>
      </c>
      <c r="N39" s="6" t="s">
        <v>3619</v>
      </c>
      <c r="O39" s="14" t="s">
        <v>3442</v>
      </c>
      <c r="P39" s="14" t="s">
        <v>3443</v>
      </c>
      <c r="Q39" s="14" t="s">
        <v>3452</v>
      </c>
      <c r="R39" s="14"/>
      <c r="S39" s="16" t="s">
        <v>2798</v>
      </c>
      <c r="T39" s="14" t="s">
        <v>1640</v>
      </c>
    </row>
    <row r="40" customFormat="false" ht="69.75" hidden="false" customHeight="true" outlineLevel="0" collapsed="false">
      <c r="A40" s="14" t="n">
        <v>38</v>
      </c>
      <c r="B40" s="14" t="s">
        <v>2386</v>
      </c>
      <c r="C40" s="15" t="n">
        <v>11000</v>
      </c>
      <c r="D40" s="15" t="n">
        <v>169200</v>
      </c>
      <c r="E40" s="15" t="n">
        <v>12400</v>
      </c>
      <c r="F40" s="18" t="n">
        <v>13.6</v>
      </c>
      <c r="G40" s="19" t="n">
        <v>5</v>
      </c>
      <c r="H40" s="6" t="s">
        <v>3620</v>
      </c>
      <c r="I40" s="6" t="s">
        <v>2388</v>
      </c>
      <c r="J40" s="6" t="s">
        <v>3621</v>
      </c>
      <c r="K40" s="6" t="s">
        <v>3622</v>
      </c>
      <c r="L40" s="6" t="s">
        <v>2391</v>
      </c>
      <c r="M40" s="14" t="s">
        <v>3522</v>
      </c>
      <c r="N40" s="6" t="s">
        <v>3576</v>
      </c>
      <c r="O40" s="14" t="s">
        <v>3442</v>
      </c>
      <c r="P40" s="14" t="s">
        <v>3443</v>
      </c>
      <c r="Q40" s="14" t="s">
        <v>3444</v>
      </c>
      <c r="R40" s="14"/>
      <c r="S40" s="16" t="s">
        <v>2387</v>
      </c>
      <c r="T40" s="14" t="s">
        <v>1593</v>
      </c>
    </row>
    <row r="41" customFormat="false" ht="69.75" hidden="false" customHeight="true" outlineLevel="0" collapsed="false">
      <c r="A41" s="14" t="n">
        <v>39</v>
      </c>
      <c r="B41" s="14" t="s">
        <v>2019</v>
      </c>
      <c r="C41" s="15" t="n">
        <v>7300</v>
      </c>
      <c r="D41" s="15" t="n">
        <v>88500</v>
      </c>
      <c r="E41" s="15" t="n">
        <v>6900</v>
      </c>
      <c r="F41" s="18" t="n">
        <v>12.9</v>
      </c>
      <c r="G41" s="19" t="n">
        <v>6</v>
      </c>
      <c r="H41" s="6" t="s">
        <v>3623</v>
      </c>
      <c r="I41" s="6" t="s">
        <v>2021</v>
      </c>
      <c r="J41" s="6" t="s">
        <v>3624</v>
      </c>
      <c r="K41" s="6" t="s">
        <v>3625</v>
      </c>
      <c r="L41" s="6" t="s">
        <v>2025</v>
      </c>
      <c r="M41" s="14" t="s">
        <v>3626</v>
      </c>
      <c r="N41" s="6" t="s">
        <v>3627</v>
      </c>
      <c r="O41" s="14" t="s">
        <v>3450</v>
      </c>
      <c r="P41" s="14" t="s">
        <v>3469</v>
      </c>
      <c r="Q41" s="14" t="s">
        <v>3452</v>
      </c>
      <c r="R41" s="14"/>
      <c r="S41" s="16" t="s">
        <v>2020</v>
      </c>
      <c r="T41" s="14" t="s">
        <v>923</v>
      </c>
    </row>
    <row r="42" customFormat="false" ht="69.75" hidden="false" customHeight="true" outlineLevel="0" collapsed="false">
      <c r="A42" s="14" t="n">
        <v>40</v>
      </c>
      <c r="B42" s="14" t="s">
        <v>2920</v>
      </c>
      <c r="C42" s="15" t="n">
        <v>85000</v>
      </c>
      <c r="D42" s="15" t="n">
        <v>809100</v>
      </c>
      <c r="E42" s="15" t="n">
        <v>111800</v>
      </c>
      <c r="F42" s="18" t="n">
        <v>7.2</v>
      </c>
      <c r="G42" s="19" t="n">
        <v>8</v>
      </c>
      <c r="H42" s="6" t="s">
        <v>3519</v>
      </c>
      <c r="I42" s="6" t="s">
        <v>2922</v>
      </c>
      <c r="J42" s="6" t="s">
        <v>3628</v>
      </c>
      <c r="K42" s="6" t="s">
        <v>3629</v>
      </c>
      <c r="L42" s="6" t="s">
        <v>2926</v>
      </c>
      <c r="M42" s="14" t="s">
        <v>3630</v>
      </c>
      <c r="N42" s="6" t="s">
        <v>3631</v>
      </c>
      <c r="O42" s="14" t="s">
        <v>3450</v>
      </c>
      <c r="P42" s="14" t="s">
        <v>3451</v>
      </c>
      <c r="Q42" s="14" t="s">
        <v>3444</v>
      </c>
      <c r="R42" s="14"/>
      <c r="S42" s="16" t="s">
        <v>2921</v>
      </c>
      <c r="T42" s="14" t="s">
        <v>1593</v>
      </c>
    </row>
    <row r="43" customFormat="false" ht="69.75" hidden="false" customHeight="true" outlineLevel="0" collapsed="false">
      <c r="A43" s="14" t="n">
        <v>41</v>
      </c>
      <c r="B43" s="14" t="s">
        <v>3632</v>
      </c>
      <c r="C43" s="15" t="n">
        <v>14100</v>
      </c>
      <c r="D43" s="15" t="n">
        <v>10000000</v>
      </c>
      <c r="E43" s="15" t="n">
        <v>6000</v>
      </c>
      <c r="F43" s="18" t="n">
        <v>1661.2</v>
      </c>
      <c r="G43" s="19" t="n">
        <v>1</v>
      </c>
      <c r="H43" s="6" t="s">
        <v>3601</v>
      </c>
      <c r="I43" s="6"/>
      <c r="J43" s="6"/>
      <c r="K43" s="6"/>
      <c r="L43" s="6" t="s">
        <v>3633</v>
      </c>
      <c r="M43" s="14" t="s">
        <v>3634</v>
      </c>
      <c r="N43" s="6" t="s">
        <v>3635</v>
      </c>
      <c r="O43" s="14" t="s">
        <v>3450</v>
      </c>
      <c r="P43" s="14" t="s">
        <v>3469</v>
      </c>
      <c r="Q43" s="14" t="s">
        <v>3452</v>
      </c>
      <c r="R43" s="14"/>
      <c r="S43" s="16" t="s">
        <v>3636</v>
      </c>
      <c r="T43" s="14" t="s">
        <v>2555</v>
      </c>
    </row>
    <row r="44" customFormat="false" ht="69.75" hidden="false" customHeight="true" outlineLevel="0" collapsed="false">
      <c r="A44" s="14" t="n">
        <v>42</v>
      </c>
      <c r="B44" s="14" t="s">
        <v>3637</v>
      </c>
      <c r="C44" s="15" t="n">
        <v>27000</v>
      </c>
      <c r="D44" s="15" t="n">
        <v>9700000</v>
      </c>
      <c r="E44" s="15" t="n">
        <v>9600</v>
      </c>
      <c r="F44" s="18" t="n">
        <v>1008.9</v>
      </c>
      <c r="G44" s="19" t="n">
        <v>1</v>
      </c>
      <c r="H44" s="6" t="s">
        <v>3638</v>
      </c>
      <c r="I44" s="6" t="s">
        <v>3639</v>
      </c>
      <c r="J44" s="6" t="s">
        <v>3640</v>
      </c>
      <c r="K44" s="6" t="s">
        <v>3641</v>
      </c>
      <c r="L44" s="6" t="s">
        <v>3642</v>
      </c>
      <c r="M44" s="14" t="s">
        <v>3512</v>
      </c>
      <c r="N44" s="6" t="s">
        <v>3643</v>
      </c>
      <c r="O44" s="14" t="s">
        <v>3644</v>
      </c>
      <c r="P44" s="14" t="s">
        <v>3451</v>
      </c>
      <c r="Q44" s="14" t="s">
        <v>3444</v>
      </c>
      <c r="R44" s="14"/>
      <c r="S44" s="16" t="s">
        <v>3645</v>
      </c>
      <c r="T44" s="14" t="s">
        <v>2555</v>
      </c>
    </row>
    <row r="45" customFormat="false" ht="69.75" hidden="false" customHeight="true" outlineLevel="0" collapsed="false">
      <c r="A45" s="14" t="n">
        <v>43</v>
      </c>
      <c r="B45" s="14" t="s">
        <v>3646</v>
      </c>
      <c r="C45" s="15" t="n">
        <v>18200</v>
      </c>
      <c r="D45" s="15" t="n">
        <v>274600</v>
      </c>
      <c r="E45" s="15" t="n">
        <v>293</v>
      </c>
      <c r="F45" s="18" t="n">
        <v>937.1</v>
      </c>
      <c r="G45" s="19" t="n">
        <v>1</v>
      </c>
      <c r="H45" s="6" t="s">
        <v>3647</v>
      </c>
      <c r="I45" s="6" t="s">
        <v>3648</v>
      </c>
      <c r="J45" s="6" t="s">
        <v>3649</v>
      </c>
      <c r="K45" s="6" t="s">
        <v>3650</v>
      </c>
      <c r="L45" s="6" t="s">
        <v>3651</v>
      </c>
      <c r="M45" s="14" t="s">
        <v>3652</v>
      </c>
      <c r="N45" s="6" t="s">
        <v>3653</v>
      </c>
      <c r="O45" s="14" t="s">
        <v>3442</v>
      </c>
      <c r="P45" s="14" t="s">
        <v>3443</v>
      </c>
      <c r="Q45" s="14" t="s">
        <v>3444</v>
      </c>
      <c r="R45" s="14"/>
      <c r="S45" s="16" t="s">
        <v>3654</v>
      </c>
      <c r="T45" s="14" t="s">
        <v>747</v>
      </c>
    </row>
    <row r="46" customFormat="false" ht="69.75" hidden="false" customHeight="true" outlineLevel="0" collapsed="false">
      <c r="A46" s="14" t="n">
        <v>44</v>
      </c>
      <c r="B46" s="14" t="s">
        <v>1631</v>
      </c>
      <c r="C46" s="15" t="n">
        <v>11000</v>
      </c>
      <c r="D46" s="15" t="n">
        <v>1400000</v>
      </c>
      <c r="E46" s="15" t="n">
        <v>1500</v>
      </c>
      <c r="F46" s="18" t="n">
        <v>905</v>
      </c>
      <c r="G46" s="19" t="n">
        <v>3</v>
      </c>
      <c r="H46" s="6" t="s">
        <v>3655</v>
      </c>
      <c r="I46" s="6" t="s">
        <v>1633</v>
      </c>
      <c r="J46" s="6" t="s">
        <v>3656</v>
      </c>
      <c r="K46" s="6" t="s">
        <v>3657</v>
      </c>
      <c r="L46" s="6" t="s">
        <v>1639</v>
      </c>
      <c r="M46" s="14" t="s">
        <v>3658</v>
      </c>
      <c r="N46" s="6" t="s">
        <v>3659</v>
      </c>
      <c r="O46" s="14" t="s">
        <v>3442</v>
      </c>
      <c r="P46" s="14" t="s">
        <v>3469</v>
      </c>
      <c r="Q46" s="14" t="s">
        <v>3452</v>
      </c>
      <c r="R46" s="14"/>
      <c r="S46" s="16" t="s">
        <v>1632</v>
      </c>
      <c r="T46" s="14" t="s">
        <v>1640</v>
      </c>
    </row>
    <row r="47" customFormat="false" ht="69.75" hidden="false" customHeight="true" outlineLevel="0" collapsed="false">
      <c r="A47" s="14" t="n">
        <v>45</v>
      </c>
      <c r="B47" s="14" t="s">
        <v>1541</v>
      </c>
      <c r="C47" s="15" t="n">
        <v>5500</v>
      </c>
      <c r="D47" s="15" t="n">
        <v>237000</v>
      </c>
      <c r="E47" s="15" t="n">
        <v>288</v>
      </c>
      <c r="F47" s="18" t="n">
        <v>822.9</v>
      </c>
      <c r="G47" s="19" t="n">
        <v>3</v>
      </c>
      <c r="H47" s="6" t="s">
        <v>3660</v>
      </c>
      <c r="I47" s="6" t="s">
        <v>1543</v>
      </c>
      <c r="J47" s="6" t="s">
        <v>3661</v>
      </c>
      <c r="K47" s="6" t="s">
        <v>3662</v>
      </c>
      <c r="L47" s="6" t="s">
        <v>1548</v>
      </c>
      <c r="M47" s="14" t="s">
        <v>3663</v>
      </c>
      <c r="N47" s="6" t="s">
        <v>3664</v>
      </c>
      <c r="O47" s="14" t="s">
        <v>3450</v>
      </c>
      <c r="P47" s="14" t="s">
        <v>3443</v>
      </c>
      <c r="Q47" s="14" t="s">
        <v>3444</v>
      </c>
      <c r="R47" s="14"/>
      <c r="S47" s="16" t="s">
        <v>1542</v>
      </c>
      <c r="T47" s="14" t="s">
        <v>1549</v>
      </c>
    </row>
    <row r="48" customFormat="false" ht="69.75" hidden="false" customHeight="true" outlineLevel="0" collapsed="false">
      <c r="A48" s="14" t="n">
        <v>46</v>
      </c>
      <c r="B48" s="14" t="s">
        <v>1559</v>
      </c>
      <c r="C48" s="15" t="n">
        <v>22200</v>
      </c>
      <c r="D48" s="15" t="n">
        <v>552800</v>
      </c>
      <c r="E48" s="15" t="n">
        <v>847.75</v>
      </c>
      <c r="F48" s="18" t="n">
        <v>652.1</v>
      </c>
      <c r="G48" s="19" t="n">
        <v>3</v>
      </c>
      <c r="H48" s="6" t="s">
        <v>3665</v>
      </c>
      <c r="I48" s="6" t="s">
        <v>1561</v>
      </c>
      <c r="J48" s="6" t="s">
        <v>3666</v>
      </c>
      <c r="K48" s="6" t="s">
        <v>3667</v>
      </c>
      <c r="L48" s="6" t="s">
        <v>1565</v>
      </c>
      <c r="M48" s="14" t="s">
        <v>3556</v>
      </c>
      <c r="N48" s="6" t="s">
        <v>3668</v>
      </c>
      <c r="O48" s="14" t="s">
        <v>3442</v>
      </c>
      <c r="P48" s="14" t="s">
        <v>3469</v>
      </c>
      <c r="Q48" s="14" t="s">
        <v>3452</v>
      </c>
      <c r="R48" s="14"/>
      <c r="S48" s="16" t="s">
        <v>1560</v>
      </c>
      <c r="T48" s="14" t="s">
        <v>747</v>
      </c>
    </row>
    <row r="49" customFormat="false" ht="69.75" hidden="false" customHeight="true" outlineLevel="0" collapsed="false">
      <c r="A49" s="14" t="n">
        <v>47</v>
      </c>
      <c r="B49" s="14" t="s">
        <v>3669</v>
      </c>
      <c r="C49" s="15" t="n">
        <v>75000</v>
      </c>
      <c r="D49" s="15" t="n">
        <v>6800000</v>
      </c>
      <c r="E49" s="15" t="n">
        <v>13300</v>
      </c>
      <c r="F49" s="18" t="n">
        <v>511.4</v>
      </c>
      <c r="G49" s="19" t="n">
        <v>1</v>
      </c>
      <c r="H49" s="6" t="s">
        <v>3670</v>
      </c>
      <c r="I49" s="6" t="s">
        <v>3671</v>
      </c>
      <c r="J49" s="6" t="s">
        <v>3672</v>
      </c>
      <c r="K49" s="6" t="s">
        <v>3673</v>
      </c>
      <c r="L49" s="6" t="s">
        <v>3674</v>
      </c>
      <c r="M49" s="14" t="s">
        <v>3675</v>
      </c>
      <c r="N49" s="6" t="s">
        <v>3676</v>
      </c>
      <c r="O49" s="14" t="s">
        <v>3450</v>
      </c>
      <c r="P49" s="14" t="s">
        <v>3443</v>
      </c>
      <c r="Q49" s="14" t="s">
        <v>3452</v>
      </c>
      <c r="R49" s="14"/>
      <c r="S49" s="16" t="s">
        <v>3677</v>
      </c>
      <c r="T49" s="14" t="s">
        <v>952</v>
      </c>
    </row>
    <row r="50" customFormat="false" ht="69.75" hidden="false" customHeight="true" outlineLevel="0" collapsed="false">
      <c r="A50" s="14" t="n">
        <v>48</v>
      </c>
      <c r="B50" s="14" t="s">
        <v>2160</v>
      </c>
      <c r="C50" s="15" t="n">
        <v>32600</v>
      </c>
      <c r="D50" s="15" t="n">
        <v>640100</v>
      </c>
      <c r="E50" s="15" t="n">
        <v>1600</v>
      </c>
      <c r="F50" s="18" t="n">
        <v>409.5</v>
      </c>
      <c r="G50" s="19" t="n">
        <v>3</v>
      </c>
      <c r="H50" s="6" t="s">
        <v>3678</v>
      </c>
      <c r="I50" s="6" t="s">
        <v>2162</v>
      </c>
      <c r="J50" s="6" t="s">
        <v>3679</v>
      </c>
      <c r="K50" s="6" t="s">
        <v>3680</v>
      </c>
      <c r="L50" s="6" t="s">
        <v>2167</v>
      </c>
      <c r="M50" s="14" t="s">
        <v>3681</v>
      </c>
      <c r="N50" s="6" t="s">
        <v>3682</v>
      </c>
      <c r="O50" s="14" t="s">
        <v>3450</v>
      </c>
      <c r="P50" s="14" t="s">
        <v>3443</v>
      </c>
      <c r="Q50" s="14" t="s">
        <v>3444</v>
      </c>
      <c r="R50" s="14"/>
      <c r="S50" s="16" t="s">
        <v>2161</v>
      </c>
      <c r="T50" s="14" t="s">
        <v>923</v>
      </c>
    </row>
    <row r="51" customFormat="false" ht="69.75" hidden="false" customHeight="true" outlineLevel="0" collapsed="false">
      <c r="A51" s="14" t="n">
        <v>49</v>
      </c>
      <c r="B51" s="14" t="s">
        <v>3683</v>
      </c>
      <c r="C51" s="15" t="n">
        <v>13200</v>
      </c>
      <c r="D51" s="15" t="n">
        <v>1200000</v>
      </c>
      <c r="E51" s="15" t="n">
        <v>2900</v>
      </c>
      <c r="F51" s="18" t="n">
        <v>408.1</v>
      </c>
      <c r="G51" s="19" t="n">
        <v>2</v>
      </c>
      <c r="H51" s="6" t="s">
        <v>3601</v>
      </c>
      <c r="I51" s="6" t="s">
        <v>3684</v>
      </c>
      <c r="J51" s="6" t="s">
        <v>3685</v>
      </c>
      <c r="K51" s="6" t="s">
        <v>3686</v>
      </c>
      <c r="L51" s="6" t="s">
        <v>3687</v>
      </c>
      <c r="M51" s="14" t="s">
        <v>3688</v>
      </c>
      <c r="N51" s="6" t="s">
        <v>3689</v>
      </c>
      <c r="O51" s="14" t="s">
        <v>3450</v>
      </c>
      <c r="P51" s="14" t="s">
        <v>3451</v>
      </c>
      <c r="Q51" s="14" t="s">
        <v>3452</v>
      </c>
      <c r="R51" s="14"/>
      <c r="S51" s="16" t="s">
        <v>3690</v>
      </c>
      <c r="T51" s="14" t="s">
        <v>1260</v>
      </c>
    </row>
    <row r="52" customFormat="false" ht="69.75" hidden="false" customHeight="true" outlineLevel="0" collapsed="false">
      <c r="A52" s="14" t="n">
        <v>50</v>
      </c>
      <c r="B52" s="14" t="s">
        <v>3691</v>
      </c>
      <c r="C52" s="15" t="n">
        <v>11500</v>
      </c>
      <c r="D52" s="15" t="n">
        <v>1200000</v>
      </c>
      <c r="E52" s="15" t="n">
        <v>3000</v>
      </c>
      <c r="F52" s="18" t="n">
        <v>389.8</v>
      </c>
      <c r="G52" s="19" t="n">
        <v>1</v>
      </c>
      <c r="H52" s="6" t="s">
        <v>3445</v>
      </c>
      <c r="I52" s="6" t="s">
        <v>3692</v>
      </c>
      <c r="J52" s="6" t="s">
        <v>3693</v>
      </c>
      <c r="K52" s="6" t="s">
        <v>3694</v>
      </c>
      <c r="L52" s="6" t="s">
        <v>3695</v>
      </c>
      <c r="M52" s="14" t="s">
        <v>3696</v>
      </c>
      <c r="N52" s="6" t="s">
        <v>3697</v>
      </c>
      <c r="O52" s="14" t="s">
        <v>3442</v>
      </c>
      <c r="P52" s="14" t="s">
        <v>3469</v>
      </c>
      <c r="Q52" s="14" t="s">
        <v>3444</v>
      </c>
      <c r="R52" s="14"/>
      <c r="S52" s="16" t="s">
        <v>3698</v>
      </c>
      <c r="T52" s="14" t="s">
        <v>1280</v>
      </c>
    </row>
    <row r="53" customFormat="false" ht="69.75" hidden="false" customHeight="true" outlineLevel="0" collapsed="false">
      <c r="A53" s="14" t="n">
        <v>51</v>
      </c>
      <c r="B53" s="14" t="s">
        <v>3699</v>
      </c>
      <c r="C53" s="15" t="n">
        <v>30500</v>
      </c>
      <c r="D53" s="15" t="n">
        <v>4500000</v>
      </c>
      <c r="E53" s="15" t="n">
        <v>11800</v>
      </c>
      <c r="F53" s="18" t="n">
        <v>375.8</v>
      </c>
      <c r="G53" s="19" t="n">
        <v>2.3</v>
      </c>
      <c r="H53" s="6" t="s">
        <v>3700</v>
      </c>
      <c r="I53" s="6" t="s">
        <v>3701</v>
      </c>
      <c r="J53" s="6" t="s">
        <v>3702</v>
      </c>
      <c r="K53" s="6" t="s">
        <v>3703</v>
      </c>
      <c r="L53" s="6" t="s">
        <v>3704</v>
      </c>
      <c r="M53" s="14" t="s">
        <v>3705</v>
      </c>
      <c r="N53" s="6" t="s">
        <v>3706</v>
      </c>
      <c r="O53" s="14" t="s">
        <v>3450</v>
      </c>
      <c r="P53" s="14" t="s">
        <v>3469</v>
      </c>
      <c r="Q53" s="14" t="s">
        <v>3452</v>
      </c>
      <c r="R53" s="14"/>
      <c r="S53" s="16" t="s">
        <v>3707</v>
      </c>
      <c r="T53" s="14" t="s">
        <v>1640</v>
      </c>
    </row>
    <row r="54" customFormat="false" ht="69.75" hidden="false" customHeight="true" outlineLevel="0" collapsed="false">
      <c r="A54" s="14" t="n">
        <v>52</v>
      </c>
      <c r="B54" s="14" t="s">
        <v>3708</v>
      </c>
      <c r="C54" s="15" t="n">
        <v>36000</v>
      </c>
      <c r="D54" s="15" t="n">
        <v>743000</v>
      </c>
      <c r="E54" s="15" t="n">
        <v>2100</v>
      </c>
      <c r="F54" s="18" t="n">
        <v>356.8</v>
      </c>
      <c r="G54" s="19" t="n">
        <v>2</v>
      </c>
      <c r="H54" s="6" t="s">
        <v>3601</v>
      </c>
      <c r="I54" s="6" t="s">
        <v>3709</v>
      </c>
      <c r="J54" s="6" t="s">
        <v>3710</v>
      </c>
      <c r="K54" s="6" t="s">
        <v>3711</v>
      </c>
      <c r="L54" s="6" t="s">
        <v>3712</v>
      </c>
      <c r="M54" s="14" t="s">
        <v>3527</v>
      </c>
      <c r="N54" s="6" t="s">
        <v>3713</v>
      </c>
      <c r="O54" s="14" t="s">
        <v>3442</v>
      </c>
      <c r="P54" s="14" t="s">
        <v>3451</v>
      </c>
      <c r="Q54" s="14" t="s">
        <v>3444</v>
      </c>
      <c r="R54" s="14"/>
      <c r="S54" s="16" t="s">
        <v>3714</v>
      </c>
      <c r="T54" s="14" t="s">
        <v>952</v>
      </c>
    </row>
    <row r="55" customFormat="false" ht="69.75" hidden="false" customHeight="true" outlineLevel="0" collapsed="false">
      <c r="A55" s="14" t="n">
        <v>53</v>
      </c>
      <c r="B55" s="14" t="s">
        <v>3715</v>
      </c>
      <c r="C55" s="15" t="n">
        <v>8400</v>
      </c>
      <c r="D55" s="15" t="n">
        <v>116500</v>
      </c>
      <c r="E55" s="15" t="n">
        <v>333</v>
      </c>
      <c r="F55" s="18" t="n">
        <v>349.8</v>
      </c>
      <c r="G55" s="19" t="n">
        <v>1</v>
      </c>
      <c r="H55" s="6" t="s">
        <v>3716</v>
      </c>
      <c r="I55" s="6" t="s">
        <v>3717</v>
      </c>
      <c r="J55" s="6" t="s">
        <v>3718</v>
      </c>
      <c r="K55" s="6" t="s">
        <v>3719</v>
      </c>
      <c r="L55" s="6" t="s">
        <v>3720</v>
      </c>
      <c r="M55" s="14" t="s">
        <v>3721</v>
      </c>
      <c r="N55" s="6" t="s">
        <v>3722</v>
      </c>
      <c r="O55" s="14" t="s">
        <v>3442</v>
      </c>
      <c r="P55" s="14" t="s">
        <v>3443</v>
      </c>
      <c r="Q55" s="14" t="s">
        <v>3452</v>
      </c>
      <c r="R55" s="14"/>
      <c r="S55" s="16" t="s">
        <v>3723</v>
      </c>
      <c r="T55" s="14" t="s">
        <v>574</v>
      </c>
    </row>
    <row r="56" customFormat="false" ht="69.75" hidden="false" customHeight="true" outlineLevel="0" collapsed="false">
      <c r="A56" s="14" t="n">
        <v>54</v>
      </c>
      <c r="B56" s="14" t="s">
        <v>3724</v>
      </c>
      <c r="C56" s="15" t="n">
        <v>9000</v>
      </c>
      <c r="D56" s="15" t="n">
        <v>1500000</v>
      </c>
      <c r="E56" s="15" t="n">
        <v>4400</v>
      </c>
      <c r="F56" s="18" t="n">
        <v>338.3</v>
      </c>
      <c r="G56" s="19" t="n">
        <v>1</v>
      </c>
      <c r="H56" s="6" t="s">
        <v>3519</v>
      </c>
      <c r="I56" s="6" t="s">
        <v>3725</v>
      </c>
      <c r="J56" s="6" t="s">
        <v>3726</v>
      </c>
      <c r="K56" s="6" t="s">
        <v>3727</v>
      </c>
      <c r="L56" s="6" t="s">
        <v>3728</v>
      </c>
      <c r="M56" s="14" t="s">
        <v>3729</v>
      </c>
      <c r="N56" s="6" t="s">
        <v>3730</v>
      </c>
      <c r="O56" s="14" t="s">
        <v>3558</v>
      </c>
      <c r="P56" s="14" t="s">
        <v>3469</v>
      </c>
      <c r="Q56" s="14" t="s">
        <v>3452</v>
      </c>
      <c r="R56" s="14"/>
      <c r="S56" s="16" t="s">
        <v>3731</v>
      </c>
      <c r="T56" s="14" t="s">
        <v>2555</v>
      </c>
    </row>
    <row r="57" customFormat="false" ht="69.75" hidden="false" customHeight="true" outlineLevel="0" collapsed="false">
      <c r="A57" s="14" t="n">
        <v>55</v>
      </c>
      <c r="B57" s="14" t="s">
        <v>3732</v>
      </c>
      <c r="C57" s="15" t="n">
        <v>6100</v>
      </c>
      <c r="D57" s="15" t="n">
        <v>336700</v>
      </c>
      <c r="E57" s="15" t="n">
        <v>1000</v>
      </c>
      <c r="F57" s="18" t="n">
        <v>320.8</v>
      </c>
      <c r="G57" s="19" t="n">
        <v>2</v>
      </c>
      <c r="H57" s="6" t="s">
        <v>3733</v>
      </c>
      <c r="I57" s="6" t="s">
        <v>3734</v>
      </c>
      <c r="J57" s="6" t="s">
        <v>3735</v>
      </c>
      <c r="K57" s="6" t="s">
        <v>3736</v>
      </c>
      <c r="L57" s="6" t="s">
        <v>3737</v>
      </c>
      <c r="M57" s="14" t="s">
        <v>3522</v>
      </c>
      <c r="N57" s="6" t="s">
        <v>3738</v>
      </c>
      <c r="O57" s="14" t="s">
        <v>3450</v>
      </c>
      <c r="P57" s="14" t="s">
        <v>3443</v>
      </c>
      <c r="Q57" s="14" t="s">
        <v>3444</v>
      </c>
      <c r="R57" s="14"/>
      <c r="S57" s="16" t="s">
        <v>3739</v>
      </c>
      <c r="T57" s="14" t="s">
        <v>1640</v>
      </c>
    </row>
    <row r="58" customFormat="false" ht="69.75" hidden="false" customHeight="true" outlineLevel="0" collapsed="false">
      <c r="A58" s="14" t="n">
        <v>56</v>
      </c>
      <c r="B58" s="14" t="s">
        <v>3740</v>
      </c>
      <c r="C58" s="15" t="n">
        <v>24500</v>
      </c>
      <c r="D58" s="15" t="n">
        <v>861800</v>
      </c>
      <c r="E58" s="15" t="n">
        <v>2700</v>
      </c>
      <c r="F58" s="18" t="n">
        <v>318.2</v>
      </c>
      <c r="G58" s="19" t="n">
        <v>1</v>
      </c>
      <c r="H58" s="6" t="s">
        <v>3519</v>
      </c>
      <c r="I58" s="6" t="s">
        <v>3741</v>
      </c>
      <c r="J58" s="6" t="s">
        <v>3742</v>
      </c>
      <c r="K58" s="6" t="s">
        <v>3743</v>
      </c>
      <c r="L58" s="6" t="s">
        <v>3744</v>
      </c>
      <c r="M58" s="14" t="s">
        <v>3745</v>
      </c>
      <c r="N58" s="6" t="s">
        <v>3746</v>
      </c>
      <c r="O58" s="14" t="s">
        <v>3442</v>
      </c>
      <c r="P58" s="14" t="s">
        <v>3469</v>
      </c>
      <c r="Q58" s="14" t="s">
        <v>3444</v>
      </c>
      <c r="R58" s="14"/>
      <c r="S58" s="16" t="s">
        <v>3747</v>
      </c>
      <c r="T58" s="14" t="s">
        <v>952</v>
      </c>
    </row>
    <row r="59" customFormat="false" ht="69.75" hidden="false" customHeight="true" outlineLevel="0" collapsed="false">
      <c r="A59" s="14" t="n">
        <v>57</v>
      </c>
      <c r="B59" s="14" t="s">
        <v>3748</v>
      </c>
      <c r="C59" s="15" t="n">
        <v>9700</v>
      </c>
      <c r="D59" s="15" t="n">
        <v>3200000</v>
      </c>
      <c r="E59" s="15" t="n">
        <v>10500</v>
      </c>
      <c r="F59" s="18" t="n">
        <v>309.5</v>
      </c>
      <c r="G59" s="19" t="n">
        <v>2</v>
      </c>
      <c r="H59" s="6" t="s">
        <v>3749</v>
      </c>
      <c r="I59" s="6" t="s">
        <v>3750</v>
      </c>
      <c r="J59" s="6" t="s">
        <v>3751</v>
      </c>
      <c r="K59" s="6" t="s">
        <v>3752</v>
      </c>
      <c r="L59" s="6" t="s">
        <v>3753</v>
      </c>
      <c r="M59" s="14" t="s">
        <v>3754</v>
      </c>
      <c r="N59" s="6" t="s">
        <v>3755</v>
      </c>
      <c r="O59" s="14" t="s">
        <v>3463</v>
      </c>
      <c r="P59" s="14" t="s">
        <v>3451</v>
      </c>
      <c r="Q59" s="14" t="s">
        <v>3444</v>
      </c>
      <c r="R59" s="14"/>
      <c r="S59" s="16" t="s">
        <v>3756</v>
      </c>
      <c r="T59" s="14" t="s">
        <v>1593</v>
      </c>
    </row>
    <row r="60" customFormat="false" ht="69.75" hidden="false" customHeight="true" outlineLevel="0" collapsed="false">
      <c r="A60" s="14" t="n">
        <v>58</v>
      </c>
      <c r="B60" s="14" t="s">
        <v>3757</v>
      </c>
      <c r="C60" s="15" t="n">
        <v>18000</v>
      </c>
      <c r="D60" s="15" t="n">
        <v>903200</v>
      </c>
      <c r="E60" s="15" t="n">
        <v>3200</v>
      </c>
      <c r="F60" s="18" t="n">
        <v>281.1</v>
      </c>
      <c r="G60" s="19" t="n">
        <v>1</v>
      </c>
      <c r="H60" s="6" t="s">
        <v>3445</v>
      </c>
      <c r="I60" s="6" t="s">
        <v>3758</v>
      </c>
      <c r="J60" s="6" t="s">
        <v>3759</v>
      </c>
      <c r="K60" s="6" t="s">
        <v>3760</v>
      </c>
      <c r="L60" s="6" t="s">
        <v>3761</v>
      </c>
      <c r="M60" s="14" t="s">
        <v>3762</v>
      </c>
      <c r="N60" s="6" t="s">
        <v>3763</v>
      </c>
      <c r="O60" s="14" t="s">
        <v>3450</v>
      </c>
      <c r="P60" s="14" t="s">
        <v>3469</v>
      </c>
      <c r="Q60" s="14" t="s">
        <v>3452</v>
      </c>
      <c r="R60" s="14"/>
      <c r="S60" s="16" t="s">
        <v>3764</v>
      </c>
      <c r="T60" s="14" t="s">
        <v>1289</v>
      </c>
    </row>
    <row r="61" customFormat="false" ht="69.75" hidden="false" customHeight="true" outlineLevel="0" collapsed="false">
      <c r="A61" s="14" t="n">
        <v>59</v>
      </c>
      <c r="B61" s="14" t="s">
        <v>3765</v>
      </c>
      <c r="C61" s="15" t="n">
        <v>49400</v>
      </c>
      <c r="D61" s="15" t="n">
        <v>1800000</v>
      </c>
      <c r="E61" s="15" t="n">
        <v>6700</v>
      </c>
      <c r="F61" s="18" t="n">
        <v>269.3</v>
      </c>
      <c r="G61" s="19" t="n">
        <v>1</v>
      </c>
      <c r="H61" s="6" t="s">
        <v>3766</v>
      </c>
      <c r="I61" s="6" t="s">
        <v>3767</v>
      </c>
      <c r="J61" s="6" t="s">
        <v>3768</v>
      </c>
      <c r="K61" s="6" t="s">
        <v>3769</v>
      </c>
      <c r="L61" s="6" t="s">
        <v>3770</v>
      </c>
      <c r="M61" s="14" t="s">
        <v>3771</v>
      </c>
      <c r="N61" s="6" t="s">
        <v>3772</v>
      </c>
      <c r="O61" s="14" t="s">
        <v>3442</v>
      </c>
      <c r="P61" s="14" t="s">
        <v>3443</v>
      </c>
      <c r="Q61" s="14" t="s">
        <v>3452</v>
      </c>
      <c r="R61" s="14"/>
      <c r="S61" s="16" t="s">
        <v>3773</v>
      </c>
      <c r="T61" s="14" t="s">
        <v>1289</v>
      </c>
    </row>
    <row r="62" customFormat="false" ht="69.75" hidden="false" customHeight="true" outlineLevel="0" collapsed="false">
      <c r="A62" s="14" t="n">
        <v>60</v>
      </c>
      <c r="B62" s="14" t="s">
        <v>3774</v>
      </c>
      <c r="C62" s="15" t="n">
        <v>6300</v>
      </c>
      <c r="D62" s="15" t="n">
        <v>198100</v>
      </c>
      <c r="E62" s="15" t="n">
        <v>742</v>
      </c>
      <c r="F62" s="18" t="n">
        <v>267</v>
      </c>
      <c r="G62" s="19" t="n">
        <v>1</v>
      </c>
      <c r="H62" s="6" t="s">
        <v>3775</v>
      </c>
      <c r="I62" s="6" t="s">
        <v>3776</v>
      </c>
      <c r="J62" s="6" t="s">
        <v>3777</v>
      </c>
      <c r="K62" s="6" t="s">
        <v>3778</v>
      </c>
      <c r="L62" s="6" t="s">
        <v>3779</v>
      </c>
      <c r="M62" s="14" t="s">
        <v>3780</v>
      </c>
      <c r="N62" s="6" t="s">
        <v>3781</v>
      </c>
      <c r="O62" s="14" t="s">
        <v>3450</v>
      </c>
      <c r="P62" s="14" t="s">
        <v>3443</v>
      </c>
      <c r="Q62" s="14" t="s">
        <v>3452</v>
      </c>
      <c r="R62" s="14"/>
      <c r="S62" s="16" t="s">
        <v>3782</v>
      </c>
      <c r="T62" s="14" t="s">
        <v>1640</v>
      </c>
    </row>
    <row r="63" customFormat="false" ht="69.75" hidden="false" customHeight="true" outlineLevel="0" collapsed="false">
      <c r="A63" s="14" t="n">
        <v>61</v>
      </c>
      <c r="B63" s="14" t="s">
        <v>3783</v>
      </c>
      <c r="C63" s="15" t="n">
        <v>41000</v>
      </c>
      <c r="D63" s="15" t="n">
        <v>1700000</v>
      </c>
      <c r="E63" s="15" t="n">
        <v>6400</v>
      </c>
      <c r="F63" s="18" t="n">
        <v>265.1</v>
      </c>
      <c r="G63" s="19" t="n">
        <v>1</v>
      </c>
      <c r="H63" s="6" t="s">
        <v>3784</v>
      </c>
      <c r="I63" s="6" t="s">
        <v>3785</v>
      </c>
      <c r="J63" s="6" t="s">
        <v>3786</v>
      </c>
      <c r="K63" s="6" t="s">
        <v>3719</v>
      </c>
      <c r="L63" s="6" t="s">
        <v>3787</v>
      </c>
      <c r="M63" s="14" t="s">
        <v>3788</v>
      </c>
      <c r="N63" s="6" t="s">
        <v>3789</v>
      </c>
      <c r="O63" s="14" t="s">
        <v>3442</v>
      </c>
      <c r="P63" s="14" t="s">
        <v>3469</v>
      </c>
      <c r="Q63" s="14" t="s">
        <v>3452</v>
      </c>
      <c r="R63" s="14"/>
      <c r="S63" s="16" t="s">
        <v>3790</v>
      </c>
      <c r="T63" s="14" t="s">
        <v>1289</v>
      </c>
    </row>
    <row r="64" customFormat="false" ht="69.75" hidden="false" customHeight="true" outlineLevel="0" collapsed="false">
      <c r="A64" s="14" t="n">
        <v>62</v>
      </c>
      <c r="B64" s="14" t="s">
        <v>3791</v>
      </c>
      <c r="C64" s="15" t="n">
        <v>6500</v>
      </c>
      <c r="D64" s="15" t="n">
        <v>412500</v>
      </c>
      <c r="E64" s="15" t="n">
        <v>1800</v>
      </c>
      <c r="F64" s="18" t="n">
        <v>229.6</v>
      </c>
      <c r="G64" s="19" t="n">
        <v>1</v>
      </c>
      <c r="H64" s="6" t="s">
        <v>3519</v>
      </c>
      <c r="I64" s="6" t="s">
        <v>3792</v>
      </c>
      <c r="J64" s="6" t="s">
        <v>3793</v>
      </c>
      <c r="K64" s="6" t="s">
        <v>3794</v>
      </c>
      <c r="L64" s="6" t="s">
        <v>3795</v>
      </c>
      <c r="M64" s="14" t="s">
        <v>3796</v>
      </c>
      <c r="N64" s="6" t="s">
        <v>3797</v>
      </c>
      <c r="O64" s="14" t="s">
        <v>3442</v>
      </c>
      <c r="P64" s="14" t="s">
        <v>3443</v>
      </c>
      <c r="Q64" s="14" t="s">
        <v>3444</v>
      </c>
      <c r="R64" s="14"/>
      <c r="S64" s="16" t="s">
        <v>3798</v>
      </c>
      <c r="T64" s="14" t="s">
        <v>1593</v>
      </c>
    </row>
    <row r="65" customFormat="false" ht="69.75" hidden="false" customHeight="true" outlineLevel="0" collapsed="false">
      <c r="A65" s="14" t="n">
        <v>63</v>
      </c>
      <c r="B65" s="14" t="s">
        <v>3799</v>
      </c>
      <c r="C65" s="15" t="n">
        <v>8300</v>
      </c>
      <c r="D65" s="15" t="n">
        <v>2400000</v>
      </c>
      <c r="E65" s="15" t="n">
        <v>11500</v>
      </c>
      <c r="F65" s="18" t="n">
        <v>207.9</v>
      </c>
      <c r="G65" s="19" t="n">
        <v>2</v>
      </c>
      <c r="H65" s="6" t="s">
        <v>3800</v>
      </c>
      <c r="I65" s="6" t="s">
        <v>3801</v>
      </c>
      <c r="J65" s="6" t="s">
        <v>3802</v>
      </c>
      <c r="K65" s="6" t="s">
        <v>3803</v>
      </c>
      <c r="L65" s="6" t="s">
        <v>3804</v>
      </c>
      <c r="M65" s="14" t="s">
        <v>3517</v>
      </c>
      <c r="N65" s="6" t="s">
        <v>3805</v>
      </c>
      <c r="O65" s="14" t="s">
        <v>3442</v>
      </c>
      <c r="P65" s="14" t="s">
        <v>3469</v>
      </c>
      <c r="Q65" s="14" t="s">
        <v>3444</v>
      </c>
      <c r="R65" s="14"/>
      <c r="S65" s="16" t="s">
        <v>3806</v>
      </c>
      <c r="T65" s="14" t="s">
        <v>1289</v>
      </c>
    </row>
    <row r="66" customFormat="false" ht="69.75" hidden="false" customHeight="true" outlineLevel="0" collapsed="false">
      <c r="A66" s="14" t="n">
        <v>64</v>
      </c>
      <c r="B66" s="14" t="s">
        <v>3807</v>
      </c>
      <c r="C66" s="15" t="n">
        <v>15800</v>
      </c>
      <c r="D66" s="15" t="n">
        <v>613700</v>
      </c>
      <c r="E66" s="15" t="n">
        <v>3000</v>
      </c>
      <c r="F66" s="18" t="n">
        <v>205.8</v>
      </c>
      <c r="G66" s="19" t="n">
        <v>1</v>
      </c>
      <c r="H66" s="6" t="s">
        <v>3808</v>
      </c>
      <c r="I66" s="6" t="s">
        <v>3809</v>
      </c>
      <c r="J66" s="6" t="s">
        <v>3810</v>
      </c>
      <c r="K66" s="6" t="s">
        <v>3811</v>
      </c>
      <c r="L66" s="6" t="s">
        <v>3812</v>
      </c>
      <c r="M66" s="14" t="s">
        <v>3813</v>
      </c>
      <c r="N66" s="6" t="s">
        <v>3814</v>
      </c>
      <c r="O66" s="14" t="s">
        <v>3442</v>
      </c>
      <c r="P66" s="14" t="s">
        <v>3443</v>
      </c>
      <c r="Q66" s="14" t="s">
        <v>3444</v>
      </c>
      <c r="R66" s="14"/>
      <c r="S66" s="16" t="s">
        <v>3815</v>
      </c>
      <c r="T66" s="14" t="s">
        <v>1289</v>
      </c>
    </row>
    <row r="67" customFormat="false" ht="69.75" hidden="false" customHeight="true" outlineLevel="0" collapsed="false">
      <c r="A67" s="14" t="n">
        <v>65</v>
      </c>
      <c r="B67" s="14" t="s">
        <v>2194</v>
      </c>
      <c r="C67" s="15" t="n">
        <v>34700</v>
      </c>
      <c r="D67" s="15" t="n">
        <v>921600</v>
      </c>
      <c r="E67" s="15" t="n">
        <v>4500</v>
      </c>
      <c r="F67" s="18" t="n">
        <v>202.7</v>
      </c>
      <c r="G67" s="19" t="n">
        <v>3</v>
      </c>
      <c r="H67" s="6" t="s">
        <v>3816</v>
      </c>
      <c r="I67" s="6" t="s">
        <v>2196</v>
      </c>
      <c r="J67" s="6" t="s">
        <v>3817</v>
      </c>
      <c r="K67" s="6" t="s">
        <v>3818</v>
      </c>
      <c r="L67" s="6" t="s">
        <v>2200</v>
      </c>
      <c r="M67" s="14" t="s">
        <v>3522</v>
      </c>
      <c r="N67" s="6" t="s">
        <v>3819</v>
      </c>
      <c r="O67" s="14" t="s">
        <v>3442</v>
      </c>
      <c r="P67" s="14" t="s">
        <v>3443</v>
      </c>
      <c r="Q67" s="14" t="s">
        <v>3444</v>
      </c>
      <c r="R67" s="14"/>
      <c r="S67" s="16" t="s">
        <v>2195</v>
      </c>
      <c r="T67" s="14" t="s">
        <v>1640</v>
      </c>
    </row>
    <row r="68" customFormat="false" ht="69.75" hidden="false" customHeight="true" outlineLevel="0" collapsed="false">
      <c r="A68" s="14" t="n">
        <v>66</v>
      </c>
      <c r="B68" s="14" t="s">
        <v>3820</v>
      </c>
      <c r="C68" s="15" t="n">
        <v>44100</v>
      </c>
      <c r="D68" s="15" t="n">
        <v>921200</v>
      </c>
      <c r="E68" s="15" t="n">
        <v>4700</v>
      </c>
      <c r="F68" s="18" t="n">
        <v>196.5</v>
      </c>
      <c r="G68" s="19" t="n">
        <v>1</v>
      </c>
      <c r="H68" s="6" t="s">
        <v>3821</v>
      </c>
      <c r="I68" s="6" t="s">
        <v>3822</v>
      </c>
      <c r="J68" s="6" t="s">
        <v>3823</v>
      </c>
      <c r="K68" s="6" t="s">
        <v>3824</v>
      </c>
      <c r="L68" s="6" t="s">
        <v>3825</v>
      </c>
      <c r="M68" s="14" t="s">
        <v>3826</v>
      </c>
      <c r="N68" s="6" t="s">
        <v>3827</v>
      </c>
      <c r="O68" s="14" t="s">
        <v>3442</v>
      </c>
      <c r="P68" s="14" t="s">
        <v>3443</v>
      </c>
      <c r="Q68" s="14" t="s">
        <v>3444</v>
      </c>
      <c r="R68" s="14"/>
      <c r="S68" s="16" t="s">
        <v>3828</v>
      </c>
      <c r="T68" s="14" t="s">
        <v>1289</v>
      </c>
    </row>
    <row r="69" customFormat="false" ht="69.75" hidden="false" customHeight="true" outlineLevel="0" collapsed="false">
      <c r="A69" s="14" t="n">
        <v>67</v>
      </c>
      <c r="B69" s="14" t="s">
        <v>3829</v>
      </c>
      <c r="C69" s="15" t="n">
        <v>9400</v>
      </c>
      <c r="D69" s="15" t="n">
        <v>4500000</v>
      </c>
      <c r="E69" s="15" t="n">
        <v>24300</v>
      </c>
      <c r="F69" s="18" t="n">
        <v>185.7</v>
      </c>
      <c r="G69" s="19" t="n">
        <v>1</v>
      </c>
      <c r="H69" s="6" t="s">
        <v>3519</v>
      </c>
      <c r="I69" s="6" t="s">
        <v>3830</v>
      </c>
      <c r="J69" s="6" t="s">
        <v>3831</v>
      </c>
      <c r="K69" s="6" t="s">
        <v>3832</v>
      </c>
      <c r="L69" s="6" t="s">
        <v>3833</v>
      </c>
      <c r="M69" s="14" t="s">
        <v>3834</v>
      </c>
      <c r="N69" s="6" t="s">
        <v>3835</v>
      </c>
      <c r="O69" s="14" t="s">
        <v>3442</v>
      </c>
      <c r="P69" s="14" t="s">
        <v>3451</v>
      </c>
      <c r="Q69" s="14" t="s">
        <v>3444</v>
      </c>
      <c r="R69" s="14"/>
      <c r="S69" s="16" t="s">
        <v>3836</v>
      </c>
      <c r="T69" s="14" t="s">
        <v>1593</v>
      </c>
    </row>
    <row r="70" customFormat="false" ht="69.75" hidden="false" customHeight="true" outlineLevel="0" collapsed="false">
      <c r="A70" s="14" t="n">
        <v>68</v>
      </c>
      <c r="B70" s="14" t="s">
        <v>3837</v>
      </c>
      <c r="C70" s="15" t="n">
        <v>58300</v>
      </c>
      <c r="D70" s="15" t="n">
        <v>1900000</v>
      </c>
      <c r="E70" s="15" t="n">
        <v>10800</v>
      </c>
      <c r="F70" s="18" t="n">
        <v>177.5</v>
      </c>
      <c r="G70" s="19" t="n">
        <v>1</v>
      </c>
      <c r="H70" s="6" t="s">
        <v>3445</v>
      </c>
      <c r="I70" s="6" t="s">
        <v>3838</v>
      </c>
      <c r="J70" s="6" t="s">
        <v>3839</v>
      </c>
      <c r="K70" s="6" t="s">
        <v>3769</v>
      </c>
      <c r="L70" s="6" t="s">
        <v>3840</v>
      </c>
      <c r="M70" s="14" t="s">
        <v>3527</v>
      </c>
      <c r="N70" s="6" t="s">
        <v>3841</v>
      </c>
      <c r="O70" s="14" t="s">
        <v>3442</v>
      </c>
      <c r="P70" s="14" t="s">
        <v>3443</v>
      </c>
      <c r="Q70" s="14" t="s">
        <v>3444</v>
      </c>
      <c r="R70" s="14"/>
      <c r="S70" s="16" t="s">
        <v>3842</v>
      </c>
      <c r="T70" s="14" t="s">
        <v>3843</v>
      </c>
    </row>
    <row r="71" customFormat="false" ht="69.75" hidden="false" customHeight="true" outlineLevel="0" collapsed="false">
      <c r="A71" s="14" t="n">
        <v>69</v>
      </c>
      <c r="B71" s="14" t="s">
        <v>1585</v>
      </c>
      <c r="C71" s="15" t="n">
        <v>8600</v>
      </c>
      <c r="D71" s="15" t="n">
        <v>355800</v>
      </c>
      <c r="E71" s="15" t="n">
        <v>2100</v>
      </c>
      <c r="F71" s="18" t="n">
        <v>169.9</v>
      </c>
      <c r="G71" s="19" t="n">
        <v>3</v>
      </c>
      <c r="H71" s="6" t="s">
        <v>3519</v>
      </c>
      <c r="I71" s="6" t="s">
        <v>1587</v>
      </c>
      <c r="J71" s="6" t="s">
        <v>3844</v>
      </c>
      <c r="K71" s="6" t="s">
        <v>3845</v>
      </c>
      <c r="L71" s="6" t="s">
        <v>1591</v>
      </c>
      <c r="M71" s="14" t="s">
        <v>3608</v>
      </c>
      <c r="N71" s="6" t="s">
        <v>3846</v>
      </c>
      <c r="O71" s="14" t="s">
        <v>3442</v>
      </c>
      <c r="P71" s="14" t="s">
        <v>3451</v>
      </c>
      <c r="Q71" s="14" t="s">
        <v>3444</v>
      </c>
      <c r="R71" s="14"/>
      <c r="S71" s="16" t="s">
        <v>1586</v>
      </c>
      <c r="T71" s="14" t="s">
        <v>1593</v>
      </c>
    </row>
    <row r="72" customFormat="false" ht="69.75" hidden="false" customHeight="true" outlineLevel="0" collapsed="false">
      <c r="A72" s="14" t="n">
        <v>70</v>
      </c>
      <c r="B72" s="14" t="s">
        <v>3847</v>
      </c>
      <c r="C72" s="15" t="n">
        <v>8200</v>
      </c>
      <c r="D72" s="15" t="n">
        <v>404900</v>
      </c>
      <c r="E72" s="15" t="n">
        <v>2400</v>
      </c>
      <c r="F72" s="18" t="n">
        <v>165.9</v>
      </c>
      <c r="G72" s="19" t="n">
        <v>1</v>
      </c>
      <c r="H72" s="6" t="s">
        <v>3504</v>
      </c>
      <c r="I72" s="6" t="s">
        <v>3848</v>
      </c>
      <c r="J72" s="6" t="s">
        <v>3849</v>
      </c>
      <c r="K72" s="6" t="s">
        <v>3850</v>
      </c>
      <c r="L72" s="6" t="s">
        <v>3851</v>
      </c>
      <c r="M72" s="14" t="s">
        <v>3852</v>
      </c>
      <c r="N72" s="6" t="s">
        <v>3852</v>
      </c>
      <c r="O72" s="14" t="s">
        <v>3442</v>
      </c>
      <c r="P72" s="14" t="s">
        <v>3469</v>
      </c>
      <c r="Q72" s="14" t="s">
        <v>3452</v>
      </c>
      <c r="R72" s="14"/>
      <c r="S72" s="16" t="s">
        <v>3853</v>
      </c>
      <c r="T72" s="14" t="s">
        <v>1280</v>
      </c>
    </row>
    <row r="73" customFormat="false" ht="69.75" hidden="false" customHeight="true" outlineLevel="0" collapsed="false">
      <c r="A73" s="14" t="n">
        <v>71</v>
      </c>
      <c r="B73" s="14" t="s">
        <v>3854</v>
      </c>
      <c r="C73" s="15" t="n">
        <v>10100</v>
      </c>
      <c r="D73" s="15" t="n">
        <v>1700000</v>
      </c>
      <c r="E73" s="15" t="n">
        <v>10800</v>
      </c>
      <c r="F73" s="18" t="n">
        <v>161.9</v>
      </c>
      <c r="G73" s="19" t="n">
        <v>1.5</v>
      </c>
      <c r="H73" s="6" t="s">
        <v>3519</v>
      </c>
      <c r="I73" s="6" t="s">
        <v>3855</v>
      </c>
      <c r="J73" s="6" t="s">
        <v>3856</v>
      </c>
      <c r="K73" s="6" t="s">
        <v>3857</v>
      </c>
      <c r="L73" s="6" t="s">
        <v>3858</v>
      </c>
      <c r="M73" s="14" t="s">
        <v>3745</v>
      </c>
      <c r="N73" s="6" t="s">
        <v>3859</v>
      </c>
      <c r="O73" s="14" t="s">
        <v>3442</v>
      </c>
      <c r="P73" s="14" t="s">
        <v>3451</v>
      </c>
      <c r="Q73" s="14" t="s">
        <v>3444</v>
      </c>
      <c r="R73" s="14"/>
      <c r="S73" s="16" t="s">
        <v>3860</v>
      </c>
      <c r="T73" s="14" t="s">
        <v>2555</v>
      </c>
    </row>
    <row r="74" customFormat="false" ht="69.75" hidden="false" customHeight="true" outlineLevel="0" collapsed="false">
      <c r="A74" s="14" t="n">
        <v>72</v>
      </c>
      <c r="B74" s="14" t="s">
        <v>3861</v>
      </c>
      <c r="C74" s="15" t="n">
        <v>13000</v>
      </c>
      <c r="D74" s="15" t="n">
        <v>198300</v>
      </c>
      <c r="E74" s="15" t="n">
        <v>1400</v>
      </c>
      <c r="F74" s="18" t="n">
        <v>137.4</v>
      </c>
      <c r="G74" s="19" t="n">
        <v>1</v>
      </c>
      <c r="H74" s="6" t="s">
        <v>3862</v>
      </c>
      <c r="I74" s="6" t="s">
        <v>3863</v>
      </c>
      <c r="J74" s="6" t="s">
        <v>3864</v>
      </c>
      <c r="K74" s="6" t="s">
        <v>3865</v>
      </c>
      <c r="L74" s="6" t="s">
        <v>3866</v>
      </c>
      <c r="M74" s="14" t="s">
        <v>3788</v>
      </c>
      <c r="N74" s="6" t="s">
        <v>3867</v>
      </c>
      <c r="O74" s="14" t="s">
        <v>3442</v>
      </c>
      <c r="P74" s="14" t="s">
        <v>3443</v>
      </c>
      <c r="Q74" s="14" t="s">
        <v>3452</v>
      </c>
      <c r="R74" s="14"/>
      <c r="S74" s="16" t="s">
        <v>3868</v>
      </c>
      <c r="T74" s="14" t="s">
        <v>1289</v>
      </c>
    </row>
    <row r="75" customFormat="false" ht="69.75" hidden="false" customHeight="true" outlineLevel="0" collapsed="false">
      <c r="A75" s="14" t="n">
        <v>73</v>
      </c>
      <c r="B75" s="14" t="s">
        <v>1532</v>
      </c>
      <c r="C75" s="15" t="n">
        <v>11100</v>
      </c>
      <c r="D75" s="15" t="n">
        <v>226800</v>
      </c>
      <c r="E75" s="15" t="n">
        <v>1700</v>
      </c>
      <c r="F75" s="18" t="n">
        <v>135.6</v>
      </c>
      <c r="G75" s="19" t="n">
        <v>3</v>
      </c>
      <c r="H75" s="6" t="s">
        <v>3869</v>
      </c>
      <c r="I75" s="6" t="s">
        <v>1534</v>
      </c>
      <c r="J75" s="6" t="s">
        <v>3870</v>
      </c>
      <c r="K75" s="6" t="s">
        <v>3871</v>
      </c>
      <c r="L75" s="6" t="s">
        <v>1539</v>
      </c>
      <c r="M75" s="14" t="s">
        <v>3872</v>
      </c>
      <c r="N75" s="6" t="s">
        <v>3873</v>
      </c>
      <c r="O75" s="14" t="s">
        <v>3442</v>
      </c>
      <c r="P75" s="14" t="s">
        <v>3469</v>
      </c>
      <c r="Q75" s="14" t="s">
        <v>3452</v>
      </c>
      <c r="R75" s="14"/>
      <c r="S75" s="16" t="s">
        <v>1533</v>
      </c>
      <c r="T75" s="14" t="s">
        <v>923</v>
      </c>
    </row>
    <row r="76" customFormat="false" ht="69.75" hidden="false" customHeight="true" outlineLevel="0" collapsed="false">
      <c r="A76" s="14" t="n">
        <v>74</v>
      </c>
      <c r="B76" s="14" t="s">
        <v>3874</v>
      </c>
      <c r="C76" s="15" t="n">
        <v>22500</v>
      </c>
      <c r="D76" s="15" t="n">
        <v>2600000</v>
      </c>
      <c r="E76" s="15" t="n">
        <v>19600</v>
      </c>
      <c r="F76" s="18" t="n">
        <v>134</v>
      </c>
      <c r="G76" s="19" t="n">
        <v>1</v>
      </c>
      <c r="H76" s="6" t="s">
        <v>3875</v>
      </c>
      <c r="I76" s="6" t="s">
        <v>3876</v>
      </c>
      <c r="J76" s="6" t="s">
        <v>3877</v>
      </c>
      <c r="K76" s="6" t="s">
        <v>3878</v>
      </c>
      <c r="L76" s="6" t="s">
        <v>3879</v>
      </c>
      <c r="M76" s="14" t="s">
        <v>3880</v>
      </c>
      <c r="N76" s="6" t="s">
        <v>3881</v>
      </c>
      <c r="O76" s="14" t="s">
        <v>3442</v>
      </c>
      <c r="P76" s="14" t="s">
        <v>3443</v>
      </c>
      <c r="Q76" s="14" t="s">
        <v>3444</v>
      </c>
      <c r="R76" s="14"/>
      <c r="S76" s="16" t="s">
        <v>3882</v>
      </c>
      <c r="T76" s="14" t="s">
        <v>747</v>
      </c>
    </row>
    <row r="77" customFormat="false" ht="69.75" hidden="false" customHeight="true" outlineLevel="0" collapsed="false">
      <c r="A77" s="14" t="n">
        <v>75</v>
      </c>
      <c r="B77" s="14" t="s">
        <v>2187</v>
      </c>
      <c r="C77" s="15" t="n">
        <v>43000</v>
      </c>
      <c r="D77" s="15" t="n">
        <v>598500</v>
      </c>
      <c r="E77" s="15" t="n">
        <v>4700</v>
      </c>
      <c r="F77" s="18" t="n">
        <v>128.7</v>
      </c>
      <c r="G77" s="19" t="n">
        <v>3</v>
      </c>
      <c r="H77" s="6" t="s">
        <v>3883</v>
      </c>
      <c r="I77" s="6" t="s">
        <v>2189</v>
      </c>
      <c r="J77" s="6" t="s">
        <v>3884</v>
      </c>
      <c r="K77" s="6" t="s">
        <v>3885</v>
      </c>
      <c r="L77" s="6" t="s">
        <v>2192</v>
      </c>
      <c r="M77" s="14" t="s">
        <v>3556</v>
      </c>
      <c r="N77" s="6" t="s">
        <v>3886</v>
      </c>
      <c r="O77" s="14" t="s">
        <v>3450</v>
      </c>
      <c r="P77" s="14" t="s">
        <v>3469</v>
      </c>
      <c r="Q77" s="14" t="s">
        <v>3444</v>
      </c>
      <c r="R77" s="14"/>
      <c r="S77" s="16" t="s">
        <v>2188</v>
      </c>
      <c r="T77" s="14" t="s">
        <v>1640</v>
      </c>
    </row>
    <row r="78" customFormat="false" ht="69.75" hidden="false" customHeight="true" outlineLevel="0" collapsed="false">
      <c r="A78" s="14" t="n">
        <v>76</v>
      </c>
      <c r="B78" s="14" t="s">
        <v>2178</v>
      </c>
      <c r="C78" s="15" t="n">
        <v>47300</v>
      </c>
      <c r="D78" s="15" t="n">
        <v>998000</v>
      </c>
      <c r="E78" s="15" t="n">
        <v>8200</v>
      </c>
      <c r="F78" s="18" t="n">
        <v>121.3</v>
      </c>
      <c r="G78" s="19" t="n">
        <v>3</v>
      </c>
      <c r="H78" s="6" t="s">
        <v>3887</v>
      </c>
      <c r="I78" s="6" t="s">
        <v>2180</v>
      </c>
      <c r="J78" s="6" t="s">
        <v>3888</v>
      </c>
      <c r="K78" s="6" t="s">
        <v>3889</v>
      </c>
      <c r="L78" s="6" t="s">
        <v>2185</v>
      </c>
      <c r="M78" s="14" t="s">
        <v>3890</v>
      </c>
      <c r="N78" s="6" t="s">
        <v>3891</v>
      </c>
      <c r="O78" s="14" t="s">
        <v>3442</v>
      </c>
      <c r="P78" s="14" t="s">
        <v>3443</v>
      </c>
      <c r="Q78" s="14" t="s">
        <v>3452</v>
      </c>
      <c r="R78" s="14"/>
      <c r="S78" s="16" t="s">
        <v>2179</v>
      </c>
      <c r="T78" s="14" t="s">
        <v>1280</v>
      </c>
    </row>
    <row r="79" customFormat="false" ht="69.75" hidden="false" customHeight="true" outlineLevel="0" collapsed="false">
      <c r="A79" s="14" t="n">
        <v>77</v>
      </c>
      <c r="B79" s="14" t="s">
        <v>3892</v>
      </c>
      <c r="C79" s="15" t="n">
        <v>9400</v>
      </c>
      <c r="D79" s="15" t="n">
        <v>234100</v>
      </c>
      <c r="E79" s="15" t="n">
        <v>2000</v>
      </c>
      <c r="F79" s="18" t="n">
        <v>115.6</v>
      </c>
      <c r="G79" s="19" t="n">
        <v>1</v>
      </c>
      <c r="H79" s="6" t="s">
        <v>3519</v>
      </c>
      <c r="I79" s="6" t="s">
        <v>3893</v>
      </c>
      <c r="J79" s="6" t="s">
        <v>3894</v>
      </c>
      <c r="K79" s="6" t="s">
        <v>3895</v>
      </c>
      <c r="L79" s="6" t="s">
        <v>3896</v>
      </c>
      <c r="M79" s="14" t="s">
        <v>3897</v>
      </c>
      <c r="N79" s="6" t="s">
        <v>3898</v>
      </c>
      <c r="O79" s="14" t="s">
        <v>3450</v>
      </c>
      <c r="P79" s="14" t="s">
        <v>3469</v>
      </c>
      <c r="Q79" s="14" t="s">
        <v>3452</v>
      </c>
      <c r="R79" s="14"/>
      <c r="S79" s="16" t="s">
        <v>3899</v>
      </c>
      <c r="T79" s="14" t="s">
        <v>952</v>
      </c>
    </row>
    <row r="80" customFormat="false" ht="69.75" hidden="false" customHeight="true" outlineLevel="0" collapsed="false">
      <c r="A80" s="14" t="n">
        <v>78</v>
      </c>
      <c r="B80" s="14" t="s">
        <v>2894</v>
      </c>
      <c r="C80" s="15" t="n">
        <v>68600</v>
      </c>
      <c r="D80" s="15" t="n">
        <v>2600000</v>
      </c>
      <c r="E80" s="15" t="n">
        <v>23300</v>
      </c>
      <c r="F80" s="18" t="n">
        <v>113</v>
      </c>
      <c r="G80" s="19" t="n">
        <v>3</v>
      </c>
      <c r="H80" s="6" t="s">
        <v>3900</v>
      </c>
      <c r="I80" s="6" t="s">
        <v>2896</v>
      </c>
      <c r="J80" s="6" t="s">
        <v>3901</v>
      </c>
      <c r="K80" s="6" t="s">
        <v>3902</v>
      </c>
      <c r="L80" s="6" t="s">
        <v>2901</v>
      </c>
      <c r="M80" s="14" t="s">
        <v>3903</v>
      </c>
      <c r="N80" s="6" t="s">
        <v>3904</v>
      </c>
      <c r="O80" s="14" t="s">
        <v>3442</v>
      </c>
      <c r="P80" s="14" t="s">
        <v>3443</v>
      </c>
      <c r="Q80" s="14" t="s">
        <v>3452</v>
      </c>
      <c r="R80" s="14"/>
      <c r="S80" s="16" t="s">
        <v>2895</v>
      </c>
      <c r="T80" s="14" t="s">
        <v>458</v>
      </c>
    </row>
    <row r="81" customFormat="false" ht="69.75" hidden="false" customHeight="true" outlineLevel="0" collapsed="false">
      <c r="A81" s="14" t="n">
        <v>79</v>
      </c>
      <c r="B81" s="14" t="s">
        <v>3905</v>
      </c>
      <c r="C81" s="15" t="n">
        <v>10000</v>
      </c>
      <c r="D81" s="15" t="n">
        <v>530600</v>
      </c>
      <c r="E81" s="15" t="n">
        <v>5100</v>
      </c>
      <c r="F81" s="18" t="n">
        <v>104.2</v>
      </c>
      <c r="G81" s="19" t="n">
        <v>2</v>
      </c>
      <c r="H81" s="6" t="s">
        <v>3906</v>
      </c>
      <c r="I81" s="6" t="s">
        <v>3907</v>
      </c>
      <c r="J81" s="6" t="s">
        <v>3908</v>
      </c>
      <c r="K81" s="6" t="s">
        <v>3526</v>
      </c>
      <c r="L81" s="6" t="s">
        <v>3909</v>
      </c>
      <c r="M81" s="14" t="s">
        <v>3448</v>
      </c>
      <c r="N81" s="6" t="s">
        <v>3910</v>
      </c>
      <c r="O81" s="14" t="s">
        <v>3442</v>
      </c>
      <c r="P81" s="14" t="s">
        <v>3443</v>
      </c>
      <c r="Q81" s="14" t="s">
        <v>3452</v>
      </c>
      <c r="R81" s="14"/>
      <c r="S81" s="16" t="s">
        <v>3911</v>
      </c>
      <c r="T81" s="14" t="s">
        <v>574</v>
      </c>
    </row>
    <row r="82" customFormat="false" ht="69.75" hidden="false" customHeight="true" outlineLevel="0" collapsed="false">
      <c r="A82" s="14" t="n">
        <v>80</v>
      </c>
      <c r="B82" s="14" t="s">
        <v>3912</v>
      </c>
      <c r="C82" s="15" t="n">
        <v>19900</v>
      </c>
      <c r="D82" s="15" t="n">
        <v>147700</v>
      </c>
      <c r="E82" s="15" t="n">
        <v>1500</v>
      </c>
      <c r="F82" s="18" t="n">
        <v>96.6</v>
      </c>
      <c r="G82" s="19" t="n">
        <v>2</v>
      </c>
      <c r="H82" s="6" t="s">
        <v>3475</v>
      </c>
      <c r="I82" s="6" t="s">
        <v>3913</v>
      </c>
      <c r="J82" s="6" t="s">
        <v>3914</v>
      </c>
      <c r="K82" s="6" t="s">
        <v>3915</v>
      </c>
      <c r="L82" s="6" t="s">
        <v>3916</v>
      </c>
      <c r="M82" s="14" t="s">
        <v>3917</v>
      </c>
      <c r="N82" s="6" t="s">
        <v>3918</v>
      </c>
      <c r="O82" s="14" t="s">
        <v>3442</v>
      </c>
      <c r="P82" s="14" t="s">
        <v>3469</v>
      </c>
      <c r="Q82" s="14" t="s">
        <v>3444</v>
      </c>
      <c r="R82" s="14"/>
      <c r="S82" s="16" t="s">
        <v>3919</v>
      </c>
      <c r="T82" s="14" t="s">
        <v>747</v>
      </c>
    </row>
    <row r="83" customFormat="false" ht="69.75" hidden="false" customHeight="true" outlineLevel="0" collapsed="false">
      <c r="A83" s="14" t="n">
        <v>81</v>
      </c>
      <c r="B83" s="14" t="s">
        <v>3920</v>
      </c>
      <c r="C83" s="15" t="n">
        <v>77000</v>
      </c>
      <c r="D83" s="15" t="n">
        <v>1100000</v>
      </c>
      <c r="E83" s="15" t="n">
        <v>11300</v>
      </c>
      <c r="F83" s="18" t="n">
        <v>94.1</v>
      </c>
      <c r="G83" s="19" t="n">
        <v>1</v>
      </c>
      <c r="H83" s="6" t="s">
        <v>3921</v>
      </c>
      <c r="I83" s="6" t="s">
        <v>3922</v>
      </c>
      <c r="J83" s="6" t="s">
        <v>3923</v>
      </c>
      <c r="K83" s="6" t="s">
        <v>3924</v>
      </c>
      <c r="L83" s="6" t="s">
        <v>3925</v>
      </c>
      <c r="M83" s="14" t="s">
        <v>3926</v>
      </c>
      <c r="N83" s="6" t="s">
        <v>3927</v>
      </c>
      <c r="O83" s="14" t="s">
        <v>3463</v>
      </c>
      <c r="P83" s="14" t="s">
        <v>3451</v>
      </c>
      <c r="Q83" s="14" t="s">
        <v>3444</v>
      </c>
      <c r="R83" s="14"/>
      <c r="S83" s="16" t="s">
        <v>3928</v>
      </c>
      <c r="T83" s="14" t="s">
        <v>1260</v>
      </c>
    </row>
    <row r="84" customFormat="false" ht="69.75" hidden="false" customHeight="true" outlineLevel="0" collapsed="false">
      <c r="A84" s="14" t="n">
        <v>82</v>
      </c>
      <c r="B84" s="14" t="s">
        <v>3929</v>
      </c>
      <c r="C84" s="15" t="n">
        <v>24000</v>
      </c>
      <c r="D84" s="15" t="n">
        <v>7500000</v>
      </c>
      <c r="E84" s="15" t="n">
        <v>90700</v>
      </c>
      <c r="F84" s="18" t="n">
        <v>82.6</v>
      </c>
      <c r="G84" s="19" t="n">
        <v>1</v>
      </c>
      <c r="H84" s="6" t="s">
        <v>3930</v>
      </c>
      <c r="I84" s="6" t="s">
        <v>3931</v>
      </c>
      <c r="J84" s="6" t="s">
        <v>3932</v>
      </c>
      <c r="K84" s="6" t="s">
        <v>3933</v>
      </c>
      <c r="L84" s="6" t="s">
        <v>3934</v>
      </c>
      <c r="M84" s="14" t="s">
        <v>3935</v>
      </c>
      <c r="N84" s="6" t="s">
        <v>3936</v>
      </c>
      <c r="O84" s="14" t="s">
        <v>3463</v>
      </c>
      <c r="P84" s="14" t="s">
        <v>3451</v>
      </c>
      <c r="Q84" s="14" t="s">
        <v>3444</v>
      </c>
      <c r="R84" s="14"/>
      <c r="S84" s="16" t="s">
        <v>3937</v>
      </c>
      <c r="T84" s="14" t="s">
        <v>1280</v>
      </c>
    </row>
    <row r="85" customFormat="false" ht="69.75" hidden="false" customHeight="true" outlineLevel="0" collapsed="false">
      <c r="A85" s="14" t="n">
        <v>83</v>
      </c>
      <c r="B85" s="14" t="s">
        <v>1595</v>
      </c>
      <c r="C85" s="15" t="n">
        <v>5400</v>
      </c>
      <c r="D85" s="15" t="n">
        <v>267400</v>
      </c>
      <c r="E85" s="15" t="n">
        <v>3300</v>
      </c>
      <c r="F85" s="18" t="n">
        <v>81.8</v>
      </c>
      <c r="G85" s="19" t="n">
        <v>3</v>
      </c>
      <c r="H85" s="6" t="s">
        <v>3938</v>
      </c>
      <c r="I85" s="6" t="s">
        <v>1597</v>
      </c>
      <c r="J85" s="6" t="s">
        <v>3939</v>
      </c>
      <c r="K85" s="6" t="s">
        <v>3940</v>
      </c>
      <c r="L85" s="6" t="s">
        <v>1603</v>
      </c>
      <c r="M85" s="14" t="s">
        <v>3941</v>
      </c>
      <c r="N85" s="6" t="s">
        <v>3942</v>
      </c>
      <c r="O85" s="14" t="s">
        <v>3442</v>
      </c>
      <c r="P85" s="14" t="s">
        <v>3443</v>
      </c>
      <c r="Q85" s="14" t="s">
        <v>3452</v>
      </c>
      <c r="R85" s="14"/>
      <c r="S85" s="16" t="s">
        <v>1596</v>
      </c>
      <c r="T85" s="14" t="s">
        <v>952</v>
      </c>
    </row>
    <row r="86" customFormat="false" ht="69.75" hidden="false" customHeight="true" outlineLevel="0" collapsed="false">
      <c r="A86" s="14" t="n">
        <v>84</v>
      </c>
      <c r="B86" s="14" t="s">
        <v>3943</v>
      </c>
      <c r="C86" s="15" t="n">
        <v>8700</v>
      </c>
      <c r="D86" s="15" t="n">
        <v>419900</v>
      </c>
      <c r="E86" s="15" t="n">
        <v>5200</v>
      </c>
      <c r="F86" s="18" t="n">
        <v>81.3</v>
      </c>
      <c r="G86" s="19" t="n">
        <v>1</v>
      </c>
      <c r="H86" s="6" t="s">
        <v>3601</v>
      </c>
      <c r="I86" s="6"/>
      <c r="J86" s="6"/>
      <c r="K86" s="6"/>
      <c r="L86" s="6" t="s">
        <v>3944</v>
      </c>
      <c r="M86" s="14" t="s">
        <v>3945</v>
      </c>
      <c r="N86" s="6" t="s">
        <v>3946</v>
      </c>
      <c r="O86" s="14" t="s">
        <v>3442</v>
      </c>
      <c r="P86" s="14"/>
      <c r="Q86" s="14" t="s">
        <v>3444</v>
      </c>
      <c r="R86" s="14"/>
      <c r="S86" s="16" t="s">
        <v>3947</v>
      </c>
      <c r="T86" s="14" t="s">
        <v>2555</v>
      </c>
    </row>
    <row r="87" customFormat="false" ht="69.75" hidden="false" customHeight="true" outlineLevel="0" collapsed="false">
      <c r="A87" s="14" t="n">
        <v>85</v>
      </c>
      <c r="B87" s="14" t="s">
        <v>3948</v>
      </c>
      <c r="C87" s="15" t="n">
        <v>34600</v>
      </c>
      <c r="D87" s="15" t="n">
        <v>200500</v>
      </c>
      <c r="E87" s="15" t="n">
        <v>2500</v>
      </c>
      <c r="F87" s="18" t="n">
        <v>80.8</v>
      </c>
      <c r="G87" s="19" t="n">
        <v>1</v>
      </c>
      <c r="H87" s="6" t="s">
        <v>3949</v>
      </c>
      <c r="I87" s="6" t="s">
        <v>3950</v>
      </c>
      <c r="J87" s="6" t="s">
        <v>3951</v>
      </c>
      <c r="K87" s="6" t="s">
        <v>3952</v>
      </c>
      <c r="L87" s="6" t="s">
        <v>3953</v>
      </c>
      <c r="M87" s="14" t="s">
        <v>3954</v>
      </c>
      <c r="N87" s="6" t="s">
        <v>3955</v>
      </c>
      <c r="O87" s="14" t="s">
        <v>3442</v>
      </c>
      <c r="P87" s="14" t="s">
        <v>3469</v>
      </c>
      <c r="Q87" s="14" t="s">
        <v>3452</v>
      </c>
      <c r="R87" s="14"/>
      <c r="S87" s="16" t="s">
        <v>3956</v>
      </c>
      <c r="T87" s="14" t="s">
        <v>1289</v>
      </c>
    </row>
    <row r="88" customFormat="false" ht="69.75" hidden="false" customHeight="true" outlineLevel="0" collapsed="false">
      <c r="A88" s="14" t="n">
        <v>86</v>
      </c>
      <c r="B88" s="14" t="s">
        <v>3957</v>
      </c>
      <c r="C88" s="15" t="n">
        <v>21900</v>
      </c>
      <c r="D88" s="15" t="n">
        <v>136500</v>
      </c>
      <c r="E88" s="15" t="n">
        <v>1700</v>
      </c>
      <c r="F88" s="18" t="n">
        <v>80.7</v>
      </c>
      <c r="G88" s="19" t="n">
        <v>2</v>
      </c>
      <c r="H88" s="6" t="s">
        <v>3766</v>
      </c>
      <c r="I88" s="6" t="s">
        <v>3958</v>
      </c>
      <c r="J88" s="6" t="s">
        <v>3959</v>
      </c>
      <c r="K88" s="6" t="s">
        <v>3960</v>
      </c>
      <c r="L88" s="6" t="s">
        <v>3961</v>
      </c>
      <c r="M88" s="14" t="s">
        <v>3962</v>
      </c>
      <c r="N88" s="6" t="s">
        <v>3963</v>
      </c>
      <c r="O88" s="14" t="s">
        <v>3463</v>
      </c>
      <c r="P88" s="14" t="s">
        <v>3451</v>
      </c>
      <c r="Q88" s="14" t="s">
        <v>3444</v>
      </c>
      <c r="R88" s="14"/>
      <c r="S88" s="16" t="s">
        <v>3964</v>
      </c>
      <c r="T88" s="14" t="s">
        <v>1640</v>
      </c>
    </row>
    <row r="89" customFormat="false" ht="69.75" hidden="false" customHeight="true" outlineLevel="0" collapsed="false">
      <c r="A89" s="14" t="n">
        <v>87</v>
      </c>
      <c r="B89" s="14" t="s">
        <v>3965</v>
      </c>
      <c r="C89" s="15" t="n">
        <v>10900</v>
      </c>
      <c r="D89" s="15" t="n">
        <v>1300000</v>
      </c>
      <c r="E89" s="15" t="n">
        <v>16900</v>
      </c>
      <c r="F89" s="18" t="n">
        <v>77.3</v>
      </c>
      <c r="G89" s="19" t="n">
        <v>1</v>
      </c>
      <c r="H89" s="6" t="s">
        <v>3966</v>
      </c>
      <c r="I89" s="6"/>
      <c r="J89" s="6"/>
      <c r="K89" s="6"/>
      <c r="L89" s="6" t="s">
        <v>3967</v>
      </c>
      <c r="M89" s="14" t="s">
        <v>3968</v>
      </c>
      <c r="N89" s="6" t="s">
        <v>3969</v>
      </c>
      <c r="O89" s="14" t="s">
        <v>3558</v>
      </c>
      <c r="P89" s="14" t="s">
        <v>3443</v>
      </c>
      <c r="Q89" s="14" t="s">
        <v>3452</v>
      </c>
      <c r="R89" s="14"/>
      <c r="S89" s="16" t="s">
        <v>3970</v>
      </c>
      <c r="T89" s="14" t="s">
        <v>952</v>
      </c>
    </row>
    <row r="90" customFormat="false" ht="69.75" hidden="false" customHeight="true" outlineLevel="0" collapsed="false">
      <c r="A90" s="14" t="n">
        <v>88</v>
      </c>
      <c r="B90" s="14" t="s">
        <v>3971</v>
      </c>
      <c r="C90" s="15" t="n">
        <v>10400</v>
      </c>
      <c r="D90" s="15" t="n">
        <v>208500</v>
      </c>
      <c r="E90" s="15" t="n">
        <v>2800</v>
      </c>
      <c r="F90" s="18" t="n">
        <v>75.4</v>
      </c>
      <c r="G90" s="19" t="n">
        <v>1.9</v>
      </c>
      <c r="H90" s="6" t="s">
        <v>3972</v>
      </c>
      <c r="I90" s="6" t="s">
        <v>3973</v>
      </c>
      <c r="J90" s="6" t="s">
        <v>3974</v>
      </c>
      <c r="K90" s="6" t="s">
        <v>3975</v>
      </c>
      <c r="L90" s="6" t="s">
        <v>3976</v>
      </c>
      <c r="M90" s="14" t="s">
        <v>3977</v>
      </c>
      <c r="N90" s="6" t="s">
        <v>3978</v>
      </c>
      <c r="O90" s="14" t="s">
        <v>3442</v>
      </c>
      <c r="P90" s="14" t="s">
        <v>3451</v>
      </c>
      <c r="Q90" s="14" t="s">
        <v>3444</v>
      </c>
      <c r="R90" s="14"/>
      <c r="S90" s="16" t="s">
        <v>3979</v>
      </c>
      <c r="T90" s="14" t="s">
        <v>1721</v>
      </c>
    </row>
    <row r="91" customFormat="false" ht="69.75" hidden="false" customHeight="true" outlineLevel="0" collapsed="false">
      <c r="A91" s="14" t="n">
        <v>89</v>
      </c>
      <c r="B91" s="14" t="s">
        <v>3980</v>
      </c>
      <c r="C91" s="15" t="n">
        <v>10900</v>
      </c>
      <c r="D91" s="15" t="n">
        <v>305000</v>
      </c>
      <c r="E91" s="15" t="n">
        <v>4100</v>
      </c>
      <c r="F91" s="18" t="n">
        <v>74.7</v>
      </c>
      <c r="G91" s="19" t="n">
        <v>2</v>
      </c>
      <c r="H91" s="6" t="s">
        <v>3981</v>
      </c>
      <c r="I91" s="6" t="s">
        <v>3982</v>
      </c>
      <c r="J91" s="6" t="s">
        <v>3983</v>
      </c>
      <c r="K91" s="6" t="s">
        <v>3984</v>
      </c>
      <c r="L91" s="6" t="s">
        <v>3985</v>
      </c>
      <c r="M91" s="14" t="s">
        <v>3522</v>
      </c>
      <c r="N91" s="6" t="s">
        <v>3986</v>
      </c>
      <c r="O91" s="14" t="s">
        <v>3442</v>
      </c>
      <c r="P91" s="14" t="s">
        <v>3443</v>
      </c>
      <c r="Q91" s="14" t="s">
        <v>3444</v>
      </c>
      <c r="R91" s="14"/>
      <c r="S91" s="16" t="s">
        <v>3987</v>
      </c>
      <c r="T91" s="14" t="s">
        <v>1249</v>
      </c>
    </row>
    <row r="92" customFormat="false" ht="69.75" hidden="false" customHeight="true" outlineLevel="0" collapsed="false">
      <c r="A92" s="14" t="n">
        <v>90</v>
      </c>
      <c r="B92" s="14" t="s">
        <v>3988</v>
      </c>
      <c r="C92" s="15" t="n">
        <v>87000</v>
      </c>
      <c r="D92" s="15" t="n">
        <v>1200000</v>
      </c>
      <c r="E92" s="15" t="n">
        <v>17700</v>
      </c>
      <c r="F92" s="18" t="n">
        <v>70</v>
      </c>
      <c r="G92" s="19" t="n">
        <v>1</v>
      </c>
      <c r="H92" s="6" t="s">
        <v>3989</v>
      </c>
      <c r="I92" s="6" t="s">
        <v>3990</v>
      </c>
      <c r="J92" s="6" t="s">
        <v>3991</v>
      </c>
      <c r="K92" s="6" t="s">
        <v>3992</v>
      </c>
      <c r="L92" s="6" t="s">
        <v>3993</v>
      </c>
      <c r="M92" s="14" t="s">
        <v>3762</v>
      </c>
      <c r="N92" s="6" t="s">
        <v>3994</v>
      </c>
      <c r="O92" s="14" t="s">
        <v>3442</v>
      </c>
      <c r="P92" s="14" t="s">
        <v>3469</v>
      </c>
      <c r="Q92" s="14" t="s">
        <v>3452</v>
      </c>
      <c r="R92" s="14"/>
      <c r="S92" s="16" t="s">
        <v>3995</v>
      </c>
      <c r="T92" s="14" t="s">
        <v>458</v>
      </c>
    </row>
    <row r="93" customFormat="false" ht="69.75" hidden="false" customHeight="true" outlineLevel="0" collapsed="false">
      <c r="A93" s="14" t="n">
        <v>91</v>
      </c>
      <c r="B93" s="14" t="s">
        <v>1605</v>
      </c>
      <c r="C93" s="15" t="n">
        <v>7300</v>
      </c>
      <c r="D93" s="15" t="n">
        <v>208000</v>
      </c>
      <c r="E93" s="15" t="n">
        <v>3000</v>
      </c>
      <c r="F93" s="18" t="n">
        <v>69</v>
      </c>
      <c r="G93" s="19" t="n">
        <v>3</v>
      </c>
      <c r="H93" s="6" t="s">
        <v>3996</v>
      </c>
      <c r="I93" s="6" t="s">
        <v>1607</v>
      </c>
      <c r="J93" s="6" t="s">
        <v>3997</v>
      </c>
      <c r="K93" s="6" t="s">
        <v>3998</v>
      </c>
      <c r="L93" s="6" t="s">
        <v>1612</v>
      </c>
      <c r="M93" s="14" t="s">
        <v>3999</v>
      </c>
      <c r="N93" s="6" t="s">
        <v>3867</v>
      </c>
      <c r="O93" s="14" t="s">
        <v>3442</v>
      </c>
      <c r="P93" s="14" t="s">
        <v>3469</v>
      </c>
      <c r="Q93" s="14" t="s">
        <v>3452</v>
      </c>
      <c r="R93" s="14"/>
      <c r="S93" s="16" t="s">
        <v>1606</v>
      </c>
      <c r="T93" s="14" t="s">
        <v>1613</v>
      </c>
    </row>
    <row r="94" customFormat="false" ht="69.75" hidden="false" customHeight="true" outlineLevel="0" collapsed="false">
      <c r="A94" s="14" t="n">
        <v>92</v>
      </c>
      <c r="B94" s="14" t="s">
        <v>1551</v>
      </c>
      <c r="C94" s="15" t="n">
        <v>12700</v>
      </c>
      <c r="D94" s="15" t="n">
        <v>939000</v>
      </c>
      <c r="E94" s="15" t="n">
        <v>14200</v>
      </c>
      <c r="F94" s="18" t="n">
        <v>66.3</v>
      </c>
      <c r="G94" s="19" t="n">
        <v>3</v>
      </c>
      <c r="H94" s="6" t="s">
        <v>4000</v>
      </c>
      <c r="I94" s="6" t="s">
        <v>1553</v>
      </c>
      <c r="J94" s="6" t="s">
        <v>4001</v>
      </c>
      <c r="K94" s="6" t="s">
        <v>4002</v>
      </c>
      <c r="L94" s="6" t="s">
        <v>1557</v>
      </c>
      <c r="M94" s="14" t="s">
        <v>4003</v>
      </c>
      <c r="N94" s="6" t="s">
        <v>4004</v>
      </c>
      <c r="O94" s="14" t="s">
        <v>3558</v>
      </c>
      <c r="P94" s="14" t="s">
        <v>3443</v>
      </c>
      <c r="Q94" s="14" t="s">
        <v>3444</v>
      </c>
      <c r="R94" s="14"/>
      <c r="S94" s="16" t="s">
        <v>1552</v>
      </c>
      <c r="T94" s="14" t="s">
        <v>574</v>
      </c>
    </row>
    <row r="95" customFormat="false" ht="69.75" hidden="false" customHeight="true" outlineLevel="0" collapsed="false">
      <c r="A95" s="14" t="n">
        <v>93</v>
      </c>
      <c r="B95" s="14" t="s">
        <v>4005</v>
      </c>
      <c r="C95" s="15" t="n">
        <v>36000</v>
      </c>
      <c r="D95" s="15" t="n">
        <v>158400</v>
      </c>
      <c r="E95" s="15" t="n">
        <v>2400</v>
      </c>
      <c r="F95" s="18" t="n">
        <v>65.4</v>
      </c>
      <c r="G95" s="19" t="n">
        <v>1</v>
      </c>
      <c r="H95" s="6" t="s">
        <v>3524</v>
      </c>
      <c r="I95" s="6" t="s">
        <v>4006</v>
      </c>
      <c r="J95" s="6" t="s">
        <v>4007</v>
      </c>
      <c r="K95" s="6" t="s">
        <v>4008</v>
      </c>
      <c r="L95" s="6" t="s">
        <v>4009</v>
      </c>
      <c r="M95" s="14" t="s">
        <v>4010</v>
      </c>
      <c r="N95" s="6" t="s">
        <v>4011</v>
      </c>
      <c r="O95" s="14" t="s">
        <v>3442</v>
      </c>
      <c r="P95" s="14" t="s">
        <v>3451</v>
      </c>
      <c r="Q95" s="14" t="s">
        <v>3444</v>
      </c>
      <c r="R95" s="14"/>
      <c r="S95" s="16" t="s">
        <v>4012</v>
      </c>
      <c r="T95" s="14" t="s">
        <v>952</v>
      </c>
    </row>
    <row r="96" customFormat="false" ht="69.75" hidden="false" customHeight="true" outlineLevel="0" collapsed="false">
      <c r="A96" s="14" t="n">
        <v>94</v>
      </c>
      <c r="B96" s="14" t="s">
        <v>1577</v>
      </c>
      <c r="C96" s="15" t="n">
        <v>13000</v>
      </c>
      <c r="D96" s="15" t="n">
        <v>643200</v>
      </c>
      <c r="E96" s="15" t="n">
        <v>10100</v>
      </c>
      <c r="F96" s="18" t="n">
        <v>64</v>
      </c>
      <c r="G96" s="19" t="n">
        <v>3</v>
      </c>
      <c r="H96" s="6" t="s">
        <v>4013</v>
      </c>
      <c r="I96" s="6" t="s">
        <v>1579</v>
      </c>
      <c r="J96" s="6" t="s">
        <v>4014</v>
      </c>
      <c r="K96" s="6" t="s">
        <v>4015</v>
      </c>
      <c r="L96" s="6" t="s">
        <v>1583</v>
      </c>
      <c r="M96" s="14" t="s">
        <v>4016</v>
      </c>
      <c r="N96" s="6" t="s">
        <v>4017</v>
      </c>
      <c r="O96" s="14" t="s">
        <v>3442</v>
      </c>
      <c r="P96" s="14" t="s">
        <v>3469</v>
      </c>
      <c r="Q96" s="14" t="s">
        <v>3452</v>
      </c>
      <c r="R96" s="14"/>
      <c r="S96" s="16" t="s">
        <v>1578</v>
      </c>
      <c r="T96" s="14" t="s">
        <v>747</v>
      </c>
    </row>
    <row r="97" customFormat="false" ht="69.75" hidden="false" customHeight="true" outlineLevel="0" collapsed="false">
      <c r="A97" s="14" t="n">
        <v>95</v>
      </c>
      <c r="B97" s="14" t="s">
        <v>4018</v>
      </c>
      <c r="C97" s="15" t="n">
        <v>78500</v>
      </c>
      <c r="D97" s="15" t="n">
        <v>388800</v>
      </c>
      <c r="E97" s="15" t="n">
        <v>6100</v>
      </c>
      <c r="F97" s="18" t="n">
        <v>63.8</v>
      </c>
      <c r="G97" s="19" t="n">
        <v>1.5</v>
      </c>
      <c r="H97" s="6" t="s">
        <v>4019</v>
      </c>
      <c r="I97" s="6" t="s">
        <v>4020</v>
      </c>
      <c r="J97" s="6" t="s">
        <v>4021</v>
      </c>
      <c r="K97" s="6" t="s">
        <v>4022</v>
      </c>
      <c r="L97" s="6" t="s">
        <v>4023</v>
      </c>
      <c r="M97" s="14" t="s">
        <v>3556</v>
      </c>
      <c r="N97" s="6" t="s">
        <v>4024</v>
      </c>
      <c r="O97" s="14" t="s">
        <v>3442</v>
      </c>
      <c r="P97" s="14" t="s">
        <v>3443</v>
      </c>
      <c r="Q97" s="14" t="s">
        <v>3452</v>
      </c>
      <c r="R97" s="14"/>
      <c r="S97" s="16" t="s">
        <v>4025</v>
      </c>
      <c r="T97" s="14" t="s">
        <v>1593</v>
      </c>
    </row>
    <row r="98" customFormat="false" ht="69.75" hidden="false" customHeight="true" outlineLevel="0" collapsed="false">
      <c r="A98" s="14" t="n">
        <v>96</v>
      </c>
      <c r="B98" s="14" t="s">
        <v>4026</v>
      </c>
      <c r="C98" s="15" t="n">
        <v>13400</v>
      </c>
      <c r="D98" s="15" t="n">
        <v>172400</v>
      </c>
      <c r="E98" s="15" t="n">
        <v>2700</v>
      </c>
      <c r="F98" s="18" t="n">
        <v>63.5</v>
      </c>
      <c r="G98" s="19" t="n">
        <v>1</v>
      </c>
      <c r="H98" s="6" t="s">
        <v>4027</v>
      </c>
      <c r="I98" s="6" t="s">
        <v>4028</v>
      </c>
      <c r="J98" s="6" t="s">
        <v>4029</v>
      </c>
      <c r="K98" s="6" t="s">
        <v>4030</v>
      </c>
      <c r="L98" s="6" t="s">
        <v>4031</v>
      </c>
      <c r="M98" s="14" t="s">
        <v>4032</v>
      </c>
      <c r="N98" s="6" t="s">
        <v>4033</v>
      </c>
      <c r="O98" s="14" t="s">
        <v>3442</v>
      </c>
      <c r="P98" s="14" t="s">
        <v>3451</v>
      </c>
      <c r="Q98" s="14" t="s">
        <v>3444</v>
      </c>
      <c r="R98" s="14"/>
      <c r="S98" s="16" t="s">
        <v>4034</v>
      </c>
      <c r="T98" s="14" t="s">
        <v>574</v>
      </c>
    </row>
    <row r="99" customFormat="false" ht="69.75" hidden="false" customHeight="true" outlineLevel="0" collapsed="false">
      <c r="A99" s="14" t="n">
        <v>97</v>
      </c>
      <c r="B99" s="14" t="s">
        <v>1615</v>
      </c>
      <c r="C99" s="15" t="n">
        <v>24900</v>
      </c>
      <c r="D99" s="15" t="n">
        <v>224600</v>
      </c>
      <c r="E99" s="15" t="n">
        <v>3600</v>
      </c>
      <c r="F99" s="18" t="n">
        <v>62.7</v>
      </c>
      <c r="G99" s="19" t="n">
        <v>3</v>
      </c>
      <c r="H99" s="6" t="s">
        <v>4035</v>
      </c>
      <c r="I99" s="6" t="s">
        <v>1617</v>
      </c>
      <c r="J99" s="6" t="s">
        <v>4036</v>
      </c>
      <c r="K99" s="6" t="s">
        <v>4037</v>
      </c>
      <c r="L99" s="6" t="s">
        <v>1621</v>
      </c>
      <c r="M99" s="14" t="s">
        <v>4038</v>
      </c>
      <c r="N99" s="6" t="s">
        <v>4039</v>
      </c>
      <c r="O99" s="14" t="s">
        <v>3442</v>
      </c>
      <c r="P99" s="14" t="s">
        <v>3443</v>
      </c>
      <c r="Q99" s="14" t="s">
        <v>3452</v>
      </c>
      <c r="R99" s="14"/>
      <c r="S99" s="16" t="s">
        <v>1616</v>
      </c>
      <c r="T99" s="14" t="s">
        <v>1289</v>
      </c>
    </row>
    <row r="100" customFormat="false" ht="69.75" hidden="false" customHeight="true" outlineLevel="0" collapsed="false">
      <c r="A100" s="14" t="n">
        <v>98</v>
      </c>
      <c r="B100" s="14" t="s">
        <v>2170</v>
      </c>
      <c r="C100" s="15" t="n">
        <v>38900</v>
      </c>
      <c r="D100" s="15" t="n">
        <v>157400</v>
      </c>
      <c r="E100" s="15" t="n">
        <v>2500</v>
      </c>
      <c r="F100" s="18" t="n">
        <v>61.9</v>
      </c>
      <c r="G100" s="19" t="n">
        <v>3</v>
      </c>
      <c r="H100" s="6" t="s">
        <v>4040</v>
      </c>
      <c r="I100" s="6" t="s">
        <v>2172</v>
      </c>
      <c r="J100" s="6" t="s">
        <v>4041</v>
      </c>
      <c r="K100" s="6" t="s">
        <v>4042</v>
      </c>
      <c r="L100" s="6" t="s">
        <v>2176</v>
      </c>
      <c r="M100" s="14" t="s">
        <v>4043</v>
      </c>
      <c r="N100" s="6" t="s">
        <v>3576</v>
      </c>
      <c r="O100" s="14" t="s">
        <v>3442</v>
      </c>
      <c r="P100" s="14" t="s">
        <v>3469</v>
      </c>
      <c r="Q100" s="14" t="s">
        <v>3444</v>
      </c>
      <c r="R100" s="14"/>
      <c r="S100" s="16" t="s">
        <v>2171</v>
      </c>
      <c r="T100" s="14" t="s">
        <v>1721</v>
      </c>
    </row>
    <row r="101" customFormat="false" ht="69.75" hidden="false" customHeight="true" outlineLevel="0" collapsed="false">
      <c r="A101" s="14" t="n">
        <v>99</v>
      </c>
      <c r="B101" s="14" t="s">
        <v>1523</v>
      </c>
      <c r="C101" s="15" t="n">
        <v>7900</v>
      </c>
      <c r="D101" s="15" t="n">
        <v>226200</v>
      </c>
      <c r="E101" s="15" t="n">
        <v>3700</v>
      </c>
      <c r="F101" s="18" t="n">
        <v>60.4</v>
      </c>
      <c r="G101" s="19" t="n">
        <v>3</v>
      </c>
      <c r="H101" s="6" t="s">
        <v>4044</v>
      </c>
      <c r="I101" s="6" t="s">
        <v>1525</v>
      </c>
      <c r="J101" s="6" t="s">
        <v>4045</v>
      </c>
      <c r="K101" s="6" t="s">
        <v>4046</v>
      </c>
      <c r="L101" s="6" t="s">
        <v>1530</v>
      </c>
      <c r="M101" s="14" t="s">
        <v>4047</v>
      </c>
      <c r="N101" s="6" t="s">
        <v>4048</v>
      </c>
      <c r="O101" s="14" t="s">
        <v>3450</v>
      </c>
      <c r="P101" s="14" t="s">
        <v>3443</v>
      </c>
      <c r="Q101" s="14" t="s">
        <v>3452</v>
      </c>
      <c r="R101" s="14"/>
      <c r="S101" s="16" t="s">
        <v>1524</v>
      </c>
      <c r="T101" s="14" t="s">
        <v>923</v>
      </c>
    </row>
    <row r="102" customFormat="false" ht="69.75" hidden="false" customHeight="true" outlineLevel="0" collapsed="false">
      <c r="A102" s="14" t="n">
        <v>100</v>
      </c>
      <c r="B102" s="14" t="s">
        <v>4049</v>
      </c>
      <c r="C102" s="15" t="n">
        <v>55700</v>
      </c>
      <c r="D102" s="15" t="n">
        <v>123200</v>
      </c>
      <c r="E102" s="15" t="n">
        <v>2100</v>
      </c>
      <c r="F102" s="18" t="n">
        <v>59.8</v>
      </c>
      <c r="G102" s="19" t="n">
        <v>1</v>
      </c>
      <c r="H102" s="6" t="s">
        <v>4050</v>
      </c>
      <c r="I102" s="6" t="s">
        <v>4051</v>
      </c>
      <c r="J102" s="6" t="s">
        <v>4052</v>
      </c>
      <c r="K102" s="6" t="s">
        <v>4053</v>
      </c>
      <c r="L102" s="6" t="s">
        <v>4054</v>
      </c>
      <c r="M102" s="14" t="s">
        <v>3512</v>
      </c>
      <c r="N102" s="6" t="s">
        <v>4055</v>
      </c>
      <c r="O102" s="14" t="s">
        <v>3463</v>
      </c>
      <c r="P102" s="14" t="s">
        <v>3451</v>
      </c>
      <c r="Q102" s="14" t="s">
        <v>3444</v>
      </c>
      <c r="R102" s="14"/>
      <c r="S102" s="16" t="s">
        <v>4056</v>
      </c>
      <c r="T102" s="14" t="s">
        <v>1249</v>
      </c>
    </row>
    <row r="103" customFormat="false" ht="69.75" hidden="false" customHeight="true" outlineLevel="0" collapsed="false">
      <c r="A103" s="14" t="n">
        <v>101</v>
      </c>
      <c r="B103" s="14" t="s">
        <v>4057</v>
      </c>
      <c r="C103" s="15" t="n">
        <v>40700</v>
      </c>
      <c r="D103" s="15" t="n">
        <v>65100</v>
      </c>
      <c r="E103" s="15" t="n">
        <v>1100</v>
      </c>
      <c r="F103" s="18" t="n">
        <v>59.7</v>
      </c>
      <c r="G103" s="19" t="n">
        <v>2</v>
      </c>
      <c r="H103" s="6" t="s">
        <v>4058</v>
      </c>
      <c r="I103" s="6" t="s">
        <v>4059</v>
      </c>
      <c r="J103" s="6" t="s">
        <v>4060</v>
      </c>
      <c r="K103" s="6" t="s">
        <v>4061</v>
      </c>
      <c r="L103" s="6" t="s">
        <v>4062</v>
      </c>
      <c r="M103" s="14" t="s">
        <v>3522</v>
      </c>
      <c r="N103" s="6" t="s">
        <v>3576</v>
      </c>
      <c r="O103" s="14" t="s">
        <v>3442</v>
      </c>
      <c r="P103" s="14" t="s">
        <v>3469</v>
      </c>
      <c r="Q103" s="14" t="s">
        <v>3444</v>
      </c>
      <c r="R103" s="14"/>
      <c r="S103" s="16" t="s">
        <v>4063</v>
      </c>
      <c r="T103" s="14" t="s">
        <v>747</v>
      </c>
    </row>
    <row r="104" customFormat="false" ht="69.75" hidden="false" customHeight="true" outlineLevel="0" collapsed="false">
      <c r="A104" s="14" t="n">
        <v>102</v>
      </c>
      <c r="B104" s="14" t="s">
        <v>4064</v>
      </c>
      <c r="C104" s="15" t="n">
        <v>12200</v>
      </c>
      <c r="D104" s="15" t="n">
        <v>87500</v>
      </c>
      <c r="E104" s="15" t="n">
        <v>1500</v>
      </c>
      <c r="F104" s="18" t="n">
        <v>58.7</v>
      </c>
      <c r="G104" s="19" t="n">
        <v>1</v>
      </c>
      <c r="H104" s="6" t="s">
        <v>4065</v>
      </c>
      <c r="I104" s="6" t="s">
        <v>4066</v>
      </c>
      <c r="J104" s="6" t="s">
        <v>4067</v>
      </c>
      <c r="K104" s="6" t="s">
        <v>4068</v>
      </c>
      <c r="L104" s="6" t="s">
        <v>4069</v>
      </c>
      <c r="M104" s="14" t="s">
        <v>4070</v>
      </c>
      <c r="N104" s="6" t="s">
        <v>3746</v>
      </c>
      <c r="O104" s="14" t="s">
        <v>3442</v>
      </c>
      <c r="P104" s="14" t="s">
        <v>3469</v>
      </c>
      <c r="Q104" s="14" t="s">
        <v>3444</v>
      </c>
      <c r="R104" s="14"/>
      <c r="S104" s="16" t="s">
        <v>4071</v>
      </c>
      <c r="T104" s="14" t="s">
        <v>1593</v>
      </c>
    </row>
    <row r="105" customFormat="false" ht="69.75" hidden="false" customHeight="true" outlineLevel="0" collapsed="false">
      <c r="A105" s="14" t="n">
        <v>103</v>
      </c>
      <c r="B105" s="14" t="s">
        <v>4072</v>
      </c>
      <c r="C105" s="15" t="n">
        <v>20500</v>
      </c>
      <c r="D105" s="15" t="n">
        <v>116800</v>
      </c>
      <c r="E105" s="15" t="n">
        <v>2000</v>
      </c>
      <c r="F105" s="18" t="n">
        <v>58.5</v>
      </c>
      <c r="G105" s="19" t="n">
        <v>1</v>
      </c>
      <c r="H105" s="6" t="s">
        <v>4073</v>
      </c>
      <c r="I105" s="6" t="s">
        <v>4074</v>
      </c>
      <c r="J105" s="6" t="s">
        <v>4075</v>
      </c>
      <c r="K105" s="6" t="s">
        <v>4076</v>
      </c>
      <c r="L105" s="6" t="s">
        <v>4077</v>
      </c>
      <c r="M105" s="14" t="s">
        <v>4078</v>
      </c>
      <c r="N105" s="6" t="s">
        <v>4079</v>
      </c>
      <c r="O105" s="14" t="s">
        <v>3450</v>
      </c>
      <c r="P105" s="14" t="s">
        <v>3469</v>
      </c>
      <c r="Q105" s="14" t="s">
        <v>3452</v>
      </c>
      <c r="R105" s="14"/>
      <c r="S105" s="16" t="s">
        <v>4080</v>
      </c>
      <c r="T105" s="14" t="s">
        <v>1289</v>
      </c>
    </row>
    <row r="106" customFormat="false" ht="69.75" hidden="false" customHeight="true" outlineLevel="0" collapsed="false">
      <c r="A106" s="14" t="n">
        <v>104</v>
      </c>
      <c r="B106" s="14" t="s">
        <v>1623</v>
      </c>
      <c r="C106" s="15" t="n">
        <v>19200</v>
      </c>
      <c r="D106" s="15" t="n">
        <v>170700</v>
      </c>
      <c r="E106" s="15" t="n">
        <v>3000</v>
      </c>
      <c r="F106" s="18" t="n">
        <v>57.5</v>
      </c>
      <c r="G106" s="19" t="n">
        <v>3</v>
      </c>
      <c r="H106" s="6" t="s">
        <v>4081</v>
      </c>
      <c r="I106" s="6" t="s">
        <v>1625</v>
      </c>
      <c r="J106" s="6" t="s">
        <v>4082</v>
      </c>
      <c r="K106" s="6" t="s">
        <v>4083</v>
      </c>
      <c r="L106" s="6" t="s">
        <v>1629</v>
      </c>
      <c r="M106" s="14" t="s">
        <v>4084</v>
      </c>
      <c r="N106" s="6" t="s">
        <v>3867</v>
      </c>
      <c r="O106" s="14" t="s">
        <v>3442</v>
      </c>
      <c r="P106" s="14" t="s">
        <v>3443</v>
      </c>
      <c r="Q106" s="14" t="s">
        <v>3452</v>
      </c>
      <c r="R106" s="14"/>
      <c r="S106" s="16" t="s">
        <v>1624</v>
      </c>
      <c r="T106" s="14" t="s">
        <v>1289</v>
      </c>
    </row>
    <row r="107" customFormat="false" ht="69.75" hidden="false" customHeight="true" outlineLevel="0" collapsed="false">
      <c r="A107" s="14" t="n">
        <v>105</v>
      </c>
      <c r="B107" s="14" t="s">
        <v>4085</v>
      </c>
      <c r="C107" s="15" t="n">
        <v>32000</v>
      </c>
      <c r="D107" s="15" t="n">
        <v>759700</v>
      </c>
      <c r="E107" s="15" t="n">
        <v>13200</v>
      </c>
      <c r="F107" s="18" t="n">
        <v>57.4</v>
      </c>
      <c r="G107" s="19" t="n">
        <v>1.5</v>
      </c>
      <c r="H107" s="6" t="s">
        <v>4086</v>
      </c>
      <c r="I107" s="6" t="s">
        <v>4087</v>
      </c>
      <c r="J107" s="6" t="s">
        <v>4088</v>
      </c>
      <c r="K107" s="6" t="s">
        <v>4089</v>
      </c>
      <c r="L107" s="6" t="s">
        <v>4090</v>
      </c>
      <c r="M107" s="14" t="s">
        <v>3448</v>
      </c>
      <c r="N107" s="6" t="s">
        <v>4091</v>
      </c>
      <c r="O107" s="14" t="s">
        <v>3442</v>
      </c>
      <c r="P107" s="14" t="s">
        <v>3469</v>
      </c>
      <c r="Q107" s="14" t="s">
        <v>3452</v>
      </c>
      <c r="R107" s="14"/>
      <c r="S107" s="16" t="s">
        <v>4092</v>
      </c>
      <c r="T107" s="14" t="s">
        <v>1593</v>
      </c>
    </row>
    <row r="108" customFormat="false" ht="69.75" hidden="false" customHeight="true" outlineLevel="0" collapsed="false">
      <c r="A108" s="14" t="n">
        <v>106</v>
      </c>
      <c r="B108" s="14" t="s">
        <v>4093</v>
      </c>
      <c r="C108" s="15" t="n">
        <v>26700</v>
      </c>
      <c r="D108" s="15" t="n">
        <v>110600</v>
      </c>
      <c r="E108" s="15" t="n">
        <v>1900</v>
      </c>
      <c r="F108" s="18" t="n">
        <v>57.2</v>
      </c>
      <c r="G108" s="19" t="n">
        <v>2</v>
      </c>
      <c r="H108" s="6" t="s">
        <v>4094</v>
      </c>
      <c r="I108" s="6" t="s">
        <v>4095</v>
      </c>
      <c r="J108" s="6" t="s">
        <v>4096</v>
      </c>
      <c r="K108" s="6" t="s">
        <v>4097</v>
      </c>
      <c r="L108" s="6" t="s">
        <v>4098</v>
      </c>
      <c r="M108" s="14" t="s">
        <v>3745</v>
      </c>
      <c r="N108" s="6" t="s">
        <v>3746</v>
      </c>
      <c r="O108" s="14" t="s">
        <v>3442</v>
      </c>
      <c r="P108" s="14" t="s">
        <v>3469</v>
      </c>
      <c r="Q108" s="14" t="s">
        <v>3444</v>
      </c>
      <c r="R108" s="14"/>
      <c r="S108" s="16" t="s">
        <v>4099</v>
      </c>
      <c r="T108" s="14" t="s">
        <v>1721</v>
      </c>
    </row>
    <row r="109" customFormat="false" ht="69.75" hidden="false" customHeight="true" outlineLevel="0" collapsed="false">
      <c r="A109" s="14" t="n">
        <v>107</v>
      </c>
      <c r="B109" s="14" t="s">
        <v>4100</v>
      </c>
      <c r="C109" s="15" t="n">
        <v>43500</v>
      </c>
      <c r="D109" s="15" t="n">
        <v>355000</v>
      </c>
      <c r="E109" s="15" t="n">
        <v>6400</v>
      </c>
      <c r="F109" s="18" t="n">
        <v>55.8</v>
      </c>
      <c r="G109" s="19" t="n">
        <v>2</v>
      </c>
      <c r="H109" s="6" t="s">
        <v>4101</v>
      </c>
      <c r="I109" s="6" t="s">
        <v>4102</v>
      </c>
      <c r="J109" s="6" t="s">
        <v>4103</v>
      </c>
      <c r="K109" s="6" t="s">
        <v>4104</v>
      </c>
      <c r="L109" s="6" t="s">
        <v>4105</v>
      </c>
      <c r="M109" s="14" t="s">
        <v>4106</v>
      </c>
      <c r="N109" s="6" t="s">
        <v>4107</v>
      </c>
      <c r="O109" s="14" t="s">
        <v>3450</v>
      </c>
      <c r="P109" s="14" t="s">
        <v>3469</v>
      </c>
      <c r="Q109" s="14" t="s">
        <v>3444</v>
      </c>
      <c r="R109" s="14"/>
      <c r="S109" s="16" t="s">
        <v>4108</v>
      </c>
      <c r="T109" s="14" t="s">
        <v>747</v>
      </c>
    </row>
    <row r="110" customFormat="false" ht="69.75" hidden="false" customHeight="true" outlineLevel="0" collapsed="false">
      <c r="A110" s="14" t="n">
        <v>108</v>
      </c>
      <c r="B110" s="14" t="s">
        <v>4109</v>
      </c>
      <c r="C110" s="15" t="n">
        <v>53500</v>
      </c>
      <c r="D110" s="15" t="n">
        <v>5300000</v>
      </c>
      <c r="E110" s="15" t="n">
        <v>98500</v>
      </c>
      <c r="F110" s="18" t="n">
        <v>54.2</v>
      </c>
      <c r="G110" s="19" t="n">
        <v>1</v>
      </c>
      <c r="H110" s="6" t="s">
        <v>4110</v>
      </c>
      <c r="I110" s="6" t="s">
        <v>4111</v>
      </c>
      <c r="J110" s="6" t="s">
        <v>4112</v>
      </c>
      <c r="K110" s="6" t="s">
        <v>4113</v>
      </c>
      <c r="L110" s="6" t="s">
        <v>4114</v>
      </c>
      <c r="M110" s="14" t="s">
        <v>4115</v>
      </c>
      <c r="N110" s="6" t="s">
        <v>3498</v>
      </c>
      <c r="O110" s="14" t="s">
        <v>3442</v>
      </c>
      <c r="P110" s="14" t="s">
        <v>3443</v>
      </c>
      <c r="Q110" s="14" t="s">
        <v>3444</v>
      </c>
      <c r="R110" s="14"/>
      <c r="S110" s="16" t="s">
        <v>4116</v>
      </c>
      <c r="T110" s="14" t="s">
        <v>1593</v>
      </c>
    </row>
    <row r="111" customFormat="false" ht="69.75" hidden="false" customHeight="true" outlineLevel="0" collapsed="false">
      <c r="A111" s="14" t="n">
        <v>109</v>
      </c>
      <c r="B111" s="14" t="s">
        <v>4117</v>
      </c>
      <c r="C111" s="15" t="n">
        <v>20000</v>
      </c>
      <c r="D111" s="15" t="n">
        <v>147900</v>
      </c>
      <c r="E111" s="15" t="n">
        <v>2800</v>
      </c>
      <c r="F111" s="18" t="n">
        <v>52.8</v>
      </c>
      <c r="G111" s="19" t="n">
        <v>1.3</v>
      </c>
      <c r="H111" s="6" t="s">
        <v>4118</v>
      </c>
      <c r="I111" s="6" t="s">
        <v>4119</v>
      </c>
      <c r="J111" s="6" t="s">
        <v>4120</v>
      </c>
      <c r="K111" s="6" t="s">
        <v>4121</v>
      </c>
      <c r="L111" s="6" t="s">
        <v>4122</v>
      </c>
      <c r="M111" s="14" t="s">
        <v>4123</v>
      </c>
      <c r="N111" s="6" t="s">
        <v>4124</v>
      </c>
      <c r="O111" s="14" t="s">
        <v>3450</v>
      </c>
      <c r="P111" s="14" t="s">
        <v>3443</v>
      </c>
      <c r="Q111" s="14" t="s">
        <v>3452</v>
      </c>
      <c r="R111" s="14"/>
      <c r="S111" s="16" t="s">
        <v>4125</v>
      </c>
      <c r="T111" s="14" t="s">
        <v>574</v>
      </c>
    </row>
    <row r="112" customFormat="false" ht="69.75" hidden="false" customHeight="true" outlineLevel="0" collapsed="false">
      <c r="A112" s="14" t="n">
        <v>110</v>
      </c>
      <c r="B112" s="14" t="s">
        <v>4126</v>
      </c>
      <c r="C112" s="15" t="n">
        <v>89800</v>
      </c>
      <c r="D112" s="15" t="n">
        <v>87900</v>
      </c>
      <c r="E112" s="15" t="n">
        <v>1700</v>
      </c>
      <c r="F112" s="18" t="n">
        <v>52.2</v>
      </c>
      <c r="G112" s="19" t="n">
        <v>1</v>
      </c>
      <c r="H112" s="6" t="s">
        <v>4127</v>
      </c>
      <c r="I112" s="6" t="s">
        <v>4128</v>
      </c>
      <c r="J112" s="6" t="s">
        <v>4129</v>
      </c>
      <c r="K112" s="6" t="s">
        <v>4130</v>
      </c>
      <c r="L112" s="6" t="s">
        <v>4131</v>
      </c>
      <c r="M112" s="14" t="s">
        <v>4132</v>
      </c>
      <c r="N112" s="6" t="s">
        <v>4133</v>
      </c>
      <c r="O112" s="14" t="s">
        <v>3450</v>
      </c>
      <c r="P112" s="14" t="s">
        <v>3469</v>
      </c>
      <c r="Q112" s="14" t="s">
        <v>3452</v>
      </c>
      <c r="R112" s="14"/>
      <c r="S112" s="16" t="s">
        <v>4134</v>
      </c>
      <c r="T112" s="14" t="s">
        <v>1289</v>
      </c>
    </row>
    <row r="113" customFormat="false" ht="69.75" hidden="false" customHeight="true" outlineLevel="0" collapsed="false">
      <c r="A113" s="14" t="n">
        <v>111</v>
      </c>
      <c r="B113" s="14" t="s">
        <v>1344</v>
      </c>
      <c r="C113" s="15" t="n">
        <v>8200</v>
      </c>
      <c r="D113" s="15" t="n">
        <v>109200</v>
      </c>
      <c r="E113" s="15" t="n">
        <v>2100</v>
      </c>
      <c r="F113" s="18" t="n">
        <v>52</v>
      </c>
      <c r="G113" s="19" t="n">
        <v>2.3</v>
      </c>
      <c r="H113" s="6" t="s">
        <v>4135</v>
      </c>
      <c r="I113" s="6" t="s">
        <v>4136</v>
      </c>
      <c r="J113" s="6" t="s">
        <v>4137</v>
      </c>
      <c r="K113" s="6" t="s">
        <v>4138</v>
      </c>
      <c r="L113" s="6" t="s">
        <v>4139</v>
      </c>
      <c r="M113" s="14" t="s">
        <v>4140</v>
      </c>
      <c r="N113" s="6" t="s">
        <v>4141</v>
      </c>
      <c r="O113" s="14" t="s">
        <v>3442</v>
      </c>
      <c r="P113" s="14" t="s">
        <v>3443</v>
      </c>
      <c r="Q113" s="14" t="s">
        <v>3444</v>
      </c>
      <c r="R113" s="14"/>
      <c r="S113" s="16" t="s">
        <v>4142</v>
      </c>
      <c r="T113" s="14" t="s">
        <v>1280</v>
      </c>
    </row>
    <row r="114" customFormat="false" ht="69.75" hidden="false" customHeight="true" outlineLevel="0" collapsed="false">
      <c r="A114" s="14" t="n">
        <v>112</v>
      </c>
      <c r="B114" s="14" t="s">
        <v>4143</v>
      </c>
      <c r="C114" s="15" t="n">
        <v>9300</v>
      </c>
      <c r="D114" s="15" t="n">
        <v>168400</v>
      </c>
      <c r="E114" s="15" t="n">
        <v>3300</v>
      </c>
      <c r="F114" s="18" t="n">
        <v>51.2</v>
      </c>
      <c r="G114" s="19" t="n">
        <v>1</v>
      </c>
      <c r="H114" s="6" t="s">
        <v>3539</v>
      </c>
      <c r="I114" s="6" t="s">
        <v>4144</v>
      </c>
      <c r="J114" s="6" t="s">
        <v>4145</v>
      </c>
      <c r="K114" s="6" t="s">
        <v>4146</v>
      </c>
      <c r="L114" s="6" t="s">
        <v>4147</v>
      </c>
      <c r="M114" s="14" t="s">
        <v>4148</v>
      </c>
      <c r="N114" s="6" t="s">
        <v>3543</v>
      </c>
      <c r="O114" s="14" t="s">
        <v>3442</v>
      </c>
      <c r="P114" s="14" t="s">
        <v>3443</v>
      </c>
      <c r="Q114" s="14" t="s">
        <v>3444</v>
      </c>
      <c r="R114" s="14"/>
      <c r="S114" s="16" t="s">
        <v>4149</v>
      </c>
      <c r="T114" s="14" t="s">
        <v>747</v>
      </c>
    </row>
    <row r="115" customFormat="false" ht="69.75" hidden="false" customHeight="true" outlineLevel="0" collapsed="false">
      <c r="A115" s="14" t="n">
        <v>113</v>
      </c>
      <c r="B115" s="14" t="s">
        <v>4150</v>
      </c>
      <c r="C115" s="15" t="n">
        <v>6300</v>
      </c>
      <c r="D115" s="15" t="n">
        <v>82300</v>
      </c>
      <c r="E115" s="15" t="n">
        <v>1600</v>
      </c>
      <c r="F115" s="18" t="n">
        <v>50.6</v>
      </c>
      <c r="G115" s="19" t="n">
        <v>2</v>
      </c>
      <c r="H115" s="6" t="s">
        <v>4151</v>
      </c>
      <c r="I115" s="6" t="s">
        <v>4152</v>
      </c>
      <c r="J115" s="6" t="s">
        <v>4153</v>
      </c>
      <c r="K115" s="6" t="s">
        <v>4097</v>
      </c>
      <c r="L115" s="6" t="s">
        <v>4154</v>
      </c>
      <c r="M115" s="14" t="s">
        <v>3522</v>
      </c>
      <c r="N115" s="6" t="s">
        <v>3576</v>
      </c>
      <c r="O115" s="14" t="s">
        <v>3442</v>
      </c>
      <c r="P115" s="14" t="s">
        <v>3443</v>
      </c>
      <c r="Q115" s="14" t="s">
        <v>3444</v>
      </c>
      <c r="R115" s="14"/>
      <c r="S115" s="16" t="s">
        <v>4155</v>
      </c>
      <c r="T115" s="14" t="s">
        <v>1280</v>
      </c>
    </row>
    <row r="116" customFormat="false" ht="69.75" hidden="false" customHeight="true" outlineLevel="0" collapsed="false">
      <c r="A116" s="14" t="n">
        <v>114</v>
      </c>
      <c r="B116" s="14" t="s">
        <v>4156</v>
      </c>
      <c r="C116" s="15" t="n">
        <v>27500</v>
      </c>
      <c r="D116" s="15" t="n">
        <v>135400</v>
      </c>
      <c r="E116" s="15" t="n">
        <v>2800</v>
      </c>
      <c r="F116" s="18" t="n">
        <v>49</v>
      </c>
      <c r="G116" s="19" t="n">
        <v>1</v>
      </c>
      <c r="H116" s="6" t="s">
        <v>4157</v>
      </c>
      <c r="I116" s="6" t="s">
        <v>4158</v>
      </c>
      <c r="J116" s="6" t="s">
        <v>4159</v>
      </c>
      <c r="K116" s="6" t="s">
        <v>3526</v>
      </c>
      <c r="L116" s="6" t="s">
        <v>4160</v>
      </c>
      <c r="M116" s="14" t="s">
        <v>4161</v>
      </c>
      <c r="N116" s="6" t="s">
        <v>4162</v>
      </c>
      <c r="O116" s="14" t="s">
        <v>3442</v>
      </c>
      <c r="P116" s="14" t="s">
        <v>3443</v>
      </c>
      <c r="Q116" s="14" t="s">
        <v>3444</v>
      </c>
      <c r="R116" s="14"/>
      <c r="S116" s="16" t="s">
        <v>4163</v>
      </c>
      <c r="T116" s="14" t="s">
        <v>4164</v>
      </c>
    </row>
    <row r="117" customFormat="false" ht="69.75" hidden="false" customHeight="true" outlineLevel="0" collapsed="false">
      <c r="A117" s="14" t="n">
        <v>115</v>
      </c>
      <c r="B117" s="14" t="s">
        <v>1674</v>
      </c>
      <c r="C117" s="15" t="n">
        <v>18000</v>
      </c>
      <c r="D117" s="15" t="n">
        <v>130900</v>
      </c>
      <c r="E117" s="15" t="n">
        <v>2700</v>
      </c>
      <c r="F117" s="18" t="n">
        <v>48.5</v>
      </c>
      <c r="G117" s="19" t="n">
        <v>3</v>
      </c>
      <c r="H117" s="6" t="s">
        <v>4165</v>
      </c>
      <c r="I117" s="6" t="s">
        <v>1676</v>
      </c>
      <c r="J117" s="6" t="s">
        <v>4166</v>
      </c>
      <c r="K117" s="6" t="s">
        <v>4167</v>
      </c>
      <c r="L117" s="6" t="s">
        <v>1679</v>
      </c>
      <c r="M117" s="14" t="s">
        <v>3522</v>
      </c>
      <c r="N117" s="6" t="s">
        <v>3746</v>
      </c>
      <c r="O117" s="14" t="s">
        <v>3442</v>
      </c>
      <c r="P117" s="14" t="s">
        <v>3469</v>
      </c>
      <c r="Q117" s="14" t="s">
        <v>3444</v>
      </c>
      <c r="R117" s="14"/>
      <c r="S117" s="16" t="s">
        <v>1675</v>
      </c>
      <c r="T117" s="14" t="s">
        <v>1280</v>
      </c>
    </row>
    <row r="118" customFormat="false" ht="69.75" hidden="false" customHeight="true" outlineLevel="0" collapsed="false">
      <c r="A118" s="14" t="n">
        <v>116</v>
      </c>
      <c r="B118" s="14" t="s">
        <v>4168</v>
      </c>
      <c r="C118" s="15" t="n">
        <v>19900</v>
      </c>
      <c r="D118" s="15" t="n">
        <v>163900</v>
      </c>
      <c r="E118" s="15" t="n">
        <v>3400</v>
      </c>
      <c r="F118" s="18" t="n">
        <v>48</v>
      </c>
      <c r="G118" s="19" t="n">
        <v>1</v>
      </c>
      <c r="H118" s="6" t="s">
        <v>3445</v>
      </c>
      <c r="I118" s="6" t="s">
        <v>4169</v>
      </c>
      <c r="J118" s="6" t="s">
        <v>4170</v>
      </c>
      <c r="K118" s="6" t="s">
        <v>4171</v>
      </c>
      <c r="L118" s="6" t="s">
        <v>4172</v>
      </c>
      <c r="M118" s="14" t="s">
        <v>4173</v>
      </c>
      <c r="N118" s="6" t="s">
        <v>4174</v>
      </c>
      <c r="O118" s="14" t="s">
        <v>3442</v>
      </c>
      <c r="P118" s="14" t="s">
        <v>3443</v>
      </c>
      <c r="Q118" s="14" t="s">
        <v>3452</v>
      </c>
      <c r="R118" s="14"/>
      <c r="S118" s="16" t="s">
        <v>4175</v>
      </c>
      <c r="T118" s="14" t="s">
        <v>1386</v>
      </c>
    </row>
    <row r="119" customFormat="false" ht="69.75" hidden="false" customHeight="true" outlineLevel="0" collapsed="false">
      <c r="A119" s="14" t="n">
        <v>117</v>
      </c>
      <c r="B119" s="14" t="s">
        <v>4176</v>
      </c>
      <c r="C119" s="15" t="n">
        <v>7300</v>
      </c>
      <c r="D119" s="15" t="n">
        <v>167700</v>
      </c>
      <c r="E119" s="15" t="n">
        <v>3500</v>
      </c>
      <c r="F119" s="18" t="n">
        <v>47.7</v>
      </c>
      <c r="G119" s="19" t="n">
        <v>1</v>
      </c>
      <c r="H119" s="6" t="s">
        <v>4177</v>
      </c>
      <c r="I119" s="6" t="s">
        <v>4178</v>
      </c>
      <c r="J119" s="6" t="s">
        <v>4179</v>
      </c>
      <c r="K119" s="6" t="s">
        <v>4180</v>
      </c>
      <c r="L119" s="6" t="s">
        <v>4181</v>
      </c>
      <c r="M119" s="14" t="s">
        <v>4182</v>
      </c>
      <c r="N119" s="6" t="s">
        <v>4183</v>
      </c>
      <c r="O119" s="14" t="s">
        <v>3442</v>
      </c>
      <c r="P119" s="14" t="s">
        <v>3443</v>
      </c>
      <c r="Q119" s="14" t="s">
        <v>3452</v>
      </c>
      <c r="R119" s="14"/>
      <c r="S119" s="16" t="s">
        <v>4184</v>
      </c>
      <c r="T119" s="14" t="s">
        <v>1289</v>
      </c>
    </row>
    <row r="120" customFormat="false" ht="69.75" hidden="false" customHeight="true" outlineLevel="0" collapsed="false">
      <c r="A120" s="14" t="n">
        <v>118</v>
      </c>
      <c r="B120" s="14" t="s">
        <v>626</v>
      </c>
      <c r="C120" s="15" t="n">
        <v>26100</v>
      </c>
      <c r="D120" s="15" t="n">
        <v>127300</v>
      </c>
      <c r="E120" s="15" t="n">
        <v>2700</v>
      </c>
      <c r="F120" s="18" t="n">
        <v>46.9</v>
      </c>
      <c r="G120" s="19" t="n">
        <v>3</v>
      </c>
      <c r="H120" s="6" t="s">
        <v>4185</v>
      </c>
      <c r="I120" s="6" t="s">
        <v>1734</v>
      </c>
      <c r="J120" s="6" t="s">
        <v>4186</v>
      </c>
      <c r="K120" s="6" t="s">
        <v>4187</v>
      </c>
      <c r="L120" s="6" t="s">
        <v>1738</v>
      </c>
      <c r="M120" s="14" t="s">
        <v>3517</v>
      </c>
      <c r="N120" s="6" t="s">
        <v>4188</v>
      </c>
      <c r="O120" s="14" t="s">
        <v>3450</v>
      </c>
      <c r="P120" s="14" t="s">
        <v>3443</v>
      </c>
      <c r="Q120" s="14" t="s">
        <v>3444</v>
      </c>
      <c r="R120" s="14"/>
      <c r="S120" s="16" t="s">
        <v>1733</v>
      </c>
      <c r="T120" s="14" t="s">
        <v>1249</v>
      </c>
    </row>
    <row r="121" customFormat="false" ht="69.75" hidden="false" customHeight="true" outlineLevel="0" collapsed="false">
      <c r="A121" s="14" t="n">
        <v>119</v>
      </c>
      <c r="B121" s="14" t="s">
        <v>4189</v>
      </c>
      <c r="C121" s="15" t="n">
        <v>6300</v>
      </c>
      <c r="D121" s="15" t="n">
        <v>166400</v>
      </c>
      <c r="E121" s="15" t="n">
        <v>3600</v>
      </c>
      <c r="F121" s="18" t="n">
        <v>45.7</v>
      </c>
      <c r="G121" s="19" t="n">
        <v>1</v>
      </c>
      <c r="H121" s="6" t="s">
        <v>4190</v>
      </c>
      <c r="I121" s="6"/>
      <c r="J121" s="6"/>
      <c r="K121" s="6"/>
      <c r="L121" s="6" t="s">
        <v>4191</v>
      </c>
      <c r="M121" s="14" t="s">
        <v>4106</v>
      </c>
      <c r="N121" s="6" t="s">
        <v>4192</v>
      </c>
      <c r="O121" s="14" t="s">
        <v>3442</v>
      </c>
      <c r="P121" s="14"/>
      <c r="Q121" s="14" t="s">
        <v>3452</v>
      </c>
      <c r="R121" s="14"/>
      <c r="S121" s="16" t="s">
        <v>4193</v>
      </c>
      <c r="T121" s="14" t="s">
        <v>2555</v>
      </c>
    </row>
    <row r="122" customFormat="false" ht="69.75" hidden="false" customHeight="true" outlineLevel="0" collapsed="false">
      <c r="A122" s="14" t="n">
        <v>120</v>
      </c>
      <c r="B122" s="14" t="s">
        <v>4194</v>
      </c>
      <c r="C122" s="15" t="n">
        <v>71700</v>
      </c>
      <c r="D122" s="15" t="n">
        <v>533900</v>
      </c>
      <c r="E122" s="15" t="n">
        <v>11900</v>
      </c>
      <c r="F122" s="18" t="n">
        <v>44.8</v>
      </c>
      <c r="G122" s="19" t="n">
        <v>1</v>
      </c>
      <c r="H122" s="6" t="s">
        <v>3519</v>
      </c>
      <c r="I122" s="6" t="s">
        <v>4195</v>
      </c>
      <c r="J122" s="6" t="s">
        <v>4196</v>
      </c>
      <c r="K122" s="6" t="s">
        <v>4197</v>
      </c>
      <c r="L122" s="6" t="s">
        <v>4198</v>
      </c>
      <c r="M122" s="14" t="s">
        <v>4199</v>
      </c>
      <c r="N122" s="6" t="s">
        <v>4200</v>
      </c>
      <c r="O122" s="14" t="s">
        <v>3442</v>
      </c>
      <c r="P122" s="14" t="s">
        <v>3451</v>
      </c>
      <c r="Q122" s="14" t="s">
        <v>3452</v>
      </c>
      <c r="R122" s="14"/>
      <c r="S122" s="16" t="s">
        <v>4201</v>
      </c>
      <c r="T122" s="14" t="s">
        <v>1593</v>
      </c>
    </row>
    <row r="123" customFormat="false" ht="69.75" hidden="false" customHeight="true" outlineLevel="0" collapsed="false">
      <c r="A123" s="14" t="n">
        <v>121</v>
      </c>
      <c r="B123" s="14" t="s">
        <v>4202</v>
      </c>
      <c r="C123" s="15" t="n">
        <v>21300</v>
      </c>
      <c r="D123" s="15" t="n">
        <v>46600</v>
      </c>
      <c r="E123" s="15" t="n">
        <v>1000</v>
      </c>
      <c r="F123" s="18" t="n">
        <v>44.7</v>
      </c>
      <c r="G123" s="19" t="n">
        <v>1</v>
      </c>
      <c r="H123" s="6" t="s">
        <v>4203</v>
      </c>
      <c r="I123" s="6" t="s">
        <v>4204</v>
      </c>
      <c r="J123" s="6" t="s">
        <v>4205</v>
      </c>
      <c r="K123" s="6" t="s">
        <v>4206</v>
      </c>
      <c r="L123" s="6" t="s">
        <v>4207</v>
      </c>
      <c r="M123" s="14" t="s">
        <v>4208</v>
      </c>
      <c r="N123" s="6" t="s">
        <v>3867</v>
      </c>
      <c r="O123" s="14" t="s">
        <v>3450</v>
      </c>
      <c r="P123" s="14" t="s">
        <v>3443</v>
      </c>
      <c r="Q123" s="14" t="s">
        <v>3452</v>
      </c>
      <c r="R123" s="14"/>
      <c r="S123" s="16" t="s">
        <v>4209</v>
      </c>
      <c r="T123" s="14" t="s">
        <v>1289</v>
      </c>
    </row>
    <row r="124" customFormat="false" ht="69.75" hidden="false" customHeight="true" outlineLevel="0" collapsed="false">
      <c r="A124" s="14" t="n">
        <v>122</v>
      </c>
      <c r="B124" s="14" t="s">
        <v>4210</v>
      </c>
      <c r="C124" s="15" t="n">
        <v>15000</v>
      </c>
      <c r="D124" s="15" t="n">
        <v>124500</v>
      </c>
      <c r="E124" s="15" t="n">
        <v>2900</v>
      </c>
      <c r="F124" s="18" t="n">
        <v>43.4</v>
      </c>
      <c r="G124" s="19" t="n">
        <v>1</v>
      </c>
      <c r="H124" s="6" t="s">
        <v>4211</v>
      </c>
      <c r="I124" s="6" t="s">
        <v>4212</v>
      </c>
      <c r="J124" s="6" t="s">
        <v>4213</v>
      </c>
      <c r="K124" s="6" t="s">
        <v>4214</v>
      </c>
      <c r="L124" s="6" t="s">
        <v>4215</v>
      </c>
      <c r="M124" s="14" t="s">
        <v>3522</v>
      </c>
      <c r="N124" s="6" t="s">
        <v>3518</v>
      </c>
      <c r="O124" s="14" t="s">
        <v>3442</v>
      </c>
      <c r="P124" s="14" t="s">
        <v>3451</v>
      </c>
      <c r="Q124" s="14" t="s">
        <v>3444</v>
      </c>
      <c r="R124" s="14"/>
      <c r="S124" s="16" t="s">
        <v>4216</v>
      </c>
      <c r="T124" s="14" t="s">
        <v>747</v>
      </c>
    </row>
    <row r="125" customFormat="false" ht="69.75" hidden="false" customHeight="true" outlineLevel="0" collapsed="false">
      <c r="A125" s="14" t="n">
        <v>123</v>
      </c>
      <c r="B125" s="14" t="s">
        <v>2494</v>
      </c>
      <c r="C125" s="15" t="n">
        <v>35000</v>
      </c>
      <c r="D125" s="15" t="n">
        <v>1400000</v>
      </c>
      <c r="E125" s="15" t="n">
        <v>31300</v>
      </c>
      <c r="F125" s="18" t="n">
        <v>43.4</v>
      </c>
      <c r="G125" s="19" t="n">
        <v>3</v>
      </c>
      <c r="H125" s="6" t="s">
        <v>4217</v>
      </c>
      <c r="I125" s="6" t="s">
        <v>2496</v>
      </c>
      <c r="J125" s="6" t="s">
        <v>4218</v>
      </c>
      <c r="K125" s="6" t="s">
        <v>4219</v>
      </c>
      <c r="L125" s="6" t="s">
        <v>2499</v>
      </c>
      <c r="M125" s="14" t="s">
        <v>3527</v>
      </c>
      <c r="N125" s="6" t="s">
        <v>4220</v>
      </c>
      <c r="O125" s="14" t="s">
        <v>3442</v>
      </c>
      <c r="P125" s="14" t="s">
        <v>3469</v>
      </c>
      <c r="Q125" s="14" t="s">
        <v>3444</v>
      </c>
      <c r="R125" s="14"/>
      <c r="S125" s="16" t="s">
        <v>2495</v>
      </c>
      <c r="T125" s="14" t="s">
        <v>747</v>
      </c>
    </row>
    <row r="126" customFormat="false" ht="69.75" hidden="false" customHeight="true" outlineLevel="0" collapsed="false">
      <c r="A126" s="14" t="n">
        <v>124</v>
      </c>
      <c r="B126" s="14" t="s">
        <v>4221</v>
      </c>
      <c r="C126" s="15" t="n">
        <v>8800</v>
      </c>
      <c r="D126" s="15" t="n">
        <v>133300</v>
      </c>
      <c r="E126" s="15" t="n">
        <v>3100</v>
      </c>
      <c r="F126" s="18" t="n">
        <v>42.8</v>
      </c>
      <c r="G126" s="19" t="n">
        <v>1</v>
      </c>
      <c r="H126" s="6" t="s">
        <v>3519</v>
      </c>
      <c r="I126" s="6" t="s">
        <v>4222</v>
      </c>
      <c r="J126" s="6" t="s">
        <v>4223</v>
      </c>
      <c r="K126" s="6" t="s">
        <v>4224</v>
      </c>
      <c r="L126" s="6" t="s">
        <v>4225</v>
      </c>
      <c r="M126" s="14" t="s">
        <v>3522</v>
      </c>
      <c r="N126" s="6" t="s">
        <v>4226</v>
      </c>
      <c r="O126" s="14" t="s">
        <v>3442</v>
      </c>
      <c r="P126" s="14" t="s">
        <v>3443</v>
      </c>
      <c r="Q126" s="14" t="s">
        <v>3444</v>
      </c>
      <c r="R126" s="14"/>
      <c r="S126" s="16" t="s">
        <v>4227</v>
      </c>
      <c r="T126" s="14" t="s">
        <v>2555</v>
      </c>
    </row>
    <row r="127" customFormat="false" ht="69.75" hidden="false" customHeight="true" outlineLevel="0" collapsed="false">
      <c r="A127" s="14" t="n">
        <v>125</v>
      </c>
      <c r="B127" s="14" t="s">
        <v>2557</v>
      </c>
      <c r="C127" s="15" t="n">
        <v>32800</v>
      </c>
      <c r="D127" s="15" t="n">
        <v>32900</v>
      </c>
      <c r="E127" s="15" t="n">
        <v>779</v>
      </c>
      <c r="F127" s="18" t="n">
        <v>42.2</v>
      </c>
      <c r="G127" s="19" t="n">
        <v>3</v>
      </c>
      <c r="H127" s="6" t="s">
        <v>4228</v>
      </c>
      <c r="I127" s="6" t="s">
        <v>2559</v>
      </c>
      <c r="J127" s="6" t="s">
        <v>4229</v>
      </c>
      <c r="K127" s="6" t="s">
        <v>4230</v>
      </c>
      <c r="L127" s="6" t="s">
        <v>2564</v>
      </c>
      <c r="M127" s="14" t="s">
        <v>4231</v>
      </c>
      <c r="N127" s="6" t="s">
        <v>4232</v>
      </c>
      <c r="O127" s="14" t="s">
        <v>3442</v>
      </c>
      <c r="P127" s="14"/>
      <c r="Q127" s="14" t="s">
        <v>3452</v>
      </c>
      <c r="R127" s="14"/>
      <c r="S127" s="16" t="s">
        <v>2558</v>
      </c>
      <c r="T127" s="14" t="s">
        <v>923</v>
      </c>
    </row>
    <row r="128" customFormat="false" ht="69.75" hidden="false" customHeight="true" outlineLevel="0" collapsed="false">
      <c r="A128" s="14" t="n">
        <v>126</v>
      </c>
      <c r="B128" s="14" t="s">
        <v>4233</v>
      </c>
      <c r="C128" s="15" t="n">
        <v>44000</v>
      </c>
      <c r="D128" s="15" t="n">
        <v>142900</v>
      </c>
      <c r="E128" s="15" t="n">
        <v>3500</v>
      </c>
      <c r="F128" s="18" t="n">
        <v>40.7</v>
      </c>
      <c r="G128" s="19" t="n">
        <v>1</v>
      </c>
      <c r="H128" s="6" t="s">
        <v>4234</v>
      </c>
      <c r="I128" s="6" t="s">
        <v>4235</v>
      </c>
      <c r="J128" s="6" t="s">
        <v>4236</v>
      </c>
      <c r="K128" s="6" t="s">
        <v>4237</v>
      </c>
      <c r="L128" s="6" t="s">
        <v>4238</v>
      </c>
      <c r="M128" s="14" t="s">
        <v>3502</v>
      </c>
      <c r="N128" s="6" t="s">
        <v>4239</v>
      </c>
      <c r="O128" s="14" t="s">
        <v>3442</v>
      </c>
      <c r="P128" s="14" t="s">
        <v>3451</v>
      </c>
      <c r="Q128" s="14" t="s">
        <v>3444</v>
      </c>
      <c r="R128" s="14"/>
      <c r="S128" s="16" t="s">
        <v>4240</v>
      </c>
      <c r="T128" s="14" t="s">
        <v>1593</v>
      </c>
    </row>
    <row r="129" customFormat="false" ht="69.75" hidden="false" customHeight="true" outlineLevel="0" collapsed="false">
      <c r="A129" s="14" t="n">
        <v>127</v>
      </c>
      <c r="B129" s="14" t="s">
        <v>1924</v>
      </c>
      <c r="C129" s="15" t="n">
        <v>14900</v>
      </c>
      <c r="D129" s="15" t="n">
        <v>131100</v>
      </c>
      <c r="E129" s="15" t="n">
        <v>3300</v>
      </c>
      <c r="F129" s="18" t="n">
        <v>39.7</v>
      </c>
      <c r="G129" s="19" t="n">
        <v>3</v>
      </c>
      <c r="H129" s="6" t="s">
        <v>4241</v>
      </c>
      <c r="I129" s="6" t="s">
        <v>1926</v>
      </c>
      <c r="J129" s="6" t="s">
        <v>4242</v>
      </c>
      <c r="K129" s="6" t="s">
        <v>3811</v>
      </c>
      <c r="L129" s="6" t="s">
        <v>1929</v>
      </c>
      <c r="M129" s="14" t="s">
        <v>3522</v>
      </c>
      <c r="N129" s="6" t="s">
        <v>3746</v>
      </c>
      <c r="O129" s="14" t="s">
        <v>3442</v>
      </c>
      <c r="P129" s="14" t="s">
        <v>3469</v>
      </c>
      <c r="Q129" s="14" t="s">
        <v>3444</v>
      </c>
      <c r="R129" s="14"/>
      <c r="S129" s="16" t="s">
        <v>1925</v>
      </c>
      <c r="T129" s="14" t="s">
        <v>747</v>
      </c>
    </row>
    <row r="130" customFormat="false" ht="69.75" hidden="false" customHeight="true" outlineLevel="0" collapsed="false">
      <c r="A130" s="14" t="n">
        <v>128</v>
      </c>
      <c r="B130" s="14" t="s">
        <v>4243</v>
      </c>
      <c r="C130" s="15" t="n">
        <v>88000</v>
      </c>
      <c r="D130" s="15" t="n">
        <v>189300</v>
      </c>
      <c r="E130" s="15" t="n">
        <v>4800</v>
      </c>
      <c r="F130" s="18" t="n">
        <v>39.4</v>
      </c>
      <c r="G130" s="19" t="n">
        <v>2</v>
      </c>
      <c r="H130" s="6" t="s">
        <v>4244</v>
      </c>
      <c r="I130" s="6" t="s">
        <v>4245</v>
      </c>
      <c r="J130" s="6" t="s">
        <v>4246</v>
      </c>
      <c r="K130" s="6" t="s">
        <v>4247</v>
      </c>
      <c r="L130" s="6" t="s">
        <v>4248</v>
      </c>
      <c r="M130" s="14" t="s">
        <v>4249</v>
      </c>
      <c r="N130" s="6" t="s">
        <v>4250</v>
      </c>
      <c r="O130" s="14" t="s">
        <v>3442</v>
      </c>
      <c r="P130" s="14" t="s">
        <v>3451</v>
      </c>
      <c r="Q130" s="14" t="s">
        <v>3444</v>
      </c>
      <c r="R130" s="14"/>
      <c r="S130" s="16" t="s">
        <v>4251</v>
      </c>
      <c r="T130" s="14" t="s">
        <v>952</v>
      </c>
    </row>
    <row r="131" customFormat="false" ht="69.75" hidden="false" customHeight="true" outlineLevel="0" collapsed="false">
      <c r="A131" s="14" t="n">
        <v>129</v>
      </c>
      <c r="B131" s="14" t="s">
        <v>2702</v>
      </c>
      <c r="C131" s="15" t="n">
        <v>35300</v>
      </c>
      <c r="D131" s="15" t="n">
        <v>577400</v>
      </c>
      <c r="E131" s="15" t="n">
        <v>14900</v>
      </c>
      <c r="F131" s="18" t="n">
        <v>38.7</v>
      </c>
      <c r="G131" s="19" t="n">
        <v>3</v>
      </c>
      <c r="H131" s="6" t="s">
        <v>4252</v>
      </c>
      <c r="I131" s="6" t="s">
        <v>2704</v>
      </c>
      <c r="J131" s="6" t="s">
        <v>4253</v>
      </c>
      <c r="K131" s="6" t="s">
        <v>4254</v>
      </c>
      <c r="L131" s="6" t="s">
        <v>2708</v>
      </c>
      <c r="M131" s="14" t="s">
        <v>4255</v>
      </c>
      <c r="N131" s="6" t="s">
        <v>4256</v>
      </c>
      <c r="O131" s="14" t="s">
        <v>3442</v>
      </c>
      <c r="P131" s="14" t="s">
        <v>3443</v>
      </c>
      <c r="Q131" s="14" t="s">
        <v>3452</v>
      </c>
      <c r="R131" s="14"/>
      <c r="S131" s="16" t="s">
        <v>2703</v>
      </c>
      <c r="T131" s="14" t="s">
        <v>1640</v>
      </c>
    </row>
    <row r="132" customFormat="false" ht="69.75" hidden="false" customHeight="true" outlineLevel="0" collapsed="false">
      <c r="A132" s="14" t="n">
        <v>130</v>
      </c>
      <c r="B132" s="14" t="s">
        <v>4257</v>
      </c>
      <c r="C132" s="15" t="n">
        <v>15900</v>
      </c>
      <c r="D132" s="15" t="n">
        <v>377600</v>
      </c>
      <c r="E132" s="15" t="n">
        <v>9900</v>
      </c>
      <c r="F132" s="18" t="n">
        <v>38</v>
      </c>
      <c r="G132" s="19" t="n">
        <v>2</v>
      </c>
      <c r="H132" s="6" t="s">
        <v>3519</v>
      </c>
      <c r="I132" s="6" t="s">
        <v>4258</v>
      </c>
      <c r="J132" s="6" t="s">
        <v>4259</v>
      </c>
      <c r="K132" s="6" t="s">
        <v>4260</v>
      </c>
      <c r="L132" s="6" t="s">
        <v>4261</v>
      </c>
      <c r="M132" s="14" t="s">
        <v>3527</v>
      </c>
      <c r="N132" s="6" t="s">
        <v>3576</v>
      </c>
      <c r="O132" s="14" t="s">
        <v>3450</v>
      </c>
      <c r="P132" s="14" t="s">
        <v>3469</v>
      </c>
      <c r="Q132" s="14" t="s">
        <v>3444</v>
      </c>
      <c r="R132" s="14" t="n">
        <v>57</v>
      </c>
      <c r="S132" s="16" t="s">
        <v>4262</v>
      </c>
      <c r="T132" s="14" t="s">
        <v>1593</v>
      </c>
    </row>
    <row r="133" customFormat="false" ht="69.75" hidden="false" customHeight="true" outlineLevel="0" collapsed="false">
      <c r="A133" s="14" t="n">
        <v>131</v>
      </c>
      <c r="B133" s="14" t="s">
        <v>4263</v>
      </c>
      <c r="C133" s="15" t="n">
        <v>26000</v>
      </c>
      <c r="D133" s="15" t="n">
        <v>140800</v>
      </c>
      <c r="E133" s="15" t="n">
        <v>3700</v>
      </c>
      <c r="F133" s="18" t="n">
        <v>38</v>
      </c>
      <c r="G133" s="19" t="n">
        <v>1</v>
      </c>
      <c r="H133" s="6" t="s">
        <v>4264</v>
      </c>
      <c r="I133" s="6" t="s">
        <v>4265</v>
      </c>
      <c r="J133" s="6" t="s">
        <v>4266</v>
      </c>
      <c r="K133" s="6" t="s">
        <v>4267</v>
      </c>
      <c r="L133" s="6" t="s">
        <v>4268</v>
      </c>
      <c r="M133" s="14" t="s">
        <v>4269</v>
      </c>
      <c r="N133" s="6" t="s">
        <v>3867</v>
      </c>
      <c r="O133" s="14" t="s">
        <v>3442</v>
      </c>
      <c r="P133" s="14" t="s">
        <v>3443</v>
      </c>
      <c r="Q133" s="14" t="s">
        <v>3452</v>
      </c>
      <c r="R133" s="14"/>
      <c r="S133" s="16" t="s">
        <v>4270</v>
      </c>
      <c r="T133" s="14" t="s">
        <v>1289</v>
      </c>
    </row>
    <row r="134" customFormat="false" ht="69.75" hidden="false" customHeight="true" outlineLevel="0" collapsed="false">
      <c r="A134" s="14" t="n">
        <v>132</v>
      </c>
      <c r="B134" s="14" t="s">
        <v>4271</v>
      </c>
      <c r="C134" s="15" t="n">
        <v>42200</v>
      </c>
      <c r="D134" s="15" t="n">
        <v>97700</v>
      </c>
      <c r="E134" s="15" t="n">
        <v>2600</v>
      </c>
      <c r="F134" s="18" t="n">
        <v>37.9</v>
      </c>
      <c r="G134" s="19" t="n">
        <v>2</v>
      </c>
      <c r="H134" s="6" t="s">
        <v>3464</v>
      </c>
      <c r="I134" s="6" t="s">
        <v>4272</v>
      </c>
      <c r="J134" s="6" t="s">
        <v>4273</v>
      </c>
      <c r="K134" s="6" t="s">
        <v>3516</v>
      </c>
      <c r="L134" s="6" t="s">
        <v>4274</v>
      </c>
      <c r="M134" s="14" t="s">
        <v>3507</v>
      </c>
      <c r="N134" s="6" t="s">
        <v>4275</v>
      </c>
      <c r="O134" s="14" t="s">
        <v>3442</v>
      </c>
      <c r="P134" s="14" t="s">
        <v>3469</v>
      </c>
      <c r="Q134" s="14" t="s">
        <v>3452</v>
      </c>
      <c r="R134" s="14"/>
      <c r="S134" s="16" t="s">
        <v>4276</v>
      </c>
      <c r="T134" s="14" t="s">
        <v>1280</v>
      </c>
    </row>
    <row r="135" customFormat="false" ht="69.75" hidden="false" customHeight="true" outlineLevel="0" collapsed="false">
      <c r="A135" s="14" t="n">
        <v>133</v>
      </c>
      <c r="B135" s="14" t="s">
        <v>4277</v>
      </c>
      <c r="C135" s="15" t="n">
        <v>14800</v>
      </c>
      <c r="D135" s="15" t="n">
        <v>218800</v>
      </c>
      <c r="E135" s="15" t="n">
        <v>5800</v>
      </c>
      <c r="F135" s="18" t="n">
        <v>37.4</v>
      </c>
      <c r="G135" s="19" t="n">
        <v>1</v>
      </c>
      <c r="H135" s="6" t="s">
        <v>3601</v>
      </c>
      <c r="I135" s="6" t="s">
        <v>4278</v>
      </c>
      <c r="J135" s="6" t="s">
        <v>4279</v>
      </c>
      <c r="K135" s="6" t="s">
        <v>4280</v>
      </c>
      <c r="L135" s="6" t="s">
        <v>4281</v>
      </c>
      <c r="M135" s="14" t="s">
        <v>4282</v>
      </c>
      <c r="N135" s="6" t="s">
        <v>4283</v>
      </c>
      <c r="O135" s="14" t="s">
        <v>3442</v>
      </c>
      <c r="P135" s="14" t="s">
        <v>3443</v>
      </c>
      <c r="Q135" s="14" t="s">
        <v>3444</v>
      </c>
      <c r="R135" s="14"/>
      <c r="S135" s="16" t="s">
        <v>4284</v>
      </c>
      <c r="T135" s="14" t="s">
        <v>1593</v>
      </c>
    </row>
    <row r="136" customFormat="false" ht="69.75" hidden="false" customHeight="true" outlineLevel="0" collapsed="false">
      <c r="A136" s="14" t="n">
        <v>134</v>
      </c>
      <c r="B136" s="14" t="s">
        <v>4285</v>
      </c>
      <c r="C136" s="15" t="n">
        <v>17300</v>
      </c>
      <c r="D136" s="15" t="n">
        <v>753600</v>
      </c>
      <c r="E136" s="15" t="n">
        <v>20300</v>
      </c>
      <c r="F136" s="18" t="n">
        <v>37.2</v>
      </c>
      <c r="G136" s="19" t="n">
        <v>1</v>
      </c>
      <c r="H136" s="6" t="s">
        <v>4286</v>
      </c>
      <c r="I136" s="6" t="s">
        <v>4287</v>
      </c>
      <c r="J136" s="6" t="s">
        <v>4288</v>
      </c>
      <c r="K136" s="6" t="s">
        <v>4097</v>
      </c>
      <c r="L136" s="6" t="s">
        <v>4289</v>
      </c>
      <c r="M136" s="14" t="s">
        <v>3556</v>
      </c>
      <c r="N136" s="6" t="s">
        <v>4290</v>
      </c>
      <c r="O136" s="14" t="s">
        <v>3442</v>
      </c>
      <c r="P136" s="14" t="s">
        <v>3443</v>
      </c>
      <c r="Q136" s="14" t="s">
        <v>3452</v>
      </c>
      <c r="R136" s="14"/>
      <c r="S136" s="16" t="s">
        <v>4291</v>
      </c>
      <c r="T136" s="14" t="s">
        <v>1289</v>
      </c>
    </row>
    <row r="137" customFormat="false" ht="69.75" hidden="false" customHeight="true" outlineLevel="0" collapsed="false">
      <c r="A137" s="14" t="n">
        <v>135</v>
      </c>
      <c r="B137" s="14" t="s">
        <v>4292</v>
      </c>
      <c r="C137" s="15" t="n">
        <v>8500</v>
      </c>
      <c r="D137" s="15" t="n">
        <v>96600</v>
      </c>
      <c r="E137" s="15" t="n">
        <v>2800</v>
      </c>
      <c r="F137" s="18" t="n">
        <v>35.1</v>
      </c>
      <c r="G137" s="19" t="n">
        <v>1</v>
      </c>
      <c r="H137" s="6" t="s">
        <v>4293</v>
      </c>
      <c r="I137" s="6" t="s">
        <v>4294</v>
      </c>
      <c r="J137" s="6" t="s">
        <v>4295</v>
      </c>
      <c r="K137" s="6" t="s">
        <v>4296</v>
      </c>
      <c r="L137" s="6" t="s">
        <v>4297</v>
      </c>
      <c r="M137" s="14" t="s">
        <v>3745</v>
      </c>
      <c r="N137" s="6" t="s">
        <v>4298</v>
      </c>
      <c r="O137" s="14" t="s">
        <v>3442</v>
      </c>
      <c r="P137" s="14" t="s">
        <v>3443</v>
      </c>
      <c r="Q137" s="14" t="s">
        <v>3444</v>
      </c>
      <c r="R137" s="14"/>
      <c r="S137" s="16" t="s">
        <v>4299</v>
      </c>
      <c r="T137" s="14" t="s">
        <v>1640</v>
      </c>
    </row>
    <row r="138" customFormat="false" ht="69.75" hidden="false" customHeight="true" outlineLevel="0" collapsed="false">
      <c r="A138" s="14" t="n">
        <v>136</v>
      </c>
      <c r="B138" s="14" t="s">
        <v>4300</v>
      </c>
      <c r="C138" s="15" t="n">
        <v>5600</v>
      </c>
      <c r="D138" s="15" t="n">
        <v>80000</v>
      </c>
      <c r="E138" s="15" t="n">
        <v>2300</v>
      </c>
      <c r="F138" s="18" t="n">
        <v>34.6</v>
      </c>
      <c r="G138" s="19" t="n">
        <v>1</v>
      </c>
      <c r="H138" s="6" t="s">
        <v>4110</v>
      </c>
      <c r="I138" s="6" t="s">
        <v>4301</v>
      </c>
      <c r="J138" s="6" t="s">
        <v>4302</v>
      </c>
      <c r="K138" s="6" t="s">
        <v>4303</v>
      </c>
      <c r="L138" s="6" t="s">
        <v>4304</v>
      </c>
      <c r="M138" s="14" t="s">
        <v>4305</v>
      </c>
      <c r="N138" s="6" t="s">
        <v>4306</v>
      </c>
      <c r="O138" s="14" t="s">
        <v>3442</v>
      </c>
      <c r="P138" s="14" t="s">
        <v>3443</v>
      </c>
      <c r="Q138" s="14" t="s">
        <v>3452</v>
      </c>
      <c r="R138" s="14"/>
      <c r="S138" s="16" t="s">
        <v>4307</v>
      </c>
      <c r="T138" s="14" t="s">
        <v>458</v>
      </c>
    </row>
    <row r="139" customFormat="false" ht="69.75" hidden="false" customHeight="true" outlineLevel="0" collapsed="false">
      <c r="A139" s="14" t="n">
        <v>137</v>
      </c>
      <c r="B139" s="14" t="s">
        <v>4308</v>
      </c>
      <c r="C139" s="15" t="n">
        <v>24700</v>
      </c>
      <c r="D139" s="15" t="n">
        <v>57900</v>
      </c>
      <c r="E139" s="15" t="n">
        <v>1700</v>
      </c>
      <c r="F139" s="18" t="n">
        <v>34.5</v>
      </c>
      <c r="G139" s="19" t="n">
        <v>1</v>
      </c>
      <c r="H139" s="6" t="s">
        <v>4309</v>
      </c>
      <c r="I139" s="6" t="s">
        <v>4310</v>
      </c>
      <c r="J139" s="6" t="s">
        <v>4311</v>
      </c>
      <c r="K139" s="6" t="s">
        <v>4312</v>
      </c>
      <c r="L139" s="6" t="s">
        <v>4313</v>
      </c>
      <c r="M139" s="14" t="s">
        <v>4314</v>
      </c>
      <c r="N139" s="6" t="s">
        <v>4315</v>
      </c>
      <c r="O139" s="14" t="s">
        <v>3450</v>
      </c>
      <c r="P139" s="14" t="s">
        <v>3443</v>
      </c>
      <c r="Q139" s="14" t="s">
        <v>3452</v>
      </c>
      <c r="R139" s="14"/>
      <c r="S139" s="16" t="s">
        <v>4316</v>
      </c>
      <c r="T139" s="14" t="s">
        <v>1289</v>
      </c>
    </row>
    <row r="140" customFormat="false" ht="69.75" hidden="false" customHeight="true" outlineLevel="0" collapsed="false">
      <c r="A140" s="14" t="n">
        <v>138</v>
      </c>
      <c r="B140" s="14" t="s">
        <v>4317</v>
      </c>
      <c r="C140" s="15" t="n">
        <v>56300</v>
      </c>
      <c r="D140" s="15" t="n">
        <v>288000</v>
      </c>
      <c r="E140" s="15" t="n">
        <v>8600</v>
      </c>
      <c r="F140" s="18" t="n">
        <v>33.4</v>
      </c>
      <c r="G140" s="19" t="n">
        <v>1</v>
      </c>
      <c r="H140" s="6" t="s">
        <v>4318</v>
      </c>
      <c r="I140" s="6" t="s">
        <v>4319</v>
      </c>
      <c r="J140" s="6" t="s">
        <v>4320</v>
      </c>
      <c r="K140" s="6" t="s">
        <v>4113</v>
      </c>
      <c r="L140" s="6" t="s">
        <v>4321</v>
      </c>
      <c r="M140" s="14" t="s">
        <v>4322</v>
      </c>
      <c r="N140" s="6" t="s">
        <v>4323</v>
      </c>
      <c r="O140" s="14" t="s">
        <v>3442</v>
      </c>
      <c r="P140" s="14" t="s">
        <v>3469</v>
      </c>
      <c r="Q140" s="14" t="s">
        <v>3444</v>
      </c>
      <c r="R140" s="14"/>
      <c r="S140" s="16" t="s">
        <v>4324</v>
      </c>
      <c r="T140" s="14" t="s">
        <v>1721</v>
      </c>
    </row>
    <row r="141" customFormat="false" ht="69.75" hidden="false" customHeight="true" outlineLevel="0" collapsed="false">
      <c r="A141" s="14" t="n">
        <v>139</v>
      </c>
      <c r="B141" s="14" t="s">
        <v>4325</v>
      </c>
      <c r="C141" s="15" t="n">
        <v>42600</v>
      </c>
      <c r="D141" s="15" t="n">
        <v>100100</v>
      </c>
      <c r="E141" s="15" t="n">
        <v>3000</v>
      </c>
      <c r="F141" s="18" t="n">
        <v>33.4</v>
      </c>
      <c r="G141" s="19" t="n">
        <v>1</v>
      </c>
      <c r="H141" s="6" t="s">
        <v>3601</v>
      </c>
      <c r="I141" s="6" t="s">
        <v>4326</v>
      </c>
      <c r="J141" s="6" t="s">
        <v>4327</v>
      </c>
      <c r="K141" s="6" t="s">
        <v>4328</v>
      </c>
      <c r="L141" s="6" t="s">
        <v>4329</v>
      </c>
      <c r="M141" s="14" t="s">
        <v>4330</v>
      </c>
      <c r="N141" s="6" t="s">
        <v>4331</v>
      </c>
      <c r="O141" s="14" t="s">
        <v>3450</v>
      </c>
      <c r="P141" s="14" t="s">
        <v>3469</v>
      </c>
      <c r="Q141" s="14" t="s">
        <v>3452</v>
      </c>
      <c r="R141" s="14"/>
      <c r="S141" s="16" t="s">
        <v>4332</v>
      </c>
      <c r="T141" s="14" t="s">
        <v>952</v>
      </c>
    </row>
    <row r="142" customFormat="false" ht="69.75" hidden="false" customHeight="true" outlineLevel="0" collapsed="false">
      <c r="A142" s="14" t="n">
        <v>140</v>
      </c>
      <c r="B142" s="14" t="s">
        <v>2202</v>
      </c>
      <c r="C142" s="15" t="n">
        <v>6200</v>
      </c>
      <c r="D142" s="15" t="n">
        <v>84700</v>
      </c>
      <c r="E142" s="15" t="n">
        <v>2500</v>
      </c>
      <c r="F142" s="18" t="n">
        <v>33.3</v>
      </c>
      <c r="G142" s="19" t="n">
        <v>3</v>
      </c>
      <c r="H142" s="6" t="s">
        <v>4333</v>
      </c>
      <c r="I142" s="6" t="s">
        <v>2204</v>
      </c>
      <c r="J142" s="6" t="s">
        <v>4334</v>
      </c>
      <c r="K142" s="6" t="s">
        <v>4335</v>
      </c>
      <c r="L142" s="6" t="s">
        <v>2208</v>
      </c>
      <c r="M142" s="14" t="s">
        <v>3527</v>
      </c>
      <c r="N142" s="6" t="s">
        <v>3576</v>
      </c>
      <c r="O142" s="14" t="s">
        <v>3442</v>
      </c>
      <c r="P142" s="14" t="s">
        <v>3443</v>
      </c>
      <c r="Q142" s="14" t="s">
        <v>3444</v>
      </c>
      <c r="R142" s="14"/>
      <c r="S142" s="16" t="s">
        <v>2203</v>
      </c>
      <c r="T142" s="14" t="s">
        <v>1249</v>
      </c>
    </row>
    <row r="143" customFormat="false" ht="69.75" hidden="false" customHeight="true" outlineLevel="0" collapsed="false">
      <c r="A143" s="14" t="n">
        <v>141</v>
      </c>
      <c r="B143" s="14" t="s">
        <v>2303</v>
      </c>
      <c r="C143" s="15" t="n">
        <v>11600</v>
      </c>
      <c r="D143" s="15" t="n">
        <v>101600</v>
      </c>
      <c r="E143" s="15" t="n">
        <v>3200</v>
      </c>
      <c r="F143" s="18" t="n">
        <v>31.4</v>
      </c>
      <c r="G143" s="19" t="n">
        <v>3</v>
      </c>
      <c r="H143" s="6" t="s">
        <v>4336</v>
      </c>
      <c r="I143" s="6" t="s">
        <v>2305</v>
      </c>
      <c r="J143" s="6" t="s">
        <v>4337</v>
      </c>
      <c r="K143" s="6" t="s">
        <v>3769</v>
      </c>
      <c r="L143" s="6" t="s">
        <v>2308</v>
      </c>
      <c r="M143" s="14" t="s">
        <v>3527</v>
      </c>
      <c r="N143" s="6" t="s">
        <v>4338</v>
      </c>
      <c r="O143" s="14" t="s">
        <v>3442</v>
      </c>
      <c r="P143" s="14" t="s">
        <v>3451</v>
      </c>
      <c r="Q143" s="14" t="s">
        <v>3444</v>
      </c>
      <c r="R143" s="14"/>
      <c r="S143" s="16" t="s">
        <v>2304</v>
      </c>
      <c r="T143" s="14" t="s">
        <v>952</v>
      </c>
    </row>
    <row r="144" customFormat="false" ht="69.75" hidden="false" customHeight="true" outlineLevel="0" collapsed="false">
      <c r="A144" s="14" t="n">
        <v>142</v>
      </c>
      <c r="B144" s="14" t="s">
        <v>4339</v>
      </c>
      <c r="C144" s="15" t="n">
        <v>19400</v>
      </c>
      <c r="D144" s="15" t="n">
        <v>1300000</v>
      </c>
      <c r="E144" s="15" t="n">
        <v>41700</v>
      </c>
      <c r="F144" s="18" t="n">
        <v>31.1</v>
      </c>
      <c r="G144" s="19" t="n">
        <v>1</v>
      </c>
      <c r="H144" s="6" t="s">
        <v>4340</v>
      </c>
      <c r="I144" s="6" t="s">
        <v>4341</v>
      </c>
      <c r="J144" s="6" t="s">
        <v>4342</v>
      </c>
      <c r="K144" s="6" t="s">
        <v>4113</v>
      </c>
      <c r="L144" s="6" t="s">
        <v>4343</v>
      </c>
      <c r="M144" s="14" t="s">
        <v>4344</v>
      </c>
      <c r="N144" s="6" t="s">
        <v>4345</v>
      </c>
      <c r="O144" s="14" t="s">
        <v>3442</v>
      </c>
      <c r="P144" s="14" t="s">
        <v>3469</v>
      </c>
      <c r="Q144" s="14" t="s">
        <v>3452</v>
      </c>
      <c r="R144" s="14"/>
      <c r="S144" s="16" t="s">
        <v>4346</v>
      </c>
      <c r="T144" s="14" t="s">
        <v>1289</v>
      </c>
    </row>
    <row r="145" customFormat="false" ht="69.75" hidden="false" customHeight="true" outlineLevel="0" collapsed="false">
      <c r="A145" s="14" t="n">
        <v>143</v>
      </c>
      <c r="B145" s="14" t="s">
        <v>4347</v>
      </c>
      <c r="C145" s="15" t="n">
        <v>5600</v>
      </c>
      <c r="D145" s="15" t="n">
        <v>225800</v>
      </c>
      <c r="E145" s="15" t="n">
        <v>7300</v>
      </c>
      <c r="F145" s="18" t="n">
        <v>30.8</v>
      </c>
      <c r="G145" s="19" t="n">
        <v>1</v>
      </c>
      <c r="H145" s="6" t="s">
        <v>4348</v>
      </c>
      <c r="I145" s="6" t="s">
        <v>4349</v>
      </c>
      <c r="J145" s="6" t="s">
        <v>4350</v>
      </c>
      <c r="K145" s="6" t="s">
        <v>4351</v>
      </c>
      <c r="L145" s="6" t="s">
        <v>4352</v>
      </c>
      <c r="M145" s="14" t="s">
        <v>4353</v>
      </c>
      <c r="N145" s="6" t="s">
        <v>4354</v>
      </c>
      <c r="O145" s="14" t="s">
        <v>3450</v>
      </c>
      <c r="P145" s="14" t="s">
        <v>3469</v>
      </c>
      <c r="Q145" s="14" t="s">
        <v>3452</v>
      </c>
      <c r="R145" s="14"/>
      <c r="S145" s="16" t="s">
        <v>4355</v>
      </c>
      <c r="T145" s="14" t="s">
        <v>1289</v>
      </c>
    </row>
    <row r="146" customFormat="false" ht="69.75" hidden="false" customHeight="true" outlineLevel="0" collapsed="false">
      <c r="A146" s="14" t="n">
        <v>144</v>
      </c>
      <c r="B146" s="14" t="s">
        <v>4356</v>
      </c>
      <c r="C146" s="15" t="n">
        <v>37700</v>
      </c>
      <c r="D146" s="15" t="n">
        <v>77200</v>
      </c>
      <c r="E146" s="15" t="n">
        <v>2500</v>
      </c>
      <c r="F146" s="18" t="n">
        <v>30.7</v>
      </c>
      <c r="G146" s="19" t="n">
        <v>1</v>
      </c>
      <c r="H146" s="6" t="s">
        <v>4357</v>
      </c>
      <c r="I146" s="6" t="s">
        <v>4358</v>
      </c>
      <c r="J146" s="6" t="s">
        <v>4359</v>
      </c>
      <c r="K146" s="6" t="s">
        <v>4360</v>
      </c>
      <c r="L146" s="6" t="s">
        <v>4361</v>
      </c>
      <c r="M146" s="14" t="s">
        <v>4362</v>
      </c>
      <c r="N146" s="6" t="s">
        <v>4363</v>
      </c>
      <c r="O146" s="14" t="s">
        <v>3442</v>
      </c>
      <c r="P146" s="14" t="s">
        <v>3443</v>
      </c>
      <c r="Q146" s="14" t="s">
        <v>3452</v>
      </c>
      <c r="R146" s="14"/>
      <c r="S146" s="16" t="s">
        <v>4364</v>
      </c>
      <c r="T146" s="14" t="s">
        <v>4365</v>
      </c>
    </row>
    <row r="147" customFormat="false" ht="69.75" hidden="false" customHeight="true" outlineLevel="0" collapsed="false">
      <c r="A147" s="14" t="n">
        <v>145</v>
      </c>
      <c r="B147" s="14" t="s">
        <v>4366</v>
      </c>
      <c r="C147" s="15" t="n">
        <v>12600</v>
      </c>
      <c r="D147" s="15" t="n">
        <v>90900</v>
      </c>
      <c r="E147" s="15" t="n">
        <v>3000</v>
      </c>
      <c r="F147" s="18" t="n">
        <v>30.5</v>
      </c>
      <c r="G147" s="19" t="n">
        <v>1</v>
      </c>
      <c r="H147" s="6" t="s">
        <v>4367</v>
      </c>
      <c r="I147" s="6" t="s">
        <v>4368</v>
      </c>
      <c r="J147" s="6" t="s">
        <v>4369</v>
      </c>
      <c r="K147" s="6" t="s">
        <v>4370</v>
      </c>
      <c r="L147" s="6" t="s">
        <v>4371</v>
      </c>
      <c r="M147" s="14" t="s">
        <v>4372</v>
      </c>
      <c r="N147" s="6" t="s">
        <v>4373</v>
      </c>
      <c r="O147" s="14" t="s">
        <v>3450</v>
      </c>
      <c r="P147" s="14" t="s">
        <v>3469</v>
      </c>
      <c r="Q147" s="14" t="s">
        <v>3444</v>
      </c>
      <c r="R147" s="14"/>
      <c r="S147" s="16" t="s">
        <v>4374</v>
      </c>
      <c r="T147" s="14" t="s">
        <v>1289</v>
      </c>
    </row>
    <row r="148" customFormat="false" ht="69.75" hidden="false" customHeight="true" outlineLevel="0" collapsed="false">
      <c r="A148" s="14" t="n">
        <v>146</v>
      </c>
      <c r="B148" s="14" t="s">
        <v>2349</v>
      </c>
      <c r="C148" s="15" t="n">
        <v>12600</v>
      </c>
      <c r="D148" s="15" t="n">
        <v>105200</v>
      </c>
      <c r="E148" s="15" t="n">
        <v>3400</v>
      </c>
      <c r="F148" s="18" t="n">
        <v>30.5</v>
      </c>
      <c r="G148" s="19" t="n">
        <v>3</v>
      </c>
      <c r="H148" s="6" t="s">
        <v>4375</v>
      </c>
      <c r="I148" s="6" t="s">
        <v>2351</v>
      </c>
      <c r="J148" s="6" t="s">
        <v>4376</v>
      </c>
      <c r="K148" s="6" t="s">
        <v>4377</v>
      </c>
      <c r="L148" s="6" t="s">
        <v>2354</v>
      </c>
      <c r="M148" s="14" t="s">
        <v>3571</v>
      </c>
      <c r="N148" s="6" t="s">
        <v>4378</v>
      </c>
      <c r="O148" s="14" t="s">
        <v>3450</v>
      </c>
      <c r="P148" s="14" t="s">
        <v>3443</v>
      </c>
      <c r="Q148" s="14" t="s">
        <v>3452</v>
      </c>
      <c r="R148" s="14"/>
      <c r="S148" s="16" t="s">
        <v>2350</v>
      </c>
      <c r="T148" s="14" t="s">
        <v>1640</v>
      </c>
    </row>
    <row r="149" customFormat="false" ht="69.75" hidden="false" customHeight="true" outlineLevel="0" collapsed="false">
      <c r="A149" s="14" t="n">
        <v>147</v>
      </c>
      <c r="B149" s="14" t="s">
        <v>4379</v>
      </c>
      <c r="C149" s="15" t="n">
        <v>40500</v>
      </c>
      <c r="D149" s="15" t="n">
        <v>64500</v>
      </c>
      <c r="E149" s="15" t="n">
        <v>2200</v>
      </c>
      <c r="F149" s="18" t="n">
        <v>29.8</v>
      </c>
      <c r="G149" s="19" t="n">
        <v>1</v>
      </c>
      <c r="H149" s="6" t="s">
        <v>4380</v>
      </c>
      <c r="I149" s="6" t="s">
        <v>4381</v>
      </c>
      <c r="J149" s="6" t="s">
        <v>4382</v>
      </c>
      <c r="K149" s="6" t="s">
        <v>4383</v>
      </c>
      <c r="L149" s="6" t="s">
        <v>4384</v>
      </c>
      <c r="M149" s="14" t="s">
        <v>4385</v>
      </c>
      <c r="N149" s="6" t="s">
        <v>4386</v>
      </c>
      <c r="O149" s="14" t="s">
        <v>3442</v>
      </c>
      <c r="P149" s="14" t="s">
        <v>3469</v>
      </c>
      <c r="Q149" s="14" t="s">
        <v>3444</v>
      </c>
      <c r="R149" s="14"/>
      <c r="S149" s="16" t="s">
        <v>4387</v>
      </c>
      <c r="T149" s="14" t="s">
        <v>1280</v>
      </c>
    </row>
    <row r="150" customFormat="false" ht="69.75" hidden="false" customHeight="true" outlineLevel="0" collapsed="false">
      <c r="A150" s="14" t="n">
        <v>148</v>
      </c>
      <c r="B150" s="14" t="s">
        <v>4388</v>
      </c>
      <c r="C150" s="15" t="n">
        <v>8400</v>
      </c>
      <c r="D150" s="15" t="n">
        <v>213100</v>
      </c>
      <c r="E150" s="15" t="n">
        <v>7400</v>
      </c>
      <c r="F150" s="18" t="n">
        <v>29</v>
      </c>
      <c r="G150" s="19" t="n">
        <v>1</v>
      </c>
      <c r="H150" s="6" t="s">
        <v>3601</v>
      </c>
      <c r="I150" s="6" t="s">
        <v>4389</v>
      </c>
      <c r="J150" s="6" t="s">
        <v>4390</v>
      </c>
      <c r="K150" s="6" t="s">
        <v>4391</v>
      </c>
      <c r="L150" s="6" t="s">
        <v>4392</v>
      </c>
      <c r="M150" s="14" t="s">
        <v>4393</v>
      </c>
      <c r="N150" s="6" t="s">
        <v>4394</v>
      </c>
      <c r="O150" s="14" t="s">
        <v>3450</v>
      </c>
      <c r="P150" s="14" t="s">
        <v>3469</v>
      </c>
      <c r="Q150" s="14" t="s">
        <v>3452</v>
      </c>
      <c r="R150" s="14"/>
      <c r="S150" s="16" t="s">
        <v>4395</v>
      </c>
      <c r="T150" s="14" t="s">
        <v>952</v>
      </c>
    </row>
    <row r="151" customFormat="false" ht="69.75" hidden="false" customHeight="true" outlineLevel="0" collapsed="false">
      <c r="A151" s="14" t="n">
        <v>149</v>
      </c>
      <c r="B151" s="14" t="s">
        <v>4396</v>
      </c>
      <c r="C151" s="15" t="n">
        <v>50000</v>
      </c>
      <c r="D151" s="15" t="n">
        <v>938800</v>
      </c>
      <c r="E151" s="15" t="n">
        <v>33300</v>
      </c>
      <c r="F151" s="18" t="n">
        <v>28.2</v>
      </c>
      <c r="G151" s="19" t="n">
        <v>1</v>
      </c>
      <c r="H151" s="6" t="s">
        <v>4397</v>
      </c>
      <c r="I151" s="6" t="s">
        <v>4398</v>
      </c>
      <c r="J151" s="6" t="s">
        <v>4399</v>
      </c>
      <c r="K151" s="6" t="s">
        <v>4400</v>
      </c>
      <c r="L151" s="6" t="s">
        <v>4401</v>
      </c>
      <c r="M151" s="14" t="s">
        <v>4402</v>
      </c>
      <c r="N151" s="6" t="s">
        <v>4403</v>
      </c>
      <c r="O151" s="14" t="s">
        <v>3558</v>
      </c>
      <c r="P151" s="14" t="s">
        <v>3469</v>
      </c>
      <c r="Q151" s="14" t="s">
        <v>3452</v>
      </c>
      <c r="R151" s="14"/>
      <c r="S151" s="16" t="s">
        <v>4404</v>
      </c>
      <c r="T151" s="14" t="s">
        <v>2555</v>
      </c>
    </row>
    <row r="152" customFormat="false" ht="69.75" hidden="false" customHeight="true" outlineLevel="0" collapsed="false">
      <c r="A152" s="14" t="n">
        <v>150</v>
      </c>
      <c r="B152" s="14" t="s">
        <v>4405</v>
      </c>
      <c r="C152" s="15" t="n">
        <v>31000</v>
      </c>
      <c r="D152" s="15" t="n">
        <v>193300</v>
      </c>
      <c r="E152" s="15" t="n">
        <v>7200</v>
      </c>
      <c r="F152" s="18" t="n">
        <v>27</v>
      </c>
      <c r="G152" s="19" t="n">
        <v>1</v>
      </c>
      <c r="H152" s="6" t="s">
        <v>3519</v>
      </c>
      <c r="I152" s="6" t="s">
        <v>4406</v>
      </c>
      <c r="J152" s="6" t="s">
        <v>4407</v>
      </c>
      <c r="K152" s="6" t="s">
        <v>4408</v>
      </c>
      <c r="L152" s="6" t="s">
        <v>4409</v>
      </c>
      <c r="M152" s="14" t="s">
        <v>4410</v>
      </c>
      <c r="N152" s="6" t="s">
        <v>4411</v>
      </c>
      <c r="O152" s="14" t="s">
        <v>3442</v>
      </c>
      <c r="P152" s="14" t="s">
        <v>3469</v>
      </c>
      <c r="Q152" s="14" t="s">
        <v>3452</v>
      </c>
      <c r="R152" s="14"/>
      <c r="S152" s="16" t="s">
        <v>4412</v>
      </c>
      <c r="T152" s="14" t="s">
        <v>1593</v>
      </c>
    </row>
    <row r="153" customFormat="false" ht="69.75" hidden="false" customHeight="true" outlineLevel="0" collapsed="false">
      <c r="A153" s="14" t="n">
        <v>151</v>
      </c>
      <c r="B153" s="14" t="s">
        <v>1585</v>
      </c>
      <c r="C153" s="15" t="n">
        <v>8600</v>
      </c>
      <c r="D153" s="15" t="n">
        <v>53900</v>
      </c>
      <c r="E153" s="15" t="n">
        <v>2100</v>
      </c>
      <c r="F153" s="18" t="n">
        <v>25.8</v>
      </c>
      <c r="G153" s="19" t="n">
        <v>3</v>
      </c>
      <c r="H153" s="6" t="s">
        <v>4413</v>
      </c>
      <c r="I153" s="6" t="s">
        <v>2550</v>
      </c>
      <c r="J153" s="6" t="s">
        <v>4414</v>
      </c>
      <c r="K153" s="6" t="s">
        <v>4415</v>
      </c>
      <c r="L153" s="6" t="s">
        <v>2554</v>
      </c>
      <c r="M153" s="14" t="s">
        <v>4416</v>
      </c>
      <c r="N153" s="6" t="s">
        <v>4417</v>
      </c>
      <c r="O153" s="14" t="s">
        <v>3442</v>
      </c>
      <c r="P153" s="14" t="s">
        <v>3451</v>
      </c>
      <c r="Q153" s="14" t="s">
        <v>3444</v>
      </c>
      <c r="R153" s="14"/>
      <c r="S153" s="16" t="s">
        <v>2549</v>
      </c>
      <c r="T153" s="14" t="s">
        <v>2555</v>
      </c>
    </row>
    <row r="154" customFormat="false" ht="69.75" hidden="false" customHeight="true" outlineLevel="0" collapsed="false">
      <c r="A154" s="14" t="n">
        <v>152</v>
      </c>
      <c r="B154" s="14" t="s">
        <v>527</v>
      </c>
      <c r="C154" s="15" t="n">
        <v>33100</v>
      </c>
      <c r="D154" s="15" t="n">
        <v>832500</v>
      </c>
      <c r="E154" s="15" t="n">
        <v>33600</v>
      </c>
      <c r="F154" s="18" t="n">
        <v>24.8</v>
      </c>
      <c r="G154" s="19" t="n">
        <v>3</v>
      </c>
      <c r="H154" s="6" t="s">
        <v>4418</v>
      </c>
      <c r="I154" s="6" t="s">
        <v>3074</v>
      </c>
      <c r="J154" s="6" t="s">
        <v>4419</v>
      </c>
      <c r="K154" s="6" t="s">
        <v>4420</v>
      </c>
      <c r="L154" s="6" t="s">
        <v>3078</v>
      </c>
      <c r="M154" s="14" t="s">
        <v>3527</v>
      </c>
      <c r="N154" s="6" t="s">
        <v>4421</v>
      </c>
      <c r="O154" s="14" t="s">
        <v>3463</v>
      </c>
      <c r="P154" s="14" t="s">
        <v>3451</v>
      </c>
      <c r="Q154" s="14" t="s">
        <v>3444</v>
      </c>
      <c r="R154" s="14"/>
      <c r="S154" s="16" t="s">
        <v>3073</v>
      </c>
      <c r="T154" s="14" t="s">
        <v>747</v>
      </c>
    </row>
    <row r="155" customFormat="false" ht="69.75" hidden="false" customHeight="true" outlineLevel="0" collapsed="false">
      <c r="A155" s="14" t="n">
        <v>153</v>
      </c>
      <c r="B155" s="14" t="s">
        <v>4422</v>
      </c>
      <c r="C155" s="15" t="n">
        <v>7800</v>
      </c>
      <c r="D155" s="15" t="n">
        <v>149000</v>
      </c>
      <c r="E155" s="15" t="n">
        <v>6000</v>
      </c>
      <c r="F155" s="18" t="n">
        <v>24.7</v>
      </c>
      <c r="G155" s="19" t="n">
        <v>1</v>
      </c>
      <c r="H155" s="6" t="s">
        <v>4423</v>
      </c>
      <c r="I155" s="6" t="s">
        <v>4424</v>
      </c>
      <c r="J155" s="6" t="s">
        <v>4425</v>
      </c>
      <c r="K155" s="6" t="s">
        <v>4426</v>
      </c>
      <c r="L155" s="6" t="s">
        <v>4427</v>
      </c>
      <c r="M155" s="14" t="s">
        <v>4428</v>
      </c>
      <c r="N155" s="6" t="s">
        <v>4429</v>
      </c>
      <c r="O155" s="14" t="s">
        <v>3450</v>
      </c>
      <c r="P155" s="14" t="s">
        <v>3469</v>
      </c>
      <c r="Q155" s="14" t="s">
        <v>3452</v>
      </c>
      <c r="R155" s="14"/>
      <c r="S155" s="16" t="s">
        <v>4430</v>
      </c>
      <c r="T155" s="14" t="s">
        <v>1289</v>
      </c>
    </row>
    <row r="156" customFormat="false" ht="69.75" hidden="false" customHeight="true" outlineLevel="0" collapsed="false">
      <c r="A156" s="14" t="n">
        <v>154</v>
      </c>
      <c r="B156" s="14" t="s">
        <v>4431</v>
      </c>
      <c r="C156" s="15" t="n">
        <v>81000</v>
      </c>
      <c r="D156" s="15" t="n">
        <v>5100000</v>
      </c>
      <c r="E156" s="15" t="n">
        <v>210900</v>
      </c>
      <c r="F156" s="18" t="n">
        <v>24.4</v>
      </c>
      <c r="G156" s="19" t="n">
        <v>1</v>
      </c>
      <c r="H156" s="6" t="s">
        <v>4432</v>
      </c>
      <c r="I156" s="6" t="s">
        <v>4433</v>
      </c>
      <c r="J156" s="6" t="s">
        <v>4434</v>
      </c>
      <c r="K156" s="6" t="s">
        <v>4435</v>
      </c>
      <c r="L156" s="6" t="s">
        <v>4436</v>
      </c>
      <c r="M156" s="14" t="s">
        <v>4437</v>
      </c>
      <c r="N156" s="6" t="s">
        <v>4438</v>
      </c>
      <c r="O156" s="14" t="s">
        <v>3463</v>
      </c>
      <c r="P156" s="14" t="s">
        <v>3443</v>
      </c>
      <c r="Q156" s="14" t="s">
        <v>3444</v>
      </c>
      <c r="R156" s="14"/>
      <c r="S156" s="16" t="s">
        <v>4439</v>
      </c>
      <c r="T156" s="14" t="s">
        <v>1260</v>
      </c>
    </row>
    <row r="157" customFormat="false" ht="69.75" hidden="false" customHeight="true" outlineLevel="0" collapsed="false">
      <c r="A157" s="14" t="n">
        <v>155</v>
      </c>
      <c r="B157" s="14" t="s">
        <v>4440</v>
      </c>
      <c r="C157" s="15" t="n">
        <v>47800</v>
      </c>
      <c r="D157" s="15" t="n">
        <v>259400</v>
      </c>
      <c r="E157" s="15" t="n">
        <v>10600</v>
      </c>
      <c r="F157" s="18" t="n">
        <v>24.4</v>
      </c>
      <c r="G157" s="19" t="n">
        <v>1</v>
      </c>
      <c r="H157" s="6" t="s">
        <v>4441</v>
      </c>
      <c r="I157" s="6" t="s">
        <v>4442</v>
      </c>
      <c r="J157" s="6" t="s">
        <v>4443</v>
      </c>
      <c r="K157" s="6" t="s">
        <v>4444</v>
      </c>
      <c r="L157" s="6" t="s">
        <v>4445</v>
      </c>
      <c r="M157" s="14" t="s">
        <v>4446</v>
      </c>
      <c r="N157" s="6" t="s">
        <v>3576</v>
      </c>
      <c r="O157" s="14" t="s">
        <v>3463</v>
      </c>
      <c r="P157" s="14" t="s">
        <v>3451</v>
      </c>
      <c r="Q157" s="14" t="s">
        <v>3444</v>
      </c>
      <c r="R157" s="14"/>
      <c r="S157" s="16" t="s">
        <v>4447</v>
      </c>
      <c r="T157" s="14" t="s">
        <v>1640</v>
      </c>
    </row>
    <row r="158" customFormat="false" ht="69.75" hidden="false" customHeight="true" outlineLevel="0" collapsed="false">
      <c r="A158" s="14" t="n">
        <v>156</v>
      </c>
      <c r="B158" s="14" t="s">
        <v>2619</v>
      </c>
      <c r="C158" s="15" t="n">
        <v>11800</v>
      </c>
      <c r="D158" s="15" t="n">
        <v>187200</v>
      </c>
      <c r="E158" s="15" t="n">
        <v>8000</v>
      </c>
      <c r="F158" s="18" t="n">
        <v>23.5</v>
      </c>
      <c r="G158" s="19" t="n">
        <v>3</v>
      </c>
      <c r="H158" s="6" t="s">
        <v>4448</v>
      </c>
      <c r="I158" s="6" t="s">
        <v>2621</v>
      </c>
      <c r="J158" s="6" t="s">
        <v>4449</v>
      </c>
      <c r="K158" s="6" t="s">
        <v>4450</v>
      </c>
      <c r="L158" s="6" t="s">
        <v>2625</v>
      </c>
      <c r="M158" s="14" t="s">
        <v>4451</v>
      </c>
      <c r="N158" s="6" t="s">
        <v>4452</v>
      </c>
      <c r="O158" s="14" t="s">
        <v>3450</v>
      </c>
      <c r="P158" s="14" t="s">
        <v>3469</v>
      </c>
      <c r="Q158" s="14" t="s">
        <v>3452</v>
      </c>
      <c r="R158" s="14"/>
      <c r="S158" s="16" t="s">
        <v>2620</v>
      </c>
      <c r="T158" s="14" t="s">
        <v>1640</v>
      </c>
    </row>
    <row r="159" customFormat="false" ht="69.75" hidden="false" customHeight="true" outlineLevel="0" collapsed="false">
      <c r="A159" s="14" t="n">
        <v>157</v>
      </c>
      <c r="B159" s="14" t="s">
        <v>4453</v>
      </c>
      <c r="C159" s="15" t="n">
        <v>8600</v>
      </c>
      <c r="D159" s="15" t="n">
        <v>449900</v>
      </c>
      <c r="E159" s="15" t="n">
        <v>19700</v>
      </c>
      <c r="F159" s="18" t="n">
        <v>22.8</v>
      </c>
      <c r="G159" s="19" t="n">
        <v>1</v>
      </c>
      <c r="H159" s="6" t="s">
        <v>4454</v>
      </c>
      <c r="I159" s="6" t="s">
        <v>4455</v>
      </c>
      <c r="J159" s="6" t="s">
        <v>4456</v>
      </c>
      <c r="K159" s="6" t="s">
        <v>4457</v>
      </c>
      <c r="L159" s="6" t="s">
        <v>4458</v>
      </c>
      <c r="M159" s="14" t="s">
        <v>4459</v>
      </c>
      <c r="N159" s="6" t="s">
        <v>4460</v>
      </c>
      <c r="O159" s="14" t="s">
        <v>3463</v>
      </c>
      <c r="P159" s="14" t="s">
        <v>3451</v>
      </c>
      <c r="Q159" s="14" t="s">
        <v>3444</v>
      </c>
      <c r="R159" s="14"/>
      <c r="S159" s="16" t="s">
        <v>4461</v>
      </c>
      <c r="T159" s="14" t="s">
        <v>1260</v>
      </c>
    </row>
    <row r="160" customFormat="false" ht="69.75" hidden="false" customHeight="true" outlineLevel="0" collapsed="false">
      <c r="A160" s="14" t="n">
        <v>158</v>
      </c>
      <c r="B160" s="14" t="s">
        <v>4462</v>
      </c>
      <c r="C160" s="15" t="n">
        <v>25200</v>
      </c>
      <c r="D160" s="15" t="n">
        <v>94300</v>
      </c>
      <c r="E160" s="15" t="n">
        <v>4200</v>
      </c>
      <c r="F160" s="18" t="n">
        <v>22.5</v>
      </c>
      <c r="G160" s="19" t="n">
        <v>1</v>
      </c>
      <c r="H160" s="6" t="s">
        <v>4463</v>
      </c>
      <c r="I160" s="6" t="s">
        <v>4464</v>
      </c>
      <c r="J160" s="6" t="s">
        <v>4465</v>
      </c>
      <c r="K160" s="6" t="s">
        <v>4097</v>
      </c>
      <c r="L160" s="6" t="s">
        <v>4466</v>
      </c>
      <c r="M160" s="14" t="s">
        <v>4467</v>
      </c>
      <c r="N160" s="6" t="s">
        <v>4468</v>
      </c>
      <c r="O160" s="14" t="s">
        <v>3442</v>
      </c>
      <c r="P160" s="14" t="s">
        <v>3469</v>
      </c>
      <c r="Q160" s="14" t="s">
        <v>3444</v>
      </c>
      <c r="R160" s="14"/>
      <c r="S160" s="16" t="s">
        <v>4469</v>
      </c>
      <c r="T160" s="14" t="s">
        <v>458</v>
      </c>
    </row>
    <row r="161" customFormat="false" ht="69.75" hidden="false" customHeight="true" outlineLevel="0" collapsed="false">
      <c r="A161" s="14" t="n">
        <v>159</v>
      </c>
      <c r="B161" s="14" t="s">
        <v>4470</v>
      </c>
      <c r="C161" s="15" t="n">
        <v>23100</v>
      </c>
      <c r="D161" s="15" t="n">
        <v>233500</v>
      </c>
      <c r="E161" s="15" t="n">
        <v>11000</v>
      </c>
      <c r="F161" s="18" t="n">
        <v>21.2</v>
      </c>
      <c r="G161" s="19" t="n">
        <v>1</v>
      </c>
      <c r="H161" s="6" t="s">
        <v>4471</v>
      </c>
      <c r="I161" s="6" t="s">
        <v>4472</v>
      </c>
      <c r="J161" s="6" t="s">
        <v>4473</v>
      </c>
      <c r="K161" s="6" t="s">
        <v>4474</v>
      </c>
      <c r="L161" s="6" t="s">
        <v>4475</v>
      </c>
      <c r="M161" s="14" t="s">
        <v>4476</v>
      </c>
      <c r="N161" s="6" t="s">
        <v>4477</v>
      </c>
      <c r="O161" s="14" t="s">
        <v>3558</v>
      </c>
      <c r="P161" s="14" t="s">
        <v>3469</v>
      </c>
      <c r="Q161" s="14" t="s">
        <v>3452</v>
      </c>
      <c r="R161" s="14"/>
      <c r="S161" s="16" t="s">
        <v>4478</v>
      </c>
      <c r="T161" s="14" t="s">
        <v>2555</v>
      </c>
    </row>
    <row r="162" customFormat="false" ht="69.75" hidden="false" customHeight="true" outlineLevel="0" collapsed="false">
      <c r="A162" s="14" t="n">
        <v>160</v>
      </c>
      <c r="B162" s="14" t="s">
        <v>4479</v>
      </c>
      <c r="C162" s="15" t="n">
        <v>31200</v>
      </c>
      <c r="D162" s="15" t="n">
        <v>29400</v>
      </c>
      <c r="E162" s="15" t="n">
        <v>1600</v>
      </c>
      <c r="F162" s="18" t="n">
        <v>18.8</v>
      </c>
      <c r="G162" s="19" t="n">
        <v>1</v>
      </c>
      <c r="H162" s="6" t="s">
        <v>3445</v>
      </c>
      <c r="I162" s="6" t="s">
        <v>4480</v>
      </c>
      <c r="J162" s="6" t="s">
        <v>4481</v>
      </c>
      <c r="K162" s="6" t="s">
        <v>4482</v>
      </c>
      <c r="L162" s="6" t="s">
        <v>4483</v>
      </c>
      <c r="M162" s="14" t="s">
        <v>4372</v>
      </c>
      <c r="N162" s="6" t="s">
        <v>4484</v>
      </c>
      <c r="O162" s="14" t="s">
        <v>3442</v>
      </c>
      <c r="P162" s="14" t="s">
        <v>3443</v>
      </c>
      <c r="Q162" s="14" t="s">
        <v>3452</v>
      </c>
      <c r="R162" s="14"/>
      <c r="S162" s="16" t="s">
        <v>4485</v>
      </c>
      <c r="T162" s="14" t="s">
        <v>4486</v>
      </c>
    </row>
    <row r="163" customFormat="false" ht="69.75" hidden="false" customHeight="true" outlineLevel="0" collapsed="false">
      <c r="A163" s="14" t="n">
        <v>161</v>
      </c>
      <c r="B163" s="14" t="s">
        <v>4487</v>
      </c>
      <c r="C163" s="15" t="n">
        <v>14100</v>
      </c>
      <c r="D163" s="15" t="n">
        <v>3500000</v>
      </c>
      <c r="E163" s="15" t="n">
        <v>186500</v>
      </c>
      <c r="F163" s="18" t="n">
        <v>18.8</v>
      </c>
      <c r="G163" s="19" t="n">
        <v>1</v>
      </c>
      <c r="H163" s="6" t="s">
        <v>4488</v>
      </c>
      <c r="I163" s="6" t="s">
        <v>4489</v>
      </c>
      <c r="J163" s="6" t="s">
        <v>4490</v>
      </c>
      <c r="K163" s="6" t="s">
        <v>4491</v>
      </c>
      <c r="L163" s="6" t="s">
        <v>4492</v>
      </c>
      <c r="M163" s="14" t="s">
        <v>3527</v>
      </c>
      <c r="N163" s="6" t="s">
        <v>4493</v>
      </c>
      <c r="O163" s="14" t="s">
        <v>3442</v>
      </c>
      <c r="P163" s="14" t="s">
        <v>3451</v>
      </c>
      <c r="Q163" s="14" t="s">
        <v>3444</v>
      </c>
      <c r="R163" s="14"/>
      <c r="S163" s="16" t="s">
        <v>4494</v>
      </c>
      <c r="T163" s="14" t="s">
        <v>1280</v>
      </c>
    </row>
    <row r="164" customFormat="false" ht="69.75" hidden="false" customHeight="true" outlineLevel="0" collapsed="false">
      <c r="A164" s="14" t="n">
        <v>162</v>
      </c>
      <c r="B164" s="14" t="s">
        <v>4495</v>
      </c>
      <c r="C164" s="15" t="n">
        <v>93000</v>
      </c>
      <c r="D164" s="15" t="n">
        <v>648500</v>
      </c>
      <c r="E164" s="15" t="n">
        <v>36600</v>
      </c>
      <c r="F164" s="18" t="n">
        <v>17.7</v>
      </c>
      <c r="G164" s="19" t="n">
        <v>1</v>
      </c>
      <c r="H164" s="6" t="s">
        <v>4496</v>
      </c>
      <c r="I164" s="6" t="s">
        <v>4497</v>
      </c>
      <c r="J164" s="6" t="s">
        <v>4498</v>
      </c>
      <c r="K164" s="6" t="s">
        <v>3650</v>
      </c>
      <c r="L164" s="6" t="s">
        <v>4499</v>
      </c>
      <c r="M164" s="14" t="s">
        <v>4500</v>
      </c>
      <c r="N164" s="6" t="s">
        <v>4501</v>
      </c>
      <c r="O164" s="14" t="s">
        <v>3442</v>
      </c>
      <c r="P164" s="14" t="s">
        <v>3469</v>
      </c>
      <c r="Q164" s="14" t="s">
        <v>3452</v>
      </c>
      <c r="R164" s="14"/>
      <c r="S164" s="16" t="s">
        <v>4502</v>
      </c>
      <c r="T164" s="14" t="s">
        <v>574</v>
      </c>
    </row>
    <row r="165" customFormat="false" ht="69.75" hidden="false" customHeight="true" outlineLevel="0" collapsed="false">
      <c r="A165" s="14" t="n">
        <v>163</v>
      </c>
      <c r="B165" s="14" t="s">
        <v>4503</v>
      </c>
      <c r="C165" s="15" t="n">
        <v>44000</v>
      </c>
      <c r="D165" s="15" t="n">
        <v>460600</v>
      </c>
      <c r="E165" s="15" t="n">
        <v>29200</v>
      </c>
      <c r="F165" s="18" t="n">
        <v>15.8</v>
      </c>
      <c r="G165" s="19" t="n">
        <v>1</v>
      </c>
      <c r="H165" s="6" t="s">
        <v>3601</v>
      </c>
      <c r="I165" s="6" t="s">
        <v>4504</v>
      </c>
      <c r="J165" s="6" t="s">
        <v>4505</v>
      </c>
      <c r="K165" s="6" t="s">
        <v>4506</v>
      </c>
      <c r="L165" s="6" t="s">
        <v>4507</v>
      </c>
      <c r="M165" s="14" t="s">
        <v>4508</v>
      </c>
      <c r="N165" s="6" t="s">
        <v>4509</v>
      </c>
      <c r="O165" s="14" t="s">
        <v>3442</v>
      </c>
      <c r="P165" s="14" t="s">
        <v>3443</v>
      </c>
      <c r="Q165" s="14" t="s">
        <v>3452</v>
      </c>
      <c r="R165" s="14"/>
      <c r="S165" s="16" t="s">
        <v>4510</v>
      </c>
      <c r="T165" s="14" t="s">
        <v>952</v>
      </c>
    </row>
    <row r="166" customFormat="false" ht="69.75" hidden="false" customHeight="true" outlineLevel="0" collapsed="false">
      <c r="A166" s="14" t="n">
        <v>164</v>
      </c>
      <c r="B166" s="14" t="s">
        <v>4511</v>
      </c>
      <c r="C166" s="15" t="n">
        <v>11300</v>
      </c>
      <c r="D166" s="15" t="n">
        <v>183700</v>
      </c>
      <c r="E166" s="15" t="n">
        <v>12600</v>
      </c>
      <c r="F166" s="18" t="n">
        <v>14.5</v>
      </c>
      <c r="G166" s="19" t="n">
        <v>1</v>
      </c>
      <c r="H166" s="6" t="s">
        <v>4217</v>
      </c>
      <c r="I166" s="6" t="s">
        <v>4512</v>
      </c>
      <c r="J166" s="6" t="s">
        <v>4513</v>
      </c>
      <c r="K166" s="6" t="s">
        <v>4514</v>
      </c>
      <c r="L166" s="6" t="s">
        <v>4515</v>
      </c>
      <c r="M166" s="14" t="s">
        <v>3527</v>
      </c>
      <c r="N166" s="6" t="s">
        <v>3746</v>
      </c>
      <c r="O166" s="14" t="s">
        <v>3442</v>
      </c>
      <c r="P166" s="14" t="s">
        <v>3469</v>
      </c>
      <c r="Q166" s="14" t="s">
        <v>3444</v>
      </c>
      <c r="R166" s="14"/>
      <c r="S166" s="16" t="s">
        <v>4516</v>
      </c>
      <c r="T166" s="14" t="s">
        <v>747</v>
      </c>
    </row>
    <row r="167" customFormat="false" ht="69.75" hidden="false" customHeight="true" outlineLevel="0" collapsed="false">
      <c r="A167" s="14" t="n">
        <v>165</v>
      </c>
      <c r="B167" s="14" t="s">
        <v>2494</v>
      </c>
      <c r="C167" s="15" t="n">
        <v>35000</v>
      </c>
      <c r="D167" s="15" t="n">
        <v>368800</v>
      </c>
      <c r="E167" s="15" t="n">
        <v>32900</v>
      </c>
      <c r="F167" s="18" t="n">
        <v>11.2</v>
      </c>
      <c r="G167" s="19" t="n">
        <v>2</v>
      </c>
      <c r="H167" s="6" t="s">
        <v>4517</v>
      </c>
      <c r="I167" s="6" t="s">
        <v>4518</v>
      </c>
      <c r="J167" s="6" t="s">
        <v>4519</v>
      </c>
      <c r="K167" s="6" t="s">
        <v>4520</v>
      </c>
      <c r="L167" s="6" t="s">
        <v>4521</v>
      </c>
      <c r="M167" s="14" t="s">
        <v>3527</v>
      </c>
      <c r="N167" s="6" t="s">
        <v>3746</v>
      </c>
      <c r="O167" s="14" t="s">
        <v>3442</v>
      </c>
      <c r="P167" s="14" t="s">
        <v>3469</v>
      </c>
      <c r="Q167" s="14" t="s">
        <v>3444</v>
      </c>
      <c r="R167" s="14" t="n">
        <v>55</v>
      </c>
      <c r="S167" s="16" t="s">
        <v>4522</v>
      </c>
      <c r="T167" s="14" t="s">
        <v>1249</v>
      </c>
    </row>
    <row r="168" customFormat="false" ht="69.75" hidden="false" customHeight="true" outlineLevel="0" collapsed="false">
      <c r="A168" s="14" t="n">
        <v>166</v>
      </c>
      <c r="B168" s="14" t="s">
        <v>4523</v>
      </c>
      <c r="C168" s="15" t="n">
        <v>14800</v>
      </c>
      <c r="D168" s="15" t="n">
        <v>973800</v>
      </c>
      <c r="E168" s="15" t="n">
        <v>101100</v>
      </c>
      <c r="F168" s="18" t="n">
        <v>9.6</v>
      </c>
      <c r="G168" s="19" t="n">
        <v>1</v>
      </c>
      <c r="H168" s="6" t="s">
        <v>3519</v>
      </c>
      <c r="I168" s="6" t="s">
        <v>4524</v>
      </c>
      <c r="J168" s="6" t="s">
        <v>4525</v>
      </c>
      <c r="K168" s="6" t="s">
        <v>4526</v>
      </c>
      <c r="L168" s="6" t="s">
        <v>4527</v>
      </c>
      <c r="M168" s="14" t="s">
        <v>3448</v>
      </c>
      <c r="N168" s="6" t="s">
        <v>4528</v>
      </c>
      <c r="O168" s="14" t="s">
        <v>3442</v>
      </c>
      <c r="P168" s="14" t="s">
        <v>3451</v>
      </c>
      <c r="Q168" s="14" t="s">
        <v>3444</v>
      </c>
      <c r="R168" s="14"/>
      <c r="S168" s="16" t="s">
        <v>4529</v>
      </c>
      <c r="T168" s="14" t="s">
        <v>1593</v>
      </c>
    </row>
    <row r="169" customFormat="false" ht="69.75" hidden="false" customHeight="true" outlineLevel="0" collapsed="false">
      <c r="A169" s="14" t="n">
        <v>167</v>
      </c>
      <c r="B169" s="14" t="s">
        <v>4530</v>
      </c>
      <c r="C169" s="15" t="n">
        <v>18100</v>
      </c>
      <c r="D169" s="15" t="n">
        <v>1500000</v>
      </c>
      <c r="E169" s="15" t="n">
        <v>164000</v>
      </c>
      <c r="F169" s="18" t="n">
        <v>9.2</v>
      </c>
      <c r="G169" s="19" t="n">
        <v>1</v>
      </c>
      <c r="H169" s="6" t="s">
        <v>4531</v>
      </c>
      <c r="I169" s="6" t="s">
        <v>4532</v>
      </c>
      <c r="J169" s="6" t="s">
        <v>4533</v>
      </c>
      <c r="K169" s="6" t="s">
        <v>4534</v>
      </c>
      <c r="L169" s="6" t="s">
        <v>4535</v>
      </c>
      <c r="M169" s="14" t="s">
        <v>4536</v>
      </c>
      <c r="N169" s="6" t="s">
        <v>4537</v>
      </c>
      <c r="O169" s="14" t="s">
        <v>3450</v>
      </c>
      <c r="P169" s="14" t="s">
        <v>3469</v>
      </c>
      <c r="Q169" s="14" t="s">
        <v>3452</v>
      </c>
      <c r="R169" s="14"/>
      <c r="S169" s="16" t="s">
        <v>4538</v>
      </c>
      <c r="T169" s="14" t="s">
        <v>952</v>
      </c>
    </row>
    <row r="170" customFormat="false" ht="69.75" hidden="false" customHeight="true" outlineLevel="0" collapsed="false">
      <c r="A170" s="14" t="n">
        <v>168</v>
      </c>
      <c r="B170" s="14" t="s">
        <v>4539</v>
      </c>
      <c r="C170" s="15" t="n">
        <v>68000</v>
      </c>
      <c r="D170" s="15" t="n">
        <v>2400000</v>
      </c>
      <c r="E170" s="15" t="n">
        <v>280300</v>
      </c>
      <c r="F170" s="18" t="n">
        <v>8.5</v>
      </c>
      <c r="G170" s="19" t="n">
        <v>1</v>
      </c>
      <c r="H170" s="6" t="s">
        <v>4540</v>
      </c>
      <c r="I170" s="6" t="s">
        <v>4541</v>
      </c>
      <c r="J170" s="6" t="s">
        <v>4542</v>
      </c>
      <c r="K170" s="6" t="s">
        <v>4543</v>
      </c>
      <c r="L170" s="6" t="s">
        <v>4544</v>
      </c>
      <c r="M170" s="14" t="s">
        <v>4545</v>
      </c>
      <c r="N170" s="6" t="s">
        <v>4546</v>
      </c>
      <c r="O170" s="14" t="s">
        <v>3463</v>
      </c>
      <c r="P170" s="14" t="s">
        <v>3451</v>
      </c>
      <c r="Q170" s="14" t="s">
        <v>3444</v>
      </c>
      <c r="R170" s="14"/>
      <c r="S170" s="16" t="s">
        <v>4547</v>
      </c>
      <c r="T170" s="14" t="s">
        <v>1260</v>
      </c>
    </row>
    <row r="171" customFormat="false" ht="69.75" hidden="false" customHeight="true" outlineLevel="0" collapsed="false">
      <c r="A171" s="14" t="n">
        <v>169</v>
      </c>
      <c r="B171" s="14" t="s">
        <v>4548</v>
      </c>
      <c r="C171" s="15" t="n">
        <v>24000</v>
      </c>
      <c r="D171" s="15" t="n">
        <v>1400000</v>
      </c>
      <c r="E171" s="15" t="n">
        <v>170500</v>
      </c>
      <c r="F171" s="18" t="n">
        <v>7.9</v>
      </c>
      <c r="G171" s="19" t="n">
        <v>1</v>
      </c>
      <c r="H171" s="6" t="s">
        <v>4549</v>
      </c>
      <c r="I171" s="6" t="s">
        <v>4550</v>
      </c>
      <c r="J171" s="6" t="s">
        <v>4551</v>
      </c>
      <c r="K171" s="6" t="s">
        <v>4552</v>
      </c>
      <c r="L171" s="6" t="s">
        <v>4553</v>
      </c>
      <c r="M171" s="14" t="s">
        <v>4554</v>
      </c>
      <c r="N171" s="6" t="s">
        <v>4555</v>
      </c>
      <c r="O171" s="14" t="s">
        <v>3450</v>
      </c>
      <c r="P171" s="14" t="s">
        <v>3451</v>
      </c>
      <c r="Q171" s="14" t="s">
        <v>3452</v>
      </c>
      <c r="R171" s="14"/>
      <c r="S171" s="16" t="s">
        <v>4556</v>
      </c>
      <c r="T171" s="14" t="s">
        <v>1289</v>
      </c>
    </row>
    <row r="172" customFormat="false" ht="69.75" hidden="false" customHeight="true" outlineLevel="0" collapsed="false">
      <c r="A172" s="14" t="n">
        <v>170</v>
      </c>
      <c r="B172" s="14" t="s">
        <v>4557</v>
      </c>
      <c r="C172" s="15" t="n">
        <v>20000</v>
      </c>
      <c r="D172" s="15" t="n">
        <v>817800</v>
      </c>
      <c r="E172" s="15" t="n">
        <v>119100</v>
      </c>
      <c r="F172" s="18" t="n">
        <v>6.9</v>
      </c>
      <c r="G172" s="19" t="n">
        <v>1</v>
      </c>
      <c r="H172" s="6" t="s">
        <v>4558</v>
      </c>
      <c r="I172" s="6" t="s">
        <v>4559</v>
      </c>
      <c r="J172" s="6" t="s">
        <v>4560</v>
      </c>
      <c r="K172" s="6" t="s">
        <v>4561</v>
      </c>
      <c r="L172" s="6" t="s">
        <v>4562</v>
      </c>
      <c r="M172" s="14" t="s">
        <v>4563</v>
      </c>
      <c r="N172" s="6" t="s">
        <v>4564</v>
      </c>
      <c r="O172" s="14" t="s">
        <v>3558</v>
      </c>
      <c r="P172" s="14" t="s">
        <v>3469</v>
      </c>
      <c r="Q172" s="14" t="s">
        <v>3452</v>
      </c>
      <c r="R172" s="14" t="n">
        <v>115</v>
      </c>
      <c r="S172" s="16" t="s">
        <v>4565</v>
      </c>
      <c r="T172" s="14" t="s">
        <v>952</v>
      </c>
    </row>
    <row r="173" customFormat="false" ht="69.75" hidden="false" customHeight="true" outlineLevel="0" collapsed="false">
      <c r="A173" s="14" t="n">
        <v>171</v>
      </c>
      <c r="B173" s="14" t="s">
        <v>4566</v>
      </c>
      <c r="C173" s="15" t="n">
        <v>20000</v>
      </c>
      <c r="D173" s="15" t="n">
        <v>1100000</v>
      </c>
      <c r="E173" s="15" t="n">
        <v>172900</v>
      </c>
      <c r="F173" s="18" t="n">
        <v>6.5</v>
      </c>
      <c r="G173" s="19" t="n">
        <v>2</v>
      </c>
      <c r="H173" s="6" t="s">
        <v>4567</v>
      </c>
      <c r="I173" s="6" t="s">
        <v>4568</v>
      </c>
      <c r="J173" s="6" t="s">
        <v>4569</v>
      </c>
      <c r="K173" s="6" t="s">
        <v>4570</v>
      </c>
      <c r="L173" s="6" t="s">
        <v>4571</v>
      </c>
      <c r="M173" s="14" t="s">
        <v>4572</v>
      </c>
      <c r="N173" s="6" t="s">
        <v>4573</v>
      </c>
      <c r="O173" s="14" t="s">
        <v>3558</v>
      </c>
      <c r="P173" s="14" t="s">
        <v>3451</v>
      </c>
      <c r="Q173" s="14" t="s">
        <v>3444</v>
      </c>
      <c r="R173" s="14"/>
      <c r="S173" s="16" t="s">
        <v>4574</v>
      </c>
      <c r="T173" s="14" t="s">
        <v>747</v>
      </c>
    </row>
    <row r="174" customFormat="false" ht="69.75" hidden="false" customHeight="true" outlineLevel="0" collapsed="false">
      <c r="A174" s="14" t="n">
        <v>172</v>
      </c>
      <c r="B174" s="14" t="s">
        <v>4575</v>
      </c>
      <c r="C174" s="15" t="n">
        <v>70000</v>
      </c>
      <c r="D174" s="15" t="n">
        <v>1100000</v>
      </c>
      <c r="E174" s="15" t="n">
        <v>223800</v>
      </c>
      <c r="F174" s="18" t="n">
        <v>4.7</v>
      </c>
      <c r="G174" s="19" t="n">
        <v>1</v>
      </c>
      <c r="H174" s="6" t="s">
        <v>3519</v>
      </c>
      <c r="I174" s="6" t="s">
        <v>4576</v>
      </c>
      <c r="J174" s="6" t="s">
        <v>4577</v>
      </c>
      <c r="K174" s="6" t="s">
        <v>4578</v>
      </c>
      <c r="L174" s="6" t="s">
        <v>4579</v>
      </c>
      <c r="M174" s="14" t="s">
        <v>3926</v>
      </c>
      <c r="N174" s="6" t="s">
        <v>4580</v>
      </c>
      <c r="O174" s="14" t="s">
        <v>3644</v>
      </c>
      <c r="P174" s="14" t="s">
        <v>3451</v>
      </c>
      <c r="Q174" s="14" t="s">
        <v>3444</v>
      </c>
      <c r="R174" s="14"/>
      <c r="S174" s="16" t="s">
        <v>4581</v>
      </c>
      <c r="T174" s="14" t="s">
        <v>1593</v>
      </c>
    </row>
    <row r="175" customFormat="false" ht="69.75" hidden="false" customHeight="true" outlineLevel="0" collapsed="false">
      <c r="A175" s="14" t="n">
        <v>173</v>
      </c>
      <c r="B175" s="14" t="s">
        <v>3131</v>
      </c>
      <c r="C175" s="15" t="n">
        <v>9700</v>
      </c>
      <c r="D175" s="15" t="n">
        <v>907200</v>
      </c>
      <c r="E175" s="15" t="n">
        <v>241100</v>
      </c>
      <c r="F175" s="18" t="n">
        <v>3.8</v>
      </c>
      <c r="G175" s="19" t="n">
        <v>3</v>
      </c>
      <c r="H175" s="6" t="s">
        <v>3519</v>
      </c>
      <c r="I175" s="6" t="s">
        <v>3133</v>
      </c>
      <c r="J175" s="6" t="s">
        <v>4582</v>
      </c>
      <c r="K175" s="6" t="s">
        <v>4583</v>
      </c>
      <c r="L175" s="6" t="s">
        <v>3138</v>
      </c>
      <c r="M175" s="14" t="s">
        <v>4584</v>
      </c>
      <c r="N175" s="6" t="s">
        <v>4585</v>
      </c>
      <c r="O175" s="14" t="s">
        <v>4586</v>
      </c>
      <c r="P175" s="14" t="s">
        <v>3451</v>
      </c>
      <c r="Q175" s="14" t="s">
        <v>3444</v>
      </c>
      <c r="R175" s="14"/>
      <c r="S175" s="16" t="s">
        <v>3132</v>
      </c>
      <c r="T175" s="14" t="s">
        <v>952</v>
      </c>
    </row>
  </sheetData>
  <autoFilter ref="A2:T175"/>
  <conditionalFormatting sqref="G3:G175">
    <cfRule type="colorScale" priority="2">
      <colorScale>
        <cfvo type="num" val="1"/>
        <cfvo type="num" val="10"/>
        <color rgb="FFFFFFFF"/>
        <color rgb="FF63BE7B"/>
      </colorScale>
    </cfRule>
  </conditionalFormatting>
  <hyperlinks>
    <hyperlink ref="S3" r:id="rId1" display="https://www.instagram.com/reel/Ddl5gR1xz9b/"/>
    <hyperlink ref="S4" r:id="rId2" display="https://www.instagram.com/reel/Db_hVF_P5lF/"/>
    <hyperlink ref="S5" r:id="rId3" display="https://www.instagram.com/reel/Db8S4BmJlfM/"/>
    <hyperlink ref="S6" r:id="rId4" display="https://www.instagram.com/reel/DbOTspij6yZ/"/>
    <hyperlink ref="S7" r:id="rId5" display="https://www.instagram.com/reel/DbpURTwRL_W/"/>
    <hyperlink ref="S8" r:id="rId6" display="https://www.instagram.com/reel/Db58c4nCOXN/"/>
    <hyperlink ref="S9" r:id="rId7" display="https://www.instagram.com/reel/DeDwgVQhW9c/"/>
    <hyperlink ref="S10" r:id="rId8" display="https://www.instagram.com/reel/Dbl6NsgSR9R/"/>
    <hyperlink ref="S11" r:id="rId9" display="https://www.instagram.com/reel/DbYjVyLuzzP/"/>
    <hyperlink ref="S12" r:id="rId10" display="https://www.instagram.com/reel/DcD3bofMQF1/"/>
    <hyperlink ref="S13" r:id="rId11" display="https://www.instagram.com/reel/DcSBJPCogrr/"/>
    <hyperlink ref="S14" r:id="rId12" display="https://www.instagram.com/reel/DcGk3BOI4_r/"/>
    <hyperlink ref="S15" r:id="rId13" display="https://www.instagram.com/reel/DbT8pmksSud/"/>
    <hyperlink ref="S16" r:id="rId14" display="https://www.instagram.com/reel/Dbw5GydgGij/"/>
    <hyperlink ref="S17" r:id="rId15" display="https://www.instagram.com/reel/Dcbe_AuOO3L/"/>
    <hyperlink ref="S18" r:id="rId16" display="https://www.instagram.com/reel/DclVkO-ym1J/"/>
    <hyperlink ref="S19" r:id="rId17" display="https://www.instagram.com/reel/DctTCKgO6JQ/"/>
    <hyperlink ref="S20" r:id="rId18" display="https://www.instagram.com/reel/Dbep7NPO3Zg/"/>
    <hyperlink ref="S21" r:id="rId19" display="https://www.instagram.com/reel/Db59Qt3ztrJ/"/>
    <hyperlink ref="S22" r:id="rId20" display="https://www.instagram.com/reel/DbYHkLmtIBv/"/>
    <hyperlink ref="S23" r:id="rId21" display="https://www.instagram.com/reel/DblbBF0gJ8g/"/>
    <hyperlink ref="S24" r:id="rId22" display="https://www.instagram.com/reel/DciGZoSIpME/"/>
    <hyperlink ref="S25" r:id="rId23" display="https://www.instagram.com/reel/DbY84VUgCRz/"/>
    <hyperlink ref="S26" r:id="rId24" display="https://www.instagram.com/reel/DbjoFw9xS8R/"/>
    <hyperlink ref="S27" r:id="rId25" display="https://www.instagram.com/reel/DcaHgBHkv8z/"/>
    <hyperlink ref="S28" r:id="rId26" display="https://www.instagram.com/reel/Dbsxb8IhIXA/"/>
    <hyperlink ref="S29" r:id="rId27" display="https://www.instagram.com/reel/DbHIs-aSgsS/"/>
    <hyperlink ref="S30" r:id="rId28" display="https://www.instagram.com/reel/Da75WdaRCFL/"/>
    <hyperlink ref="S31" r:id="rId29" display="https://www.instagram.com/reel/DbNU9a9BHK8/"/>
    <hyperlink ref="S32" r:id="rId30" display="https://www.instagram.com/reel/Dbrbk8Kxw4w/"/>
    <hyperlink ref="S33" r:id="rId31" display="https://www.instagram.com/reel/DbqZgYdC3Th/"/>
    <hyperlink ref="S34" r:id="rId32" display="https://www.instagram.com/reel/DcJW1_5OCmB/"/>
    <hyperlink ref="S35" r:id="rId33" display="https://www.instagram.com/reel/Db_AqZjoN_r/"/>
    <hyperlink ref="S36" r:id="rId34" display="https://www.instagram.com/reel/DcJTeGCvjdA/"/>
    <hyperlink ref="S37" r:id="rId35" display="https://www.instagram.com/reel/DcKTVQWu47A/"/>
    <hyperlink ref="S38" r:id="rId36" display="https://www.instagram.com/reel/DbDrqpnDu9d/"/>
    <hyperlink ref="S39" r:id="rId37" display="https://www.instagram.com/reel/DbnGvDJJMIb/"/>
    <hyperlink ref="S40" r:id="rId38" display="https://www.instagram.com/reel/DcC-2k8zJqP/"/>
    <hyperlink ref="S41" r:id="rId39" display="https://www.instagram.com/reel/Da8ZPqps4rM/"/>
    <hyperlink ref="S42" r:id="rId40" display="https://www.instagram.com/reel/DbYt14LMoeA/"/>
    <hyperlink ref="S43" r:id="rId41" display="https://www.instagram.com/reel/Dcsr0stohJb/"/>
    <hyperlink ref="S44" r:id="rId42" display="https://www.instagram.com/reel/Dd-nhdoMBoB/"/>
    <hyperlink ref="S45" r:id="rId43" display="https://www.instagram.com/reel/DbTB3wQgppY/"/>
    <hyperlink ref="S46" r:id="rId44" display="https://www.instagram.com/reel/DdeQ4Ndq_h_/"/>
    <hyperlink ref="S47" r:id="rId45" display="https://www.instagram.com/reel/DcFoz5ch63i/"/>
    <hyperlink ref="S48" r:id="rId46" display="https://www.instagram.com/reel/DbYPh8AxEoP/"/>
    <hyperlink ref="S49" r:id="rId47" display="https://www.instagram.com/reel/DbvYo5hP02-/"/>
    <hyperlink ref="S50" r:id="rId48" display="https://www.instagram.com/reel/DcfEmr4OVFZ/"/>
    <hyperlink ref="S51" r:id="rId49" display="https://www.instagram.com/reel/Db2z_8uBAfN/"/>
    <hyperlink ref="S52" r:id="rId50" display="https://www.instagram.com/reel/DdM6Cb5Izm_/"/>
    <hyperlink ref="S53" r:id="rId51" display="https://www.instagram.com/reel/Dba9mtoNCkx/"/>
    <hyperlink ref="S54" r:id="rId52" display="https://www.instagram.com/reel/DaFADRqhg61/"/>
    <hyperlink ref="S55" r:id="rId53" display="https://www.instagram.com/reel/DbZ6M1POQd8/"/>
    <hyperlink ref="S56" r:id="rId54" display="https://www.instagram.com/reel/Db0wqFCR5CY/"/>
    <hyperlink ref="S57" r:id="rId55" display="https://www.instagram.com/reel/DbGwmecqr-l/"/>
    <hyperlink ref="S58" r:id="rId56" display="https://www.instagram.com/reel/Db5pAbKzcjZ/"/>
    <hyperlink ref="S59" r:id="rId57" display="https://www.instagram.com/reel/Db7r2S2hEaF/"/>
    <hyperlink ref="S60" r:id="rId58" display="https://www.instagram.com/reel/Dbvp84OT0fl/"/>
    <hyperlink ref="S61" r:id="rId59" display="https://www.instagram.com/reel/DcrH-24xJqR/"/>
    <hyperlink ref="S62" r:id="rId60" display="https://www.instagram.com/reel/Dbaw8kltc2v/"/>
    <hyperlink ref="S63" r:id="rId61" display="https://www.instagram.com/reel/DdCUrHBsS69/"/>
    <hyperlink ref="S64" r:id="rId62" display="https://www.instagram.com/reel/Db_O1_Ypj_1/"/>
    <hyperlink ref="S65" r:id="rId63" display="https://www.instagram.com/reel/DbDsu4BAPys/"/>
    <hyperlink ref="S66" r:id="rId64" display="https://www.instagram.com/reel/DceS_3uCg_K/"/>
    <hyperlink ref="S67" r:id="rId65" display="https://www.instagram.com/reel/Dba0dm-CK7Y/"/>
    <hyperlink ref="S68" r:id="rId66" display="https://www.instagram.com/reel/Dc9E6jqpda-/"/>
    <hyperlink ref="S69" r:id="rId67" display="https://www.instagram.com/reel/Dd5kTbzTdrf/"/>
    <hyperlink ref="S70" r:id="rId68" display="https://www.instagram.com/reel/DcgdeTdN89i/"/>
    <hyperlink ref="S71" r:id="rId69" display="https://www.instagram.com/reel/Db0WCUkOUwe/"/>
    <hyperlink ref="S72" r:id="rId70" display="https://www.instagram.com/reel/DbtNXYjx4U0/"/>
    <hyperlink ref="S73" r:id="rId71" display="https://www.instagram.com/reel/DeUUhkvS8SC/"/>
    <hyperlink ref="S74" r:id="rId72" display="https://www.instagram.com/reel/Db5tqZmgFZi/"/>
    <hyperlink ref="S75" r:id="rId73" display="https://www.instagram.com/reel/DbL3kepRXBz/"/>
    <hyperlink ref="S76" r:id="rId74" display="https://www.instagram.com/reel/DbqdYRZNeHC/"/>
    <hyperlink ref="S77" r:id="rId75" display="https://www.instagram.com/reel/DbP2AbTh_tk/"/>
    <hyperlink ref="S78" r:id="rId76" display="https://www.instagram.com/reel/Dc1PFXUKyCi/"/>
    <hyperlink ref="S79" r:id="rId77" display="https://www.instagram.com/reel/DbpS24qhgIU/"/>
    <hyperlink ref="S80" r:id="rId78" display="https://www.instagram.com/reel/Ddin5MfRj-4/"/>
    <hyperlink ref="S81" r:id="rId79" display="https://www.instagram.com/reel/DcCH5OTxT_L/"/>
    <hyperlink ref="S82" r:id="rId80" display="https://www.instagram.com/reel/DcdRb3Hp6fj/"/>
    <hyperlink ref="S83" r:id="rId81" display="https://www.instagram.com/reel/DdWUcbhtFO2/"/>
    <hyperlink ref="S84" r:id="rId82" display="https://www.instagram.com/reel/DdmHOUduQ5g/"/>
    <hyperlink ref="S85" r:id="rId83" display="https://www.instagram.com/reel/Dbaj1-HI7r5/"/>
    <hyperlink ref="S86" r:id="rId84" display="https://www.instagram.com/reel/DbYTssJsLln/"/>
    <hyperlink ref="S87" r:id="rId85" display="https://www.instagram.com/reel/DbAdtUITIZV/"/>
    <hyperlink ref="S88" r:id="rId86" display="https://www.instagram.com/reel/DbGAS1iTlvK/"/>
    <hyperlink ref="S89" r:id="rId87" display="https://www.instagram.com/reel/DcumVGviFgS/"/>
    <hyperlink ref="S90" r:id="rId88" display="https://www.instagram.com/reel/DcOoPPFTnjj/"/>
    <hyperlink ref="S91" r:id="rId89" display="https://www.instagram.com/reel/DclQsMeK7Ed/"/>
    <hyperlink ref="S92" r:id="rId90" display="https://www.instagram.com/reel/Dcv4iVHNANs/"/>
    <hyperlink ref="S93" r:id="rId91" display="https://www.instagram.com/reel/DbLnqZTDHNd/"/>
    <hyperlink ref="S94" r:id="rId92" display="https://www.instagram.com/reel/DdEKK0ThxVu/"/>
    <hyperlink ref="S95" r:id="rId93" display="https://www.instagram.com/reel/Dbl44DJyZCB/"/>
    <hyperlink ref="S96" r:id="rId94" display="https://www.instagram.com/reel/DbPCpZvzM0l/"/>
    <hyperlink ref="S97" r:id="rId95" display="https://www.instagram.com/reel/DbdpWQkKQTH/"/>
    <hyperlink ref="S98" r:id="rId96" display="https://www.instagram.com/reel/DbxNbRAtwMP/"/>
    <hyperlink ref="S99" r:id="rId97" display="https://www.instagram.com/reel/DbAzTiqSg8j/"/>
    <hyperlink ref="S100" r:id="rId98" display="https://www.instagram.com/reel/DctmTH7MbZ9/"/>
    <hyperlink ref="S101" r:id="rId99" display="https://www.instagram.com/reel/DctXXS8DjnA/"/>
    <hyperlink ref="S102" r:id="rId100" display="https://www.instagram.com/reel/DciQo00otoc/"/>
    <hyperlink ref="S103" r:id="rId101" display="https://www.instagram.com/reel/DcCYxwdRpAa/"/>
    <hyperlink ref="S104" r:id="rId102" display="https://www.instagram.com/reel/DcCXsWCyYnH/"/>
    <hyperlink ref="S105" r:id="rId103" display="https://www.instagram.com/reel/Da7-NClxOE0/"/>
    <hyperlink ref="S106" r:id="rId104" display="https://www.instagram.com/reel/Db73Km_sekv/"/>
    <hyperlink ref="S107" r:id="rId105" display="https://www.instagram.com/reel/Dck9JK2EwiA/"/>
    <hyperlink ref="S108" r:id="rId106" display="https://www.instagram.com/reel/Db9jrnvgMf_/"/>
    <hyperlink ref="S109" r:id="rId107" display="https://www.instagram.com/reel/DbBz9sSgkpb/"/>
    <hyperlink ref="S110" r:id="rId108" display="https://www.instagram.com/reel/DbTGpCLP7Ov/"/>
    <hyperlink ref="S111" r:id="rId109" display="https://www.instagram.com/reel/Db7S0U5qRD8/"/>
    <hyperlink ref="S112" r:id="rId110" display="https://www.instagram.com/reel/DclV1inhp1U/"/>
    <hyperlink ref="S113" r:id="rId111" display="https://www.instagram.com/reel/DbbEX_9ugvY/"/>
    <hyperlink ref="S114" r:id="rId112" display="https://www.instagram.com/reel/Db9u_76yTWJ/"/>
    <hyperlink ref="S115" r:id="rId113" display="https://www.instagram.com/reel/DbdHIuwkYYP/"/>
    <hyperlink ref="S116" r:id="rId114" display="https://www.instagram.com/reel/DbPT69cBZqK/"/>
    <hyperlink ref="S117" r:id="rId115" display="https://www.instagram.com/reel/DbJYp_OP6M1/"/>
    <hyperlink ref="S118" r:id="rId116" display="https://www.instagram.com/reel/DbQ0GzriSSw/"/>
    <hyperlink ref="S119" r:id="rId117" display="https://www.instagram.com/reel/Db452tJNgAM/"/>
    <hyperlink ref="S120" r:id="rId118" display="https://www.instagram.com/reel/DbTSnDZBQGM/"/>
    <hyperlink ref="S121" r:id="rId119" display="https://www.instagram.com/reel/DbAloO8uOhI/"/>
    <hyperlink ref="S122" r:id="rId120" display="https://www.instagram.com/reel/DbWFuaZA7z7/"/>
    <hyperlink ref="S123" r:id="rId121" display="https://www.instagram.com/reel/Db_oIUFphMZ/"/>
    <hyperlink ref="S124" r:id="rId122" display="https://www.instagram.com/reel/DbhX36_phx6/"/>
    <hyperlink ref="S125" r:id="rId123" display="https://www.instagram.com/reel/Dbrc-YJxo-b/"/>
    <hyperlink ref="S126" r:id="rId124" display="https://www.instagram.com/reel/DbQbyPCJQvD/"/>
    <hyperlink ref="S127" r:id="rId125" display="https://www.instagram.com/reel/DclCob7Bb6g/"/>
    <hyperlink ref="S128" r:id="rId126" display="https://www.instagram.com/reel/DbR_qwxOrf1/"/>
    <hyperlink ref="S129" r:id="rId127" display="https://www.instagram.com/reel/DbTmJ_UAr7z/"/>
    <hyperlink ref="S130" r:id="rId128" display="https://www.instagram.com/reel/DbatW3Uh2Ve/"/>
    <hyperlink ref="S131" r:id="rId129" display="https://www.instagram.com/reel/DbnvEmaR1L5/"/>
    <hyperlink ref="S132" r:id="rId130" display="https://www.instagram.com/reel/Dbv6XhYOAcM/"/>
    <hyperlink ref="S133" r:id="rId131" display="https://www.instagram.com/reel/DcR_9jdNoxe/"/>
    <hyperlink ref="S134" r:id="rId132" display="https://www.instagram.com/reel/DbeYFh4TbkN/"/>
    <hyperlink ref="S135" r:id="rId133" display="https://www.instagram.com/reel/Dbh8j_dScO5/"/>
    <hyperlink ref="S136" r:id="rId134" display="https://www.instagram.com/reel/DcUsEL2um_S/"/>
    <hyperlink ref="S137" r:id="rId135" display="https://www.instagram.com/reel/DcEXXKGiIQ2/"/>
    <hyperlink ref="S138" r:id="rId136" display="https://www.instagram.com/reel/DbdkB9ByqRX/"/>
    <hyperlink ref="S139" r:id="rId137" display="https://www.instagram.com/reel/Db6MEBPM33k/"/>
    <hyperlink ref="S140" r:id="rId138" display="https://www.instagram.com/reel/Da-xRInqAbg/"/>
    <hyperlink ref="S141" r:id="rId139" display="https://www.instagram.com/reel/Dbk4MG8ypXT/"/>
    <hyperlink ref="S142" r:id="rId140" display="https://www.instagram.com/reel/DcjOceDKj52/"/>
    <hyperlink ref="S143" r:id="rId141" display="https://www.instagram.com/reel/DbpmEFEzK1d/"/>
    <hyperlink ref="S144" r:id="rId142" display="https://www.instagram.com/reel/DdTG21BN4ve/"/>
    <hyperlink ref="S145" r:id="rId143" display="https://www.instagram.com/reel/Dbq5lx_NeIV/"/>
    <hyperlink ref="S146" r:id="rId144" display="https://www.instagram.com/reel/DbOc3u_JpJb/"/>
    <hyperlink ref="S147" r:id="rId145" display="https://www.instagram.com/reel/DcZGpAbxHNU/"/>
    <hyperlink ref="S148" r:id="rId146" display="https://www.instagram.com/reel/Da8ffLGDnlv/"/>
    <hyperlink ref="S149" r:id="rId147" display="https://www.instagram.com/reel/DckjTBvP84i/"/>
    <hyperlink ref="S150" r:id="rId148" display="https://www.instagram.com/reel/DbdCGYATNfU/"/>
    <hyperlink ref="S151" r:id="rId149" display="https://www.instagram.com/reel/DdCBvNZMrOY/"/>
    <hyperlink ref="S152" r:id="rId150" display="https://www.instagram.com/reel/DbbOmwGxNis/"/>
    <hyperlink ref="S153" r:id="rId151" display="https://www.instagram.com/reel/Db26XzEMB3d/"/>
    <hyperlink ref="S154" r:id="rId152" display="https://www.instagram.com/reel/Dbn4LzlRYgo/"/>
    <hyperlink ref="S155" r:id="rId153" display="https://www.instagram.com/reel/DcM8TV2sRIT/"/>
    <hyperlink ref="S156" r:id="rId154" display="https://www.instagram.com/reel/DcocuiVSB8i/"/>
    <hyperlink ref="S157" r:id="rId155" display="https://www.instagram.com/reel/DcpNAu6BJk9/"/>
    <hyperlink ref="S158" r:id="rId156" display="https://www.instagram.com/reel/DcQ_MXYB4Z1/"/>
    <hyperlink ref="S159" r:id="rId157" display="https://www.instagram.com/reel/Da6x47korYv/"/>
    <hyperlink ref="S160" r:id="rId158" display="https://www.instagram.com/reel/DbdUe5MT99a/"/>
    <hyperlink ref="S161" r:id="rId159" display="https://www.instagram.com/reel/DbLKg4pBYmD/"/>
    <hyperlink ref="S162" r:id="rId160" display="https://www.instagram.com/reel/DbZD762NrkX/"/>
    <hyperlink ref="S163" r:id="rId161" display="https://www.instagram.com/reel/Db1W8_XyieC/"/>
    <hyperlink ref="S164" r:id="rId162" display="https://www.instagram.com/reel/DcHB39NTuoM/"/>
    <hyperlink ref="S165" r:id="rId163" display="https://www.instagram.com/reel/Db7bfJ9TYda/"/>
    <hyperlink ref="S166" r:id="rId164" display="https://www.instagram.com/reel/Db0mxi2qxEW/"/>
    <hyperlink ref="S167" r:id="rId165" display="https://www.instagram.com/reel/Db4Q1xtReFF/"/>
    <hyperlink ref="S168" r:id="rId166" display="https://www.instagram.com/reel/DbAGJJmOeEO/"/>
    <hyperlink ref="S169" r:id="rId167" display="https://www.instagram.com/reel/DaKT9OByawu/"/>
    <hyperlink ref="S170" r:id="rId168" display="https://www.instagram.com/reel/Db979kMJpCS/"/>
    <hyperlink ref="S171" r:id="rId169" display="https://www.instagram.com/reel/DbHQpliFGFk/"/>
    <hyperlink ref="S172" r:id="rId170" display="https://www.instagram.com/reel/DcbgeWkASYX/"/>
    <hyperlink ref="S173" r:id="rId171" display="https://www.instagram.com/reel/DbUP8kqhxnk/"/>
    <hyperlink ref="S174" r:id="rId172" display="https://www.instagram.com/reel/DbdG3_HzAY8/"/>
    <hyperlink ref="S175" r:id="rId173" display="https://www.instagram.com/reel/DbKiMvsPt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7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6" min="2" style="0" width="10"/>
    <col collapsed="false" customWidth="true" hidden="false" outlineLevel="0" max="7" min="7" style="0" width="55"/>
    <col collapsed="false" customWidth="true" hidden="false" outlineLevel="0" max="8" min="8" style="0" width="30"/>
    <col collapsed="false" customWidth="true" hidden="false" outlineLevel="0" max="10" min="9" style="0" width="60"/>
    <col collapsed="false" customWidth="true" hidden="false" outlineLevel="0" max="11" min="11" style="0" width="40"/>
  </cols>
  <sheetData>
    <row r="1" customFormat="false" ht="15" hidden="false" customHeight="false" outlineLevel="0" collapsed="false">
      <c r="A1" s="25" t="s">
        <v>4587</v>
      </c>
    </row>
    <row r="2" customFormat="false" ht="31.5" hidden="false" customHeight="true" outlineLevel="0" collapsed="false">
      <c r="A2" s="13" t="s">
        <v>194</v>
      </c>
      <c r="B2" s="13" t="s">
        <v>4588</v>
      </c>
      <c r="C2" s="13" t="s">
        <v>4589</v>
      </c>
      <c r="D2" s="13" t="s">
        <v>4590</v>
      </c>
      <c r="E2" s="13" t="s">
        <v>4591</v>
      </c>
      <c r="F2" s="13" t="s">
        <v>4592</v>
      </c>
      <c r="G2" s="13" t="s">
        <v>4593</v>
      </c>
      <c r="H2" s="13" t="s">
        <v>4594</v>
      </c>
      <c r="I2" s="13" t="s">
        <v>4595</v>
      </c>
      <c r="J2" s="13" t="s">
        <v>4596</v>
      </c>
      <c r="K2" s="13" t="s">
        <v>4597</v>
      </c>
    </row>
    <row r="3" customFormat="false" ht="75" hidden="false" customHeight="true" outlineLevel="0" collapsed="false">
      <c r="A3" s="26" t="s">
        <v>255</v>
      </c>
      <c r="B3" s="27" t="n">
        <f aca="false">COUNTIFS('Master Database'!$S$2:$S$396,$A3,'Master Database'!$AH$2:$AH$396,"&gt;=4")</f>
        <v>85</v>
      </c>
      <c r="C3" s="28" t="n">
        <f aca="false">IFERROR(ROUND(AVERAGEIFS('Master Database'!$AE$2:$AE$396,'Master Database'!$S$2:$S$396,$A3,'Master Database'!$AH$2:$AH$396,"&gt;=4"),1),"-")</f>
        <v>33.6</v>
      </c>
      <c r="D3" s="28" t="n">
        <f aca="false">IFERROR(ROUND(AVERAGEIFS('Master Database'!$AE$2:$AE$396,'Master Database'!$S$2:$S$396,$A3,'Master Database'!$AH$2:$AH$396,"&gt;=4",'Master Database'!$B$2:$B$396,"LinkedIn"),1),"-")</f>
        <v>15.1</v>
      </c>
      <c r="E3" s="28" t="n">
        <f aca="false">IFERROR(ROUND(AVERAGEIFS('Master Database'!$AE$2:$AE$396,'Master Database'!$S$2:$S$396,$A3,'Master Database'!$AH$2:$AH$396,"&gt;=4",'Master Database'!$B$2:$B$396,"X"),1),"-")</f>
        <v>46.1</v>
      </c>
      <c r="F3" s="28" t="n">
        <f aca="false">IFERROR(ROUND(AVERAGEIFS('Master Database'!$AE$2:$AE$396,'Master Database'!$S$2:$S$396,$A3,'Master Database'!$AH$2:$AH$396,"&gt;=4",'Master Database'!$B$2:$B$396,"Instagram"),1),"-")</f>
        <v>40.8</v>
      </c>
      <c r="G3" s="27" t="s">
        <v>4598</v>
      </c>
      <c r="H3" s="23" t="s">
        <v>252</v>
      </c>
      <c r="I3" s="27" t="s">
        <v>4599</v>
      </c>
      <c r="J3" s="27" t="s">
        <v>4600</v>
      </c>
      <c r="K3" s="27" t="s">
        <v>4601</v>
      </c>
    </row>
    <row r="4" customFormat="false" ht="75" hidden="false" customHeight="true" outlineLevel="0" collapsed="false">
      <c r="A4" s="26" t="s">
        <v>234</v>
      </c>
      <c r="B4" s="27" t="n">
        <f aca="false">COUNTIFS('Master Database'!$S$2:$S$396,$A4,'Master Database'!$AH$2:$AH$396,"&gt;=4")</f>
        <v>61</v>
      </c>
      <c r="C4" s="28" t="n">
        <f aca="false">IFERROR(ROUND(AVERAGEIFS('Master Database'!$AE$2:$AE$396,'Master Database'!$S$2:$S$396,$A4,'Master Database'!$AH$2:$AH$396,"&gt;=4"),1),"-")</f>
        <v>35.3</v>
      </c>
      <c r="D4" s="28" t="n">
        <f aca="false">IFERROR(ROUND(AVERAGEIFS('Master Database'!$AE$2:$AE$396,'Master Database'!$S$2:$S$396,$A4,'Master Database'!$AH$2:$AH$396,"&gt;=4",'Master Database'!$B$2:$B$396,"LinkedIn"),1),"-")</f>
        <v>28.3</v>
      </c>
      <c r="E4" s="28" t="n">
        <f aca="false">IFERROR(ROUND(AVERAGEIFS('Master Database'!$AE$2:$AE$396,'Master Database'!$S$2:$S$396,$A4,'Master Database'!$AH$2:$AH$396,"&gt;=4",'Master Database'!$B$2:$B$396,"X"),1),"-")</f>
        <v>43.3</v>
      </c>
      <c r="F4" s="28" t="n">
        <f aca="false">IFERROR(ROUND(AVERAGEIFS('Master Database'!$AE$2:$AE$396,'Master Database'!$S$2:$S$396,$A4,'Master Database'!$AH$2:$AH$396,"&gt;=4",'Master Database'!$B$2:$B$396,"Instagram"),1),"-")</f>
        <v>26.8</v>
      </c>
      <c r="G4" s="27" t="s">
        <v>4602</v>
      </c>
      <c r="H4" s="23" t="s">
        <v>231</v>
      </c>
      <c r="I4" s="27" t="s">
        <v>4603</v>
      </c>
      <c r="J4" s="27" t="s">
        <v>4604</v>
      </c>
      <c r="K4" s="27" t="s">
        <v>4605</v>
      </c>
    </row>
    <row r="5" customFormat="false" ht="75" hidden="false" customHeight="true" outlineLevel="0" collapsed="false">
      <c r="A5" s="26" t="s">
        <v>330</v>
      </c>
      <c r="B5" s="27" t="n">
        <f aca="false">COUNTIFS('Master Database'!$S$2:$S$396,$A5,'Master Database'!$AH$2:$AH$396,"&gt;=4")</f>
        <v>56</v>
      </c>
      <c r="C5" s="28" t="n">
        <f aca="false">IFERROR(ROUND(AVERAGEIFS('Master Database'!$AE$2:$AE$396,'Master Database'!$S$2:$S$396,$A5,'Master Database'!$AH$2:$AH$396,"&gt;=4"),1),"-")</f>
        <v>39</v>
      </c>
      <c r="D5" s="28" t="n">
        <f aca="false">IFERROR(ROUND(AVERAGEIFS('Master Database'!$AE$2:$AE$396,'Master Database'!$S$2:$S$396,$A5,'Master Database'!$AH$2:$AH$396,"&gt;=4",'Master Database'!$B$2:$B$396,"LinkedIn"),1),"-")</f>
        <v>20.5</v>
      </c>
      <c r="E5" s="28" t="n">
        <f aca="false">IFERROR(ROUND(AVERAGEIFS('Master Database'!$AE$2:$AE$396,'Master Database'!$S$2:$S$396,$A5,'Master Database'!$AH$2:$AH$396,"&gt;=4",'Master Database'!$B$2:$B$396,"X"),1),"-")</f>
        <v>46.4</v>
      </c>
      <c r="F5" s="28" t="n">
        <f aca="false">IFERROR(ROUND(AVERAGEIFS('Master Database'!$AE$2:$AE$396,'Master Database'!$S$2:$S$396,$A5,'Master Database'!$AH$2:$AH$396,"&gt;=4",'Master Database'!$B$2:$B$396,"Instagram"),1),"-")</f>
        <v>49.4</v>
      </c>
      <c r="G5" s="27" t="s">
        <v>4606</v>
      </c>
      <c r="H5" s="23" t="s">
        <v>412</v>
      </c>
      <c r="I5" s="27" t="s">
        <v>4607</v>
      </c>
      <c r="J5" s="27" t="s">
        <v>4608</v>
      </c>
      <c r="K5" s="27" t="s">
        <v>4609</v>
      </c>
    </row>
    <row r="6" customFormat="false" ht="75" hidden="false" customHeight="true" outlineLevel="0" collapsed="false">
      <c r="A6" s="26" t="s">
        <v>685</v>
      </c>
      <c r="B6" s="27" t="n">
        <f aca="false">COUNTIFS('Master Database'!$S$2:$S$396,$A6,'Master Database'!$AH$2:$AH$396,"&gt;=4")</f>
        <v>26</v>
      </c>
      <c r="C6" s="28" t="n">
        <f aca="false">IFERROR(ROUND(AVERAGEIFS('Master Database'!$AE$2:$AE$396,'Master Database'!$S$2:$S$396,$A6,'Master Database'!$AH$2:$AH$396,"&gt;=4"),1),"-")</f>
        <v>32.5</v>
      </c>
      <c r="D6" s="28" t="n">
        <f aca="false">IFERROR(ROUND(AVERAGEIFS('Master Database'!$AE$2:$AE$396,'Master Database'!$S$2:$S$396,$A6,'Master Database'!$AH$2:$AH$396,"&gt;=4",'Master Database'!$B$2:$B$396,"LinkedIn"),1),"-")</f>
        <v>32.1</v>
      </c>
      <c r="E6" s="28" t="n">
        <f aca="false">IFERROR(ROUND(AVERAGEIFS('Master Database'!$AE$2:$AE$396,'Master Database'!$S$2:$S$396,$A6,'Master Database'!$AH$2:$AH$396,"&gt;=4",'Master Database'!$B$2:$B$396,"X"),1),"-")</f>
        <v>34.3</v>
      </c>
      <c r="F6" s="28" t="n">
        <f aca="false">IFERROR(ROUND(AVERAGEIFS('Master Database'!$AE$2:$AE$396,'Master Database'!$S$2:$S$396,$A6,'Master Database'!$AH$2:$AH$396,"&gt;=4",'Master Database'!$B$2:$B$396,"Instagram"),1),"-")</f>
        <v>28.6</v>
      </c>
      <c r="G6" s="27" t="s">
        <v>4610</v>
      </c>
      <c r="H6" s="23" t="s">
        <v>682</v>
      </c>
      <c r="I6" s="27" t="s">
        <v>4611</v>
      </c>
      <c r="J6" s="27" t="s">
        <v>4612</v>
      </c>
      <c r="K6" s="27" t="s">
        <v>4613</v>
      </c>
    </row>
    <row r="7" customFormat="false" ht="75" hidden="false" customHeight="true" outlineLevel="0" collapsed="false">
      <c r="A7" s="26" t="s">
        <v>513</v>
      </c>
      <c r="B7" s="27" t="n">
        <f aca="false">COUNTIFS('Master Database'!$S$2:$S$396,$A7,'Master Database'!$AH$2:$AH$396,"&gt;=4")</f>
        <v>21</v>
      </c>
      <c r="C7" s="28" t="n">
        <f aca="false">IFERROR(ROUND(AVERAGEIFS('Master Database'!$AE$2:$AE$396,'Master Database'!$S$2:$S$396,$A7,'Master Database'!$AH$2:$AH$396,"&gt;=4"),1),"-")</f>
        <v>36</v>
      </c>
      <c r="D7" s="28" t="n">
        <f aca="false">IFERROR(ROUND(AVERAGEIFS('Master Database'!$AE$2:$AE$396,'Master Database'!$S$2:$S$396,$A7,'Master Database'!$AH$2:$AH$396,"&gt;=4",'Master Database'!$B$2:$B$396,"LinkedIn"),1),"-")</f>
        <v>24.5</v>
      </c>
      <c r="E7" s="28" t="n">
        <f aca="false">IFERROR(ROUND(AVERAGEIFS('Master Database'!$AE$2:$AE$396,'Master Database'!$S$2:$S$396,$A7,'Master Database'!$AH$2:$AH$396,"&gt;=4",'Master Database'!$B$2:$B$396,"X"),1),"-")</f>
        <v>50.6</v>
      </c>
      <c r="F7" s="28" t="n">
        <f aca="false">IFERROR(ROUND(AVERAGEIFS('Master Database'!$AE$2:$AE$396,'Master Database'!$S$2:$S$396,$A7,'Master Database'!$AH$2:$AH$396,"&gt;=4",'Master Database'!$B$2:$B$396,"Instagram"),1),"-")</f>
        <v>39</v>
      </c>
      <c r="G7" s="27" t="s">
        <v>4614</v>
      </c>
      <c r="H7" s="23" t="s">
        <v>937</v>
      </c>
      <c r="I7" s="27" t="s">
        <v>4615</v>
      </c>
      <c r="J7" s="27" t="s">
        <v>4616</v>
      </c>
      <c r="K7" s="27" t="s">
        <v>4617</v>
      </c>
    </row>
    <row r="8" customFormat="false" ht="75" hidden="false" customHeight="true" outlineLevel="0" collapsed="false">
      <c r="A8" s="26" t="s">
        <v>272</v>
      </c>
      <c r="B8" s="27" t="n">
        <f aca="false">COUNTIFS('Master Database'!$S$2:$S$396,$A8,'Master Database'!$AH$2:$AH$396,"&gt;=4")</f>
        <v>13</v>
      </c>
      <c r="C8" s="28" t="n">
        <f aca="false">IFERROR(ROUND(AVERAGEIFS('Master Database'!$AE$2:$AE$396,'Master Database'!$S$2:$S$396,$A8,'Master Database'!$AH$2:$AH$396,"&gt;=4"),1),"-")</f>
        <v>35</v>
      </c>
      <c r="D8" s="28" t="str">
        <f aca="false">IFERROR(ROUND(AVERAGEIFS('Master Database'!$AE$2:$AE$396,'Master Database'!$S$2:$S$396,$A8,'Master Database'!$AH$2:$AH$396,"&gt;=4",'Master Database'!$B$2:$B$396,"LinkedIn"),1),"-")</f>
        <v>-</v>
      </c>
      <c r="E8" s="28" t="str">
        <f aca="false">IFERROR(ROUND(AVERAGEIFS('Master Database'!$AE$2:$AE$396,'Master Database'!$S$2:$S$396,$A8,'Master Database'!$AH$2:$AH$396,"&gt;=4",'Master Database'!$B$2:$B$396,"X"),1),"-")</f>
        <v>-</v>
      </c>
      <c r="F8" s="28" t="n">
        <f aca="false">IFERROR(ROUND(AVERAGEIFS('Master Database'!$AE$2:$AE$396,'Master Database'!$S$2:$S$396,$A8,'Master Database'!$AH$2:$AH$396,"&gt;=4",'Master Database'!$B$2:$B$396,"Instagram"),1),"-")</f>
        <v>35</v>
      </c>
      <c r="G8" s="27" t="s">
        <v>4618</v>
      </c>
      <c r="H8" s="23" t="s">
        <v>269</v>
      </c>
      <c r="I8" s="27" t="s">
        <v>4619</v>
      </c>
      <c r="J8" s="27" t="s">
        <v>4620</v>
      </c>
      <c r="K8" s="27" t="s">
        <v>4621</v>
      </c>
    </row>
    <row r="9" customFormat="false" ht="75" hidden="false" customHeight="true" outlineLevel="0" collapsed="false">
      <c r="A9" s="26" t="s">
        <v>884</v>
      </c>
      <c r="B9" s="27" t="n">
        <f aca="false">COUNTIFS('Master Database'!$S$2:$S$396,$A9,'Master Database'!$AH$2:$AH$396,"&gt;=4")</f>
        <v>10</v>
      </c>
      <c r="C9" s="28" t="n">
        <f aca="false">IFERROR(ROUND(AVERAGEIFS('Master Database'!$AE$2:$AE$396,'Master Database'!$S$2:$S$396,$A9,'Master Database'!$AH$2:$AH$396,"&gt;=4"),1),"-")</f>
        <v>30.1</v>
      </c>
      <c r="D9" s="28" t="n">
        <f aca="false">IFERROR(ROUND(AVERAGEIFS('Master Database'!$AE$2:$AE$396,'Master Database'!$S$2:$S$396,$A9,'Master Database'!$AH$2:$AH$396,"&gt;=4",'Master Database'!$B$2:$B$396,"LinkedIn"),1),"-")</f>
        <v>16.2</v>
      </c>
      <c r="E9" s="28" t="n">
        <f aca="false">IFERROR(ROUND(AVERAGEIFS('Master Database'!$AE$2:$AE$396,'Master Database'!$S$2:$S$396,$A9,'Master Database'!$AH$2:$AH$396,"&gt;=4",'Master Database'!$B$2:$B$396,"X"),1),"-")</f>
        <v>39.4</v>
      </c>
      <c r="F9" s="28" t="str">
        <f aca="false">IFERROR(ROUND(AVERAGEIFS('Master Database'!$AE$2:$AE$396,'Master Database'!$S$2:$S$396,$A9,'Master Database'!$AH$2:$AH$396,"&gt;=4",'Master Database'!$B$2:$B$396,"Instagram"),1),"-")</f>
        <v>-</v>
      </c>
      <c r="G9" s="27" t="s">
        <v>4622</v>
      </c>
      <c r="H9" s="23" t="s">
        <v>881</v>
      </c>
      <c r="I9" s="27" t="s">
        <v>4623</v>
      </c>
      <c r="J9" s="27" t="s">
        <v>4624</v>
      </c>
      <c r="K9" s="27" t="s">
        <v>4625</v>
      </c>
    </row>
    <row r="10" customFormat="false" ht="75" hidden="false" customHeight="true" outlineLevel="0" collapsed="false">
      <c r="A10" s="26" t="s">
        <v>741</v>
      </c>
      <c r="B10" s="27" t="n">
        <f aca="false">COUNTIFS('Master Database'!$S$2:$S$396,$A10,'Master Database'!$AH$2:$AH$396,"&gt;=4")</f>
        <v>9</v>
      </c>
      <c r="C10" s="28" t="n">
        <f aca="false">IFERROR(ROUND(AVERAGEIFS('Master Database'!$AE$2:$AE$396,'Master Database'!$S$2:$S$396,$A10,'Master Database'!$AH$2:$AH$396,"&gt;=4"),1),"-")</f>
        <v>47.1</v>
      </c>
      <c r="D10" s="28" t="n">
        <f aca="false">IFERROR(ROUND(AVERAGEIFS('Master Database'!$AE$2:$AE$396,'Master Database'!$S$2:$S$396,$A10,'Master Database'!$AH$2:$AH$396,"&gt;=4",'Master Database'!$B$2:$B$396,"LinkedIn"),1),"-")</f>
        <v>15.4</v>
      </c>
      <c r="E10" s="28" t="n">
        <f aca="false">IFERROR(ROUND(AVERAGEIFS('Master Database'!$AE$2:$AE$396,'Master Database'!$S$2:$S$396,$A10,'Master Database'!$AH$2:$AH$396,"&gt;=4",'Master Database'!$B$2:$B$396,"X"),1),"-")</f>
        <v>14.9</v>
      </c>
      <c r="F10" s="28" t="n">
        <f aca="false">IFERROR(ROUND(AVERAGEIFS('Master Database'!$AE$2:$AE$396,'Master Database'!$S$2:$S$396,$A10,'Master Database'!$AH$2:$AH$396,"&gt;=4",'Master Database'!$B$2:$B$396,"Instagram"),1),"-")</f>
        <v>87</v>
      </c>
      <c r="G10" s="27" t="s">
        <v>4626</v>
      </c>
      <c r="H10" s="23" t="s">
        <v>1569</v>
      </c>
      <c r="I10" s="27" t="s">
        <v>4627</v>
      </c>
      <c r="J10" s="27" t="s">
        <v>4628</v>
      </c>
      <c r="K10" s="27" t="s">
        <v>4629</v>
      </c>
    </row>
    <row r="11" customFormat="false" ht="75" hidden="false" customHeight="true" outlineLevel="0" collapsed="false">
      <c r="A11" s="26" t="s">
        <v>1495</v>
      </c>
      <c r="B11" s="27" t="n">
        <f aca="false">COUNTIFS('Master Database'!$S$2:$S$396,$A11,'Master Database'!$AH$2:$AH$396,"&gt;=4")</f>
        <v>7</v>
      </c>
      <c r="C11" s="28" t="n">
        <f aca="false">IFERROR(ROUND(AVERAGEIFS('Master Database'!$AE$2:$AE$396,'Master Database'!$S$2:$S$396,$A11,'Master Database'!$AH$2:$AH$396,"&gt;=4"),1),"-")</f>
        <v>33.2</v>
      </c>
      <c r="D11" s="28" t="n">
        <f aca="false">IFERROR(ROUND(AVERAGEIFS('Master Database'!$AE$2:$AE$396,'Master Database'!$S$2:$S$396,$A11,'Master Database'!$AH$2:$AH$396,"&gt;=4",'Master Database'!$B$2:$B$396,"LinkedIn"),1),"-")</f>
        <v>19.1</v>
      </c>
      <c r="E11" s="28" t="n">
        <f aca="false">IFERROR(ROUND(AVERAGEIFS('Master Database'!$AE$2:$AE$396,'Master Database'!$S$2:$S$396,$A11,'Master Database'!$AH$2:$AH$396,"&gt;=4",'Master Database'!$B$2:$B$396,"X"),1),"-")</f>
        <v>38.3</v>
      </c>
      <c r="F11" s="28" t="n">
        <f aca="false">IFERROR(ROUND(AVERAGEIFS('Master Database'!$AE$2:$AE$396,'Master Database'!$S$2:$S$396,$A11,'Master Database'!$AH$2:$AH$396,"&gt;=4",'Master Database'!$B$2:$B$396,"Instagram"),1),"-")</f>
        <v>98.7</v>
      </c>
      <c r="G11" s="27" t="s">
        <v>4630</v>
      </c>
      <c r="H11" s="23" t="s">
        <v>1655</v>
      </c>
      <c r="I11" s="27" t="s">
        <v>4631</v>
      </c>
      <c r="J11" s="27" t="s">
        <v>4632</v>
      </c>
      <c r="K11" s="27" t="s">
        <v>4633</v>
      </c>
    </row>
    <row r="12" customFormat="false" ht="75" hidden="false" customHeight="true" outlineLevel="0" collapsed="false">
      <c r="A12" s="26" t="s">
        <v>916</v>
      </c>
      <c r="B12" s="27" t="n">
        <f aca="false">COUNTIFS('Master Database'!$S$2:$S$396,$A12,'Master Database'!$AH$2:$AH$396,"&gt;=4")</f>
        <v>5</v>
      </c>
      <c r="C12" s="28" t="n">
        <f aca="false">IFERROR(ROUND(AVERAGEIFS('Master Database'!$AE$2:$AE$396,'Master Database'!$S$2:$S$396,$A12,'Master Database'!$AH$2:$AH$396,"&gt;=4"),1),"-")</f>
        <v>66.7</v>
      </c>
      <c r="D12" s="28" t="str">
        <f aca="false">IFERROR(ROUND(AVERAGEIFS('Master Database'!$AE$2:$AE$396,'Master Database'!$S$2:$S$396,$A12,'Master Database'!$AH$2:$AH$396,"&gt;=4",'Master Database'!$B$2:$B$396,"LinkedIn"),1),"-")</f>
        <v>-</v>
      </c>
      <c r="E12" s="28" t="str">
        <f aca="false">IFERROR(ROUND(AVERAGEIFS('Master Database'!$AE$2:$AE$396,'Master Database'!$S$2:$S$396,$A12,'Master Database'!$AH$2:$AH$396,"&gt;=4",'Master Database'!$B$2:$B$396,"X"),1),"-")</f>
        <v>-</v>
      </c>
      <c r="F12" s="28" t="n">
        <f aca="false">IFERROR(ROUND(AVERAGEIFS('Master Database'!$AE$2:$AE$396,'Master Database'!$S$2:$S$396,$A12,'Master Database'!$AH$2:$AH$396,"&gt;=4",'Master Database'!$B$2:$B$396,"Instagram"),1),"-")</f>
        <v>66.7</v>
      </c>
      <c r="G12" s="27" t="s">
        <v>4634</v>
      </c>
      <c r="H12" s="23" t="s">
        <v>913</v>
      </c>
      <c r="I12" s="27" t="s">
        <v>4635</v>
      </c>
      <c r="J12" s="27" t="s">
        <v>4636</v>
      </c>
      <c r="K12" s="27" t="s">
        <v>4637</v>
      </c>
    </row>
    <row r="13" customFormat="false" ht="75" hidden="false" customHeight="true" outlineLevel="0" collapsed="false">
      <c r="A13" s="26" t="s">
        <v>569</v>
      </c>
      <c r="B13" s="27" t="n">
        <f aca="false">COUNTIFS('Master Database'!$S$2:$S$396,$A13,'Master Database'!$AH$2:$AH$396,"&gt;=4")</f>
        <v>5</v>
      </c>
      <c r="C13" s="28" t="n">
        <f aca="false">IFERROR(ROUND(AVERAGEIFS('Master Database'!$AE$2:$AE$396,'Master Database'!$S$2:$S$396,$A13,'Master Database'!$AH$2:$AH$396,"&gt;=4"),1),"-")</f>
        <v>24.1</v>
      </c>
      <c r="D13" s="28" t="n">
        <f aca="false">IFERROR(ROUND(AVERAGEIFS('Master Database'!$AE$2:$AE$396,'Master Database'!$S$2:$S$396,$A13,'Master Database'!$AH$2:$AH$396,"&gt;=4",'Master Database'!$B$2:$B$396,"LinkedIn"),1),"-")</f>
        <v>5.9</v>
      </c>
      <c r="E13" s="28" t="n">
        <f aca="false">IFERROR(ROUND(AVERAGEIFS('Master Database'!$AE$2:$AE$396,'Master Database'!$S$2:$S$396,$A13,'Master Database'!$AH$2:$AH$396,"&gt;=4",'Master Database'!$B$2:$B$396,"X"),1),"-")</f>
        <v>4.5</v>
      </c>
      <c r="F13" s="28" t="n">
        <f aca="false">IFERROR(ROUND(AVERAGEIFS('Master Database'!$AE$2:$AE$396,'Master Database'!$S$2:$S$396,$A13,'Master Database'!$AH$2:$AH$396,"&gt;=4",'Master Database'!$B$2:$B$396,"Instagram"),1),"-")</f>
        <v>100</v>
      </c>
      <c r="G13" s="27" t="s">
        <v>4638</v>
      </c>
      <c r="H13" s="23" t="s">
        <v>566</v>
      </c>
      <c r="I13" s="27" t="s">
        <v>4639</v>
      </c>
      <c r="J13" s="27" t="s">
        <v>4640</v>
      </c>
      <c r="K13" s="27" t="s">
        <v>4641</v>
      </c>
    </row>
    <row r="14" customFormat="false" ht="75" hidden="false" customHeight="true" outlineLevel="0" collapsed="false">
      <c r="A14" s="26" t="s">
        <v>906</v>
      </c>
      <c r="B14" s="27" t="n">
        <f aca="false">COUNTIFS('Master Database'!$S$2:$S$396,$A14,'Master Database'!$AH$2:$AH$396,"&gt;=4")</f>
        <v>4</v>
      </c>
      <c r="C14" s="28" t="n">
        <f aca="false">IFERROR(ROUND(AVERAGEIFS('Master Database'!$AE$2:$AE$396,'Master Database'!$S$2:$S$396,$A14,'Master Database'!$AH$2:$AH$396,"&gt;=4"),1),"-")</f>
        <v>56.8</v>
      </c>
      <c r="D14" s="28" t="n">
        <f aca="false">IFERROR(ROUND(AVERAGEIFS('Master Database'!$AE$2:$AE$396,'Master Database'!$S$2:$S$396,$A14,'Master Database'!$AH$2:$AH$396,"&gt;=4",'Master Database'!$B$2:$B$396,"LinkedIn"),1),"-")</f>
        <v>5</v>
      </c>
      <c r="E14" s="28" t="str">
        <f aca="false">IFERROR(ROUND(AVERAGEIFS('Master Database'!$AE$2:$AE$396,'Master Database'!$S$2:$S$396,$A14,'Master Database'!$AH$2:$AH$396,"&gt;=4",'Master Database'!$B$2:$B$396,"X"),1),"-")</f>
        <v>-</v>
      </c>
      <c r="F14" s="28" t="n">
        <f aca="false">IFERROR(ROUND(AVERAGEIFS('Master Database'!$AE$2:$AE$396,'Master Database'!$S$2:$S$396,$A14,'Master Database'!$AH$2:$AH$396,"&gt;=4",'Master Database'!$B$2:$B$396,"Instagram"),1),"-")</f>
        <v>74.1</v>
      </c>
      <c r="G14" s="27" t="s">
        <v>4642</v>
      </c>
      <c r="H14" s="23" t="s">
        <v>903</v>
      </c>
      <c r="I14" s="27" t="s">
        <v>4643</v>
      </c>
      <c r="J14" s="27" t="s">
        <v>4644</v>
      </c>
      <c r="K14" s="27" t="s">
        <v>4645</v>
      </c>
    </row>
    <row r="15" customFormat="false" ht="75" hidden="false" customHeight="true" outlineLevel="0" collapsed="false">
      <c r="A15" s="26" t="s">
        <v>1635</v>
      </c>
      <c r="B15" s="27" t="n">
        <f aca="false">COUNTIFS('Master Database'!$S$2:$S$396,$A15,'Master Database'!$AH$2:$AH$396,"&gt;=4")</f>
        <v>1</v>
      </c>
      <c r="C15" s="28" t="n">
        <f aca="false">IFERROR(ROUND(AVERAGEIFS('Master Database'!$AE$2:$AE$396,'Master Database'!$S$2:$S$396,$A15,'Master Database'!$AH$2:$AH$396,"&gt;=4"),1),"-")</f>
        <v>7.3</v>
      </c>
      <c r="D15" s="28" t="str">
        <f aca="false">IFERROR(ROUND(AVERAGEIFS('Master Database'!$AE$2:$AE$396,'Master Database'!$S$2:$S$396,$A15,'Master Database'!$AH$2:$AH$396,"&gt;=4",'Master Database'!$B$2:$B$396,"LinkedIn"),1),"-")</f>
        <v>-</v>
      </c>
      <c r="E15" s="28" t="str">
        <f aca="false">IFERROR(ROUND(AVERAGEIFS('Master Database'!$AE$2:$AE$396,'Master Database'!$S$2:$S$396,$A15,'Master Database'!$AH$2:$AH$396,"&gt;=4",'Master Database'!$B$2:$B$396,"X"),1),"-")</f>
        <v>-</v>
      </c>
      <c r="F15" s="28" t="n">
        <f aca="false">IFERROR(ROUND(AVERAGEIFS('Master Database'!$AE$2:$AE$396,'Master Database'!$S$2:$S$396,$A15,'Master Database'!$AH$2:$AH$396,"&gt;=4",'Master Database'!$B$2:$B$396,"Instagram"),1),"-")</f>
        <v>7.3</v>
      </c>
      <c r="G15" s="27" t="s">
        <v>4646</v>
      </c>
      <c r="H15" s="23" t="s">
        <v>1899</v>
      </c>
      <c r="I15" s="27" t="s">
        <v>4647</v>
      </c>
      <c r="J15" s="27" t="s">
        <v>4648</v>
      </c>
      <c r="K15" s="27" t="s">
        <v>4649</v>
      </c>
    </row>
    <row r="16" customFormat="false" ht="75" hidden="false" customHeight="true" outlineLevel="0" collapsed="false">
      <c r="A16" s="26" t="s">
        <v>3017</v>
      </c>
      <c r="B16" s="27" t="n">
        <f aca="false">COUNTIFS('Master Database'!$S$2:$S$396,$A16,'Master Database'!$AH$2:$AH$396,"&gt;=4")</f>
        <v>1</v>
      </c>
      <c r="C16" s="28" t="n">
        <f aca="false">IFERROR(ROUND(AVERAGEIFS('Master Database'!$AE$2:$AE$396,'Master Database'!$S$2:$S$396,$A16,'Master Database'!$AH$2:$AH$396,"&gt;=4"),1),"-")</f>
        <v>11.9</v>
      </c>
      <c r="D16" s="28" t="n">
        <f aca="false">IFERROR(ROUND(AVERAGEIFS('Master Database'!$AE$2:$AE$396,'Master Database'!$S$2:$S$396,$A16,'Master Database'!$AH$2:$AH$396,"&gt;=4",'Master Database'!$B$2:$B$396,"LinkedIn"),1),"-")</f>
        <v>11.9</v>
      </c>
      <c r="E16" s="28" t="str">
        <f aca="false">IFERROR(ROUND(AVERAGEIFS('Master Database'!$AE$2:$AE$396,'Master Database'!$S$2:$S$396,$A16,'Master Database'!$AH$2:$AH$396,"&gt;=4",'Master Database'!$B$2:$B$396,"X"),1),"-")</f>
        <v>-</v>
      </c>
      <c r="F16" s="28" t="str">
        <f aca="false">IFERROR(ROUND(AVERAGEIFS('Master Database'!$AE$2:$AE$396,'Master Database'!$S$2:$S$396,$A16,'Master Database'!$AH$2:$AH$396,"&gt;=4",'Master Database'!$B$2:$B$396,"Instagram"),1),"-")</f>
        <v>-</v>
      </c>
      <c r="G16" s="27" t="s">
        <v>4650</v>
      </c>
      <c r="H16" s="23" t="s">
        <v>3021</v>
      </c>
      <c r="I16" s="27" t="s">
        <v>4651</v>
      </c>
      <c r="J16" s="27" t="s">
        <v>4652</v>
      </c>
      <c r="K16" s="27" t="s">
        <v>4653</v>
      </c>
    </row>
    <row r="18" customFormat="false" ht="15" hidden="false" customHeight="false" outlineLevel="0" collapsed="false">
      <c r="A18" s="29" t="s">
        <v>4654</v>
      </c>
    </row>
  </sheetData>
  <conditionalFormatting sqref="C3:F16">
    <cfRule type="colorScale" priority="2">
      <colorScale>
        <cfvo type="min" val="0"/>
        <cfvo type="max" val="0"/>
        <color rgb="FFFFFFFF"/>
        <color rgb="FF63BE7B"/>
      </colorScale>
    </cfRule>
  </conditionalFormatting>
  <hyperlinks>
    <hyperlink ref="H3" r:id="rId1" display="https://www.instagram.com/reel/DeKt5O_Sz9_/"/>
    <hyperlink ref="H4" r:id="rId2" display="https://x.com/fromzerotomill/status/1992916088544256502"/>
    <hyperlink ref="H5" r:id="rId3" display="https://x.com/fromzerotomill/status/2015743611237785804"/>
    <hyperlink ref="H6" r:id="rId4" display="https://x.com/scott_bair/status/2043596395580670401"/>
    <hyperlink ref="H7" r:id="rId5" display="https://www.instagram.com/reel/DbpURTwRL_W/"/>
    <hyperlink ref="H8" r:id="rId6" display="https://www.instagram.com/reel/DYo8Da5PPe3/"/>
    <hyperlink ref="H9" r:id="rId7" display="https://x.com/om_patel5/status/2040295631793635465"/>
    <hyperlink ref="H10" r:id="rId8" display="https://www.instagram.com/reel/DcD3bofMQF1/"/>
    <hyperlink ref="H11" r:id="rId9" display="https://www.linkedin.com/feed/update/urn:li:activity:7455938006865297408"/>
    <hyperlink ref="H12" r:id="rId10" display="https://www.instagram.com/reel/DbOTspij6yZ/"/>
    <hyperlink ref="H13" r:id="rId11" display="https://www.instagram.com/reel/Db8S4BmJlfM/"/>
    <hyperlink ref="H14" r:id="rId12" display="https://www.instagram.com/reel/Ddl5gR1xz9b/"/>
    <hyperlink ref="H15" r:id="rId13" display="https://www.instagram.com/reel/DYN1ENyPIMJ/"/>
    <hyperlink ref="H16" r:id="rId14" display="https://www.linkedin.com/feed/update/urn:li:activity:7452393142810611712"/>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9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22"/>
    <col collapsed="false" customWidth="true" hidden="false" outlineLevel="0" max="4" min="4" style="0" width="20"/>
    <col collapsed="false" customWidth="true" hidden="false" outlineLevel="0" max="5" min="5" style="0" width="10"/>
    <col collapsed="false" customWidth="true" hidden="false" outlineLevel="0" max="6" min="6" style="0" width="8"/>
    <col collapsed="false" customWidth="true" hidden="false" outlineLevel="0" max="8" min="7" style="0" width="9"/>
    <col collapsed="false" customWidth="true" hidden="false" outlineLevel="0" max="9" min="9" style="0" width="8"/>
    <col collapsed="false" customWidth="true" hidden="false" outlineLevel="0" max="10" min="10" style="0" width="24"/>
    <col collapsed="false" customWidth="true" hidden="false" outlineLevel="0" max="11" min="11" style="0" width="55"/>
    <col collapsed="false" customWidth="true" hidden="false" outlineLevel="0" max="12" min="12" style="0" width="32"/>
    <col collapsed="false" customWidth="true" hidden="false" outlineLevel="0" max="13" min="13" style="0" width="55"/>
    <col collapsed="false" customWidth="true" hidden="false" outlineLevel="0" max="14" min="14" style="0" width="14"/>
    <col collapsed="false" customWidth="true" hidden="false" outlineLevel="0" max="15" min="15" style="0" width="28"/>
    <col collapsed="false" customWidth="true" hidden="false" outlineLevel="0" max="16" min="16" style="0" width="10"/>
  </cols>
  <sheetData>
    <row r="1" customFormat="false" ht="15" hidden="false" customHeight="false" outlineLevel="0" collapsed="false">
      <c r="A1" s="25" t="s">
        <v>4655</v>
      </c>
    </row>
    <row r="2" customFormat="false" ht="31.5" hidden="false" customHeight="true" outlineLevel="0" collapsed="false">
      <c r="A2" s="13" t="s">
        <v>178</v>
      </c>
      <c r="B2" s="13" t="s">
        <v>179</v>
      </c>
      <c r="C2" s="13" t="s">
        <v>186</v>
      </c>
      <c r="D2" s="13" t="s">
        <v>187</v>
      </c>
      <c r="E2" s="13" t="s">
        <v>188</v>
      </c>
      <c r="F2" s="13" t="s">
        <v>4656</v>
      </c>
      <c r="G2" s="13" t="s">
        <v>4657</v>
      </c>
      <c r="H2" s="13" t="s">
        <v>4658</v>
      </c>
      <c r="I2" s="13" t="s">
        <v>4659</v>
      </c>
      <c r="J2" s="13" t="s">
        <v>4660</v>
      </c>
      <c r="K2" s="13" t="s">
        <v>4661</v>
      </c>
      <c r="L2" s="13" t="s">
        <v>4662</v>
      </c>
      <c r="M2" s="13" t="s">
        <v>4663</v>
      </c>
      <c r="N2" s="13" t="s">
        <v>181</v>
      </c>
      <c r="O2" s="13" t="s">
        <v>4664</v>
      </c>
      <c r="P2" s="13" t="s">
        <v>4665</v>
      </c>
    </row>
    <row r="3" customFormat="false" ht="45" hidden="false" customHeight="true" outlineLevel="0" collapsed="false">
      <c r="A3" s="14" t="n">
        <v>1</v>
      </c>
      <c r="B3" s="14" t="s">
        <v>220</v>
      </c>
      <c r="C3" s="14" t="s">
        <v>227</v>
      </c>
      <c r="D3" s="14" t="s">
        <v>228</v>
      </c>
      <c r="E3" s="15" t="n">
        <v>12888</v>
      </c>
      <c r="F3" s="14" t="n">
        <v>2</v>
      </c>
      <c r="G3" s="14" t="n">
        <v>520.9</v>
      </c>
      <c r="H3" s="14" t="n">
        <v>382.3</v>
      </c>
      <c r="I3" s="14" t="n">
        <v>9</v>
      </c>
      <c r="J3" s="14" t="s">
        <v>225</v>
      </c>
      <c r="K3" s="6" t="s">
        <v>413</v>
      </c>
      <c r="L3" s="16" t="s">
        <v>412</v>
      </c>
      <c r="M3" s="6" t="s">
        <v>4666</v>
      </c>
      <c r="N3" s="14" t="s">
        <v>4667</v>
      </c>
      <c r="O3" s="6" t="s">
        <v>4668</v>
      </c>
      <c r="P3" s="20"/>
    </row>
    <row r="4" customFormat="false" ht="45" hidden="false" customHeight="true" outlineLevel="0" collapsed="false">
      <c r="A4" s="14" t="n">
        <v>2</v>
      </c>
      <c r="B4" s="14" t="s">
        <v>247</v>
      </c>
      <c r="C4" s="14" t="s">
        <v>398</v>
      </c>
      <c r="D4" s="14" t="s">
        <v>399</v>
      </c>
      <c r="E4" s="15" t="n">
        <v>57809</v>
      </c>
      <c r="F4" s="14" t="n">
        <v>2</v>
      </c>
      <c r="G4" s="14" t="n">
        <v>219.6</v>
      </c>
      <c r="H4" s="14" t="n">
        <v>123.8</v>
      </c>
      <c r="I4" s="14" t="n">
        <v>9</v>
      </c>
      <c r="J4" s="14" t="s">
        <v>338</v>
      </c>
      <c r="K4" s="6" t="s">
        <v>403</v>
      </c>
      <c r="L4" s="16" t="s">
        <v>402</v>
      </c>
      <c r="M4" s="6" t="s">
        <v>4666</v>
      </c>
      <c r="N4" s="14" t="s">
        <v>4667</v>
      </c>
      <c r="O4" s="6" t="s">
        <v>4668</v>
      </c>
      <c r="P4" s="20"/>
    </row>
    <row r="5" customFormat="false" ht="45" hidden="false" customHeight="true" outlineLevel="0" collapsed="false">
      <c r="A5" s="14" t="n">
        <v>3</v>
      </c>
      <c r="B5" s="14" t="s">
        <v>220</v>
      </c>
      <c r="C5" s="14" t="s">
        <v>421</v>
      </c>
      <c r="D5" s="14" t="s">
        <v>422</v>
      </c>
      <c r="E5" s="15" t="n">
        <v>13265</v>
      </c>
      <c r="F5" s="14" t="n">
        <v>2</v>
      </c>
      <c r="G5" s="14" t="n">
        <v>326.1</v>
      </c>
      <c r="H5" s="14" t="n">
        <v>166.6</v>
      </c>
      <c r="I5" s="14" t="n">
        <v>9</v>
      </c>
      <c r="J5" s="14" t="s">
        <v>322</v>
      </c>
      <c r="K5" s="6" t="s">
        <v>425</v>
      </c>
      <c r="L5" s="16" t="s">
        <v>424</v>
      </c>
      <c r="M5" s="6" t="s">
        <v>4666</v>
      </c>
      <c r="N5" s="14" t="s">
        <v>4667</v>
      </c>
      <c r="O5" s="6" t="s">
        <v>4668</v>
      </c>
      <c r="P5" s="20"/>
    </row>
    <row r="6" customFormat="false" ht="45" hidden="false" customHeight="true" outlineLevel="0" collapsed="false">
      <c r="A6" s="14" t="n">
        <v>4</v>
      </c>
      <c r="B6" s="14" t="s">
        <v>220</v>
      </c>
      <c r="C6" s="14" t="s">
        <v>340</v>
      </c>
      <c r="D6" s="14" t="s">
        <v>341</v>
      </c>
      <c r="E6" s="15" t="n">
        <v>5044</v>
      </c>
      <c r="F6" s="14" t="n">
        <v>3</v>
      </c>
      <c r="G6" s="14" t="n">
        <v>240.5</v>
      </c>
      <c r="H6" s="14" t="n">
        <v>10.4</v>
      </c>
      <c r="I6" s="14" t="n">
        <v>8.5</v>
      </c>
      <c r="J6" s="14" t="s">
        <v>338</v>
      </c>
      <c r="K6" s="6" t="s">
        <v>344</v>
      </c>
      <c r="L6" s="16" t="s">
        <v>343</v>
      </c>
      <c r="M6" s="6" t="s">
        <v>4669</v>
      </c>
      <c r="N6" s="14" t="s">
        <v>4667</v>
      </c>
      <c r="O6" s="6" t="s">
        <v>4668</v>
      </c>
      <c r="P6" s="20"/>
    </row>
    <row r="7" customFormat="false" ht="45" hidden="false" customHeight="true" outlineLevel="0" collapsed="false">
      <c r="A7" s="14" t="n">
        <v>5</v>
      </c>
      <c r="B7" s="14" t="s">
        <v>374</v>
      </c>
      <c r="C7" s="14" t="s">
        <v>377</v>
      </c>
      <c r="D7" s="14" t="s">
        <v>378</v>
      </c>
      <c r="E7" s="15" t="n">
        <v>18671</v>
      </c>
      <c r="F7" s="14" t="n">
        <v>4</v>
      </c>
      <c r="G7" s="14" t="n">
        <v>111.5</v>
      </c>
      <c r="H7" s="14" t="n">
        <v>36.6</v>
      </c>
      <c r="I7" s="14" t="n">
        <v>7.5</v>
      </c>
      <c r="J7" s="14" t="s">
        <v>375</v>
      </c>
      <c r="K7" s="6" t="s">
        <v>520</v>
      </c>
      <c r="L7" s="16" t="s">
        <v>519</v>
      </c>
      <c r="M7" s="6" t="s">
        <v>4670</v>
      </c>
      <c r="N7" s="14" t="s">
        <v>4667</v>
      </c>
      <c r="O7" s="6" t="s">
        <v>4668</v>
      </c>
      <c r="P7" s="20"/>
    </row>
    <row r="8" customFormat="false" ht="45" hidden="false" customHeight="true" outlineLevel="0" collapsed="false">
      <c r="A8" s="14" t="n">
        <v>6</v>
      </c>
      <c r="B8" s="14" t="s">
        <v>220</v>
      </c>
      <c r="C8" s="14" t="s">
        <v>473</v>
      </c>
      <c r="D8" s="14" t="s">
        <v>474</v>
      </c>
      <c r="E8" s="15" t="n">
        <v>23968</v>
      </c>
      <c r="F8" s="14" t="n">
        <v>2</v>
      </c>
      <c r="G8" s="14" t="n">
        <v>225.7</v>
      </c>
      <c r="H8" s="14" t="n">
        <v>127.7</v>
      </c>
      <c r="I8" s="14" t="n">
        <v>7</v>
      </c>
      <c r="J8" s="14" t="s">
        <v>308</v>
      </c>
      <c r="K8" s="6" t="s">
        <v>1235</v>
      </c>
      <c r="L8" s="16" t="s">
        <v>1234</v>
      </c>
      <c r="M8" s="6" t="s">
        <v>4666</v>
      </c>
      <c r="N8" s="14" t="s">
        <v>4667</v>
      </c>
      <c r="O8" s="6" t="s">
        <v>4668</v>
      </c>
      <c r="P8" s="20"/>
    </row>
    <row r="9" customFormat="false" ht="45" hidden="false" customHeight="true" outlineLevel="0" collapsed="false">
      <c r="A9" s="14" t="n">
        <v>7</v>
      </c>
      <c r="B9" s="14" t="s">
        <v>220</v>
      </c>
      <c r="C9" s="14" t="s">
        <v>353</v>
      </c>
      <c r="D9" s="14" t="s">
        <v>354</v>
      </c>
      <c r="E9" s="15" t="n">
        <v>13338</v>
      </c>
      <c r="F9" s="14" t="n">
        <v>2</v>
      </c>
      <c r="G9" s="14" t="n">
        <v>298.1</v>
      </c>
      <c r="H9" s="14" t="n">
        <v>216.1</v>
      </c>
      <c r="I9" s="14" t="n">
        <v>6.9</v>
      </c>
      <c r="J9" s="14" t="s">
        <v>322</v>
      </c>
      <c r="K9" s="6" t="s">
        <v>778</v>
      </c>
      <c r="L9" s="16" t="s">
        <v>777</v>
      </c>
      <c r="M9" s="6" t="s">
        <v>4666</v>
      </c>
      <c r="N9" s="14" t="s">
        <v>4667</v>
      </c>
      <c r="O9" s="6" t="s">
        <v>4668</v>
      </c>
      <c r="P9" s="20"/>
    </row>
    <row r="10" customFormat="false" ht="45" hidden="false" customHeight="true" outlineLevel="0" collapsed="false">
      <c r="A10" s="14" t="n">
        <v>8</v>
      </c>
      <c r="B10" s="14" t="s">
        <v>220</v>
      </c>
      <c r="C10" s="14" t="s">
        <v>507</v>
      </c>
      <c r="D10" s="14" t="s">
        <v>508</v>
      </c>
      <c r="E10" s="15" t="n">
        <v>12398</v>
      </c>
      <c r="F10" s="14" t="n">
        <v>4</v>
      </c>
      <c r="G10" s="14" t="n">
        <v>138.8</v>
      </c>
      <c r="H10" s="14" t="n">
        <v>66</v>
      </c>
      <c r="I10" s="14" t="n">
        <v>6.2</v>
      </c>
      <c r="J10" s="14" t="s">
        <v>308</v>
      </c>
      <c r="K10" s="6" t="s">
        <v>1085</v>
      </c>
      <c r="L10" s="16" t="s">
        <v>1084</v>
      </c>
      <c r="M10" s="6" t="s">
        <v>4670</v>
      </c>
      <c r="N10" s="14" t="s">
        <v>4667</v>
      </c>
      <c r="O10" s="6" t="s">
        <v>4668</v>
      </c>
      <c r="P10" s="20"/>
    </row>
    <row r="11" customFormat="false" ht="45" hidden="false" customHeight="true" outlineLevel="0" collapsed="false">
      <c r="A11" s="14" t="n">
        <v>9</v>
      </c>
      <c r="B11" s="14" t="s">
        <v>220</v>
      </c>
      <c r="C11" s="14" t="s">
        <v>648</v>
      </c>
      <c r="D11" s="14" t="s">
        <v>649</v>
      </c>
      <c r="E11" s="15" t="n">
        <v>12481</v>
      </c>
      <c r="F11" s="14" t="n">
        <v>2</v>
      </c>
      <c r="G11" s="14" t="n">
        <v>213.1</v>
      </c>
      <c r="H11" s="14" t="n">
        <v>132.1</v>
      </c>
      <c r="I11" s="14" t="n">
        <v>6</v>
      </c>
      <c r="J11" s="14" t="s">
        <v>225</v>
      </c>
      <c r="K11" s="6" t="s">
        <v>730</v>
      </c>
      <c r="L11" s="16" t="s">
        <v>729</v>
      </c>
      <c r="M11" s="6" t="s">
        <v>4666</v>
      </c>
      <c r="N11" s="14" t="s">
        <v>4667</v>
      </c>
      <c r="O11" s="6" t="s">
        <v>4668</v>
      </c>
      <c r="P11" s="20"/>
    </row>
    <row r="12" customFormat="false" ht="45" hidden="false" customHeight="true" outlineLevel="0" collapsed="false">
      <c r="A12" s="14" t="n">
        <v>10</v>
      </c>
      <c r="B12" s="14" t="s">
        <v>247</v>
      </c>
      <c r="C12" s="14" t="s">
        <v>637</v>
      </c>
      <c r="D12" s="14" t="s">
        <v>638</v>
      </c>
      <c r="E12" s="15" t="n">
        <v>20800</v>
      </c>
      <c r="F12" s="14" t="n">
        <v>2</v>
      </c>
      <c r="G12" s="14" t="n">
        <v>629.2</v>
      </c>
      <c r="H12" s="14" t="n">
        <v>384.7</v>
      </c>
      <c r="I12" s="14" t="n">
        <v>5.6</v>
      </c>
      <c r="J12" s="14" t="s">
        <v>635</v>
      </c>
      <c r="K12" s="6" t="s">
        <v>640</v>
      </c>
      <c r="L12" s="16" t="s">
        <v>972</v>
      </c>
      <c r="M12" s="6" t="s">
        <v>4666</v>
      </c>
      <c r="N12" s="14" t="s">
        <v>4667</v>
      </c>
      <c r="O12" s="6" t="s">
        <v>4671</v>
      </c>
      <c r="P12" s="20"/>
    </row>
    <row r="13" customFormat="false" ht="45" hidden="false" customHeight="true" outlineLevel="0" collapsed="false">
      <c r="A13" s="14" t="n">
        <v>11</v>
      </c>
      <c r="B13" s="14" t="s">
        <v>247</v>
      </c>
      <c r="C13" s="14" t="s">
        <v>526</v>
      </c>
      <c r="D13" s="14" t="s">
        <v>527</v>
      </c>
      <c r="E13" s="15" t="n">
        <v>31371</v>
      </c>
      <c r="F13" s="14" t="n">
        <v>2</v>
      </c>
      <c r="G13" s="14" t="n">
        <v>81.9</v>
      </c>
      <c r="H13" s="14" t="n">
        <v>53.3</v>
      </c>
      <c r="I13" s="14" t="n">
        <v>6</v>
      </c>
      <c r="J13" s="14" t="s">
        <v>308</v>
      </c>
      <c r="K13" s="6" t="s">
        <v>530</v>
      </c>
      <c r="L13" s="16" t="s">
        <v>529</v>
      </c>
      <c r="M13" s="6" t="s">
        <v>4666</v>
      </c>
      <c r="N13" s="14" t="s">
        <v>4667</v>
      </c>
      <c r="O13" s="6" t="s">
        <v>4668</v>
      </c>
      <c r="P13" s="20"/>
    </row>
    <row r="14" customFormat="false" ht="45" hidden="false" customHeight="true" outlineLevel="0" collapsed="false">
      <c r="A14" s="14" t="n">
        <v>12</v>
      </c>
      <c r="B14" s="14" t="s">
        <v>374</v>
      </c>
      <c r="C14" s="14" t="s">
        <v>1680</v>
      </c>
      <c r="D14" s="14" t="s">
        <v>1681</v>
      </c>
      <c r="E14" s="15" t="n">
        <v>75817</v>
      </c>
      <c r="F14" s="14" t="n">
        <v>2</v>
      </c>
      <c r="G14" s="14" t="n">
        <v>73.6</v>
      </c>
      <c r="H14" s="14" t="n">
        <v>56.9</v>
      </c>
      <c r="I14" s="14" t="n">
        <v>6.5</v>
      </c>
      <c r="J14" s="14" t="s">
        <v>225</v>
      </c>
      <c r="K14" s="6" t="s">
        <v>2146</v>
      </c>
      <c r="L14" s="16" t="s">
        <v>2145</v>
      </c>
      <c r="M14" s="6" t="s">
        <v>4666</v>
      </c>
      <c r="N14" s="14" t="s">
        <v>4667</v>
      </c>
      <c r="O14" s="6" t="s">
        <v>4668</v>
      </c>
      <c r="P14" s="20"/>
    </row>
    <row r="15" customFormat="false" ht="45" hidden="false" customHeight="true" outlineLevel="0" collapsed="false">
      <c r="A15" s="14" t="n">
        <v>13</v>
      </c>
      <c r="B15" s="14" t="s">
        <v>220</v>
      </c>
      <c r="C15" s="14" t="s">
        <v>963</v>
      </c>
      <c r="D15" s="14" t="s">
        <v>964</v>
      </c>
      <c r="E15" s="15" t="n">
        <v>13198</v>
      </c>
      <c r="F15" s="14" t="n">
        <v>2</v>
      </c>
      <c r="G15" s="14" t="n">
        <v>895.8</v>
      </c>
      <c r="H15" s="14" t="n">
        <v>465.2</v>
      </c>
      <c r="I15" s="14" t="n">
        <v>4.8</v>
      </c>
      <c r="J15" s="14" t="s">
        <v>322</v>
      </c>
      <c r="K15" s="6" t="s">
        <v>967</v>
      </c>
      <c r="L15" s="16" t="s">
        <v>966</v>
      </c>
      <c r="M15" s="6" t="s">
        <v>4666</v>
      </c>
      <c r="N15" s="14" t="s">
        <v>4667</v>
      </c>
      <c r="O15" s="6" t="s">
        <v>4671</v>
      </c>
      <c r="P15" s="20"/>
    </row>
    <row r="16" customFormat="false" ht="45" hidden="false" customHeight="true" outlineLevel="0" collapsed="false">
      <c r="A16" s="14" t="n">
        <v>14</v>
      </c>
      <c r="B16" s="14" t="s">
        <v>220</v>
      </c>
      <c r="C16" s="14" t="s">
        <v>310</v>
      </c>
      <c r="D16" s="14" t="s">
        <v>311</v>
      </c>
      <c r="E16" s="15" t="n">
        <v>10660</v>
      </c>
      <c r="F16" s="14" t="n">
        <v>6</v>
      </c>
      <c r="G16" s="14" t="n">
        <v>48</v>
      </c>
      <c r="H16" s="14" t="n">
        <v>37.8</v>
      </c>
      <c r="I16" s="14" t="n">
        <v>9.3</v>
      </c>
      <c r="J16" s="14" t="s">
        <v>225</v>
      </c>
      <c r="K16" s="6" t="s">
        <v>314</v>
      </c>
      <c r="L16" s="16" t="s">
        <v>313</v>
      </c>
      <c r="M16" s="6" t="s">
        <v>4672</v>
      </c>
      <c r="N16" s="14" t="s">
        <v>4667</v>
      </c>
      <c r="O16" s="6" t="s">
        <v>4668</v>
      </c>
      <c r="P16" s="20"/>
    </row>
    <row r="17" customFormat="false" ht="45" hidden="false" customHeight="true" outlineLevel="0" collapsed="false">
      <c r="A17" s="14" t="n">
        <v>15</v>
      </c>
      <c r="B17" s="14" t="s">
        <v>220</v>
      </c>
      <c r="C17" s="14" t="s">
        <v>863</v>
      </c>
      <c r="D17" s="14" t="s">
        <v>864</v>
      </c>
      <c r="E17" s="15" t="n">
        <v>20541</v>
      </c>
      <c r="F17" s="14" t="n">
        <v>2</v>
      </c>
      <c r="G17" s="14" t="n">
        <v>103.9</v>
      </c>
      <c r="H17" s="14" t="n">
        <v>76.5</v>
      </c>
      <c r="I17" s="14" t="n">
        <v>4.5</v>
      </c>
      <c r="J17" s="14" t="s">
        <v>225</v>
      </c>
      <c r="K17" s="6" t="s">
        <v>867</v>
      </c>
      <c r="L17" s="16" t="s">
        <v>866</v>
      </c>
      <c r="M17" s="6" t="s">
        <v>4666</v>
      </c>
      <c r="N17" s="14" t="s">
        <v>4667</v>
      </c>
      <c r="O17" s="6" t="s">
        <v>4671</v>
      </c>
      <c r="P17" s="20"/>
    </row>
    <row r="18" customFormat="false" ht="45" hidden="false" customHeight="true" outlineLevel="0" collapsed="false">
      <c r="A18" s="14" t="n">
        <v>16</v>
      </c>
      <c r="B18" s="14" t="s">
        <v>247</v>
      </c>
      <c r="C18" s="14" t="s">
        <v>460</v>
      </c>
      <c r="D18" s="14" t="s">
        <v>461</v>
      </c>
      <c r="E18" s="15" t="n">
        <v>46241</v>
      </c>
      <c r="F18" s="14" t="n">
        <v>4</v>
      </c>
      <c r="G18" s="14" t="n">
        <v>48.1</v>
      </c>
      <c r="H18" s="14" t="n">
        <v>18.9</v>
      </c>
      <c r="I18" s="14" t="n">
        <v>8.8</v>
      </c>
      <c r="J18" s="14" t="s">
        <v>322</v>
      </c>
      <c r="K18" s="6" t="s">
        <v>464</v>
      </c>
      <c r="L18" s="16" t="s">
        <v>463</v>
      </c>
      <c r="M18" s="6" t="s">
        <v>4670</v>
      </c>
      <c r="N18" s="14" t="s">
        <v>4667</v>
      </c>
      <c r="O18" s="6" t="s">
        <v>4668</v>
      </c>
      <c r="P18" s="20"/>
    </row>
    <row r="19" customFormat="false" ht="45" hidden="false" customHeight="true" outlineLevel="0" collapsed="false">
      <c r="A19" s="14" t="n">
        <v>17</v>
      </c>
      <c r="B19" s="14" t="s">
        <v>374</v>
      </c>
      <c r="C19" s="14" t="s">
        <v>1652</v>
      </c>
      <c r="D19" s="14" t="s">
        <v>1653</v>
      </c>
      <c r="E19" s="15" t="n">
        <v>66923</v>
      </c>
      <c r="F19" s="14" t="n">
        <v>2</v>
      </c>
      <c r="G19" s="14" t="n">
        <v>61.9</v>
      </c>
      <c r="H19" s="14" t="n">
        <v>37.7</v>
      </c>
      <c r="I19" s="14" t="n">
        <v>6.8</v>
      </c>
      <c r="J19" s="14" t="s">
        <v>308</v>
      </c>
      <c r="K19" s="6" t="s">
        <v>1656</v>
      </c>
      <c r="L19" s="16" t="s">
        <v>1655</v>
      </c>
      <c r="M19" s="6" t="s">
        <v>4666</v>
      </c>
      <c r="N19" s="14" t="s">
        <v>4667</v>
      </c>
      <c r="O19" s="6" t="s">
        <v>4668</v>
      </c>
      <c r="P19" s="20"/>
    </row>
    <row r="20" customFormat="false" ht="45" hidden="false" customHeight="true" outlineLevel="0" collapsed="false">
      <c r="A20" s="14" t="n">
        <v>18</v>
      </c>
      <c r="B20" s="14" t="s">
        <v>220</v>
      </c>
      <c r="C20" s="14" t="s">
        <v>324</v>
      </c>
      <c r="D20" s="14" t="s">
        <v>325</v>
      </c>
      <c r="E20" s="15" t="n">
        <v>22306</v>
      </c>
      <c r="F20" s="14" t="n">
        <v>2</v>
      </c>
      <c r="G20" s="14" t="n">
        <v>47.1</v>
      </c>
      <c r="H20" s="14" t="n">
        <v>36.9</v>
      </c>
      <c r="I20" s="14" t="n">
        <v>8.4</v>
      </c>
      <c r="J20" s="14" t="s">
        <v>322</v>
      </c>
      <c r="K20" s="6" t="s">
        <v>328</v>
      </c>
      <c r="L20" s="16" t="s">
        <v>327</v>
      </c>
      <c r="M20" s="6" t="s">
        <v>4666</v>
      </c>
      <c r="N20" s="14" t="s">
        <v>4667</v>
      </c>
      <c r="O20" s="6" t="s">
        <v>4668</v>
      </c>
      <c r="P20" s="20"/>
    </row>
    <row r="21" customFormat="false" ht="45" hidden="false" customHeight="true" outlineLevel="0" collapsed="false">
      <c r="A21" s="14" t="n">
        <v>19</v>
      </c>
      <c r="B21" s="14" t="s">
        <v>247</v>
      </c>
      <c r="C21" s="14" t="s">
        <v>1836</v>
      </c>
      <c r="D21" s="14" t="s">
        <v>1837</v>
      </c>
      <c r="E21" s="15" t="n">
        <v>30874</v>
      </c>
      <c r="F21" s="14" t="n">
        <v>2</v>
      </c>
      <c r="G21" s="14" t="n">
        <v>82</v>
      </c>
      <c r="H21" s="14" t="n">
        <v>45</v>
      </c>
      <c r="I21" s="14" t="n">
        <v>4.5</v>
      </c>
      <c r="J21" s="14" t="s">
        <v>322</v>
      </c>
      <c r="K21" s="6" t="s">
        <v>1840</v>
      </c>
      <c r="L21" s="16" t="s">
        <v>1839</v>
      </c>
      <c r="M21" s="6" t="s">
        <v>4666</v>
      </c>
      <c r="N21" s="14" t="s">
        <v>4667</v>
      </c>
      <c r="O21" s="6" t="s">
        <v>4671</v>
      </c>
      <c r="P21" s="20"/>
    </row>
    <row r="22" customFormat="false" ht="45" hidden="false" customHeight="true" outlineLevel="0" collapsed="false">
      <c r="A22" s="14" t="n">
        <v>20</v>
      </c>
      <c r="B22" s="14" t="s">
        <v>374</v>
      </c>
      <c r="C22" s="14" t="s">
        <v>659</v>
      </c>
      <c r="D22" s="14" t="s">
        <v>660</v>
      </c>
      <c r="E22" s="15" t="n">
        <v>12673</v>
      </c>
      <c r="F22" s="14" t="n">
        <v>2</v>
      </c>
      <c r="G22" s="14" t="n">
        <v>58.2</v>
      </c>
      <c r="H22" s="14" t="n">
        <v>44.8</v>
      </c>
      <c r="I22" s="14" t="n">
        <v>6</v>
      </c>
      <c r="J22" s="14" t="s">
        <v>225</v>
      </c>
      <c r="K22" s="6" t="s">
        <v>663</v>
      </c>
      <c r="L22" s="16" t="s">
        <v>662</v>
      </c>
      <c r="M22" s="6" t="s">
        <v>4666</v>
      </c>
      <c r="N22" s="14" t="s">
        <v>4667</v>
      </c>
      <c r="O22" s="6" t="s">
        <v>4668</v>
      </c>
      <c r="P22" s="20"/>
    </row>
    <row r="23" customFormat="false" ht="45" hidden="false" customHeight="true" outlineLevel="0" collapsed="false">
      <c r="A23" s="14" t="n">
        <v>21</v>
      </c>
      <c r="B23" s="14" t="s">
        <v>247</v>
      </c>
      <c r="C23" s="14" t="s">
        <v>625</v>
      </c>
      <c r="D23" s="14" t="s">
        <v>626</v>
      </c>
      <c r="E23" s="15" t="n">
        <v>25875</v>
      </c>
      <c r="F23" s="14" t="n">
        <v>2</v>
      </c>
      <c r="G23" s="14" t="n">
        <v>46.9</v>
      </c>
      <c r="H23" s="14" t="n">
        <v>33.5</v>
      </c>
      <c r="I23" s="14" t="n">
        <v>6.5</v>
      </c>
      <c r="J23" s="14" t="s">
        <v>375</v>
      </c>
      <c r="K23" s="6" t="s">
        <v>1734</v>
      </c>
      <c r="L23" s="16" t="s">
        <v>1733</v>
      </c>
      <c r="M23" s="6" t="s">
        <v>4666</v>
      </c>
      <c r="N23" s="14" t="s">
        <v>4667</v>
      </c>
      <c r="O23" s="6" t="s">
        <v>4668</v>
      </c>
      <c r="P23" s="20"/>
    </row>
    <row r="24" customFormat="false" ht="45" hidden="false" customHeight="true" outlineLevel="0" collapsed="false">
      <c r="A24" s="14" t="n">
        <v>22</v>
      </c>
      <c r="B24" s="14" t="s">
        <v>374</v>
      </c>
      <c r="C24" s="14" t="s">
        <v>2007</v>
      </c>
      <c r="D24" s="14" t="s">
        <v>2008</v>
      </c>
      <c r="E24" s="15" t="n">
        <v>100285</v>
      </c>
      <c r="F24" s="14" t="n">
        <v>17</v>
      </c>
      <c r="G24" s="14" t="n">
        <v>38</v>
      </c>
      <c r="H24" s="14" t="n">
        <v>20.4</v>
      </c>
      <c r="I24" s="14" t="n">
        <v>6</v>
      </c>
      <c r="J24" s="14" t="s">
        <v>225</v>
      </c>
      <c r="K24" s="6" t="s">
        <v>2012</v>
      </c>
      <c r="L24" s="16" t="s">
        <v>2011</v>
      </c>
      <c r="M24" s="6" t="s">
        <v>4673</v>
      </c>
      <c r="N24" s="14" t="s">
        <v>4667</v>
      </c>
      <c r="O24" s="6" t="s">
        <v>4668</v>
      </c>
      <c r="P24" s="20"/>
    </row>
    <row r="25" customFormat="false" ht="45" hidden="false" customHeight="true" outlineLevel="0" collapsed="false">
      <c r="A25" s="14" t="n">
        <v>23</v>
      </c>
      <c r="B25" s="14" t="s">
        <v>374</v>
      </c>
      <c r="C25" s="14" t="s">
        <v>2081</v>
      </c>
      <c r="D25" s="14" t="s">
        <v>2082</v>
      </c>
      <c r="E25" s="15" t="n">
        <v>75589</v>
      </c>
      <c r="F25" s="14" t="n">
        <v>2</v>
      </c>
      <c r="G25" s="14" t="n">
        <v>25.6</v>
      </c>
      <c r="H25" s="14" t="n">
        <v>20.6</v>
      </c>
      <c r="I25" s="14" t="n">
        <v>7.7</v>
      </c>
      <c r="J25" s="14" t="s">
        <v>586</v>
      </c>
      <c r="K25" s="6" t="s">
        <v>2861</v>
      </c>
      <c r="L25" s="16" t="s">
        <v>2860</v>
      </c>
      <c r="M25" s="6" t="s">
        <v>4666</v>
      </c>
      <c r="N25" s="14" t="s">
        <v>4667</v>
      </c>
      <c r="O25" s="6" t="s">
        <v>4668</v>
      </c>
      <c r="P25" s="20"/>
    </row>
    <row r="26" customFormat="false" ht="45" hidden="false" customHeight="true" outlineLevel="0" collapsed="false">
      <c r="A26" s="14" t="n">
        <v>24</v>
      </c>
      <c r="B26" s="14" t="s">
        <v>247</v>
      </c>
      <c r="C26" s="14" t="s">
        <v>758</v>
      </c>
      <c r="D26" s="14" t="s">
        <v>759</v>
      </c>
      <c r="E26" s="15" t="n">
        <v>29839</v>
      </c>
      <c r="F26" s="14" t="n">
        <v>2</v>
      </c>
      <c r="G26" s="14" t="n">
        <v>14.4</v>
      </c>
      <c r="H26" s="14" t="n">
        <v>13.2</v>
      </c>
      <c r="I26" s="14" t="n">
        <v>10</v>
      </c>
      <c r="J26" s="14" t="s">
        <v>225</v>
      </c>
      <c r="K26" s="6" t="s">
        <v>762</v>
      </c>
      <c r="L26" s="16" t="s">
        <v>761</v>
      </c>
      <c r="M26" s="6" t="s">
        <v>4666</v>
      </c>
      <c r="N26" s="14" t="s">
        <v>4667</v>
      </c>
      <c r="O26" s="6" t="s">
        <v>4668</v>
      </c>
      <c r="P26" s="20"/>
    </row>
    <row r="27" customFormat="false" ht="45" hidden="false" customHeight="true" outlineLevel="0" collapsed="false">
      <c r="A27" s="14" t="n">
        <v>25</v>
      </c>
      <c r="B27" s="14" t="s">
        <v>374</v>
      </c>
      <c r="C27" s="14" t="s">
        <v>2400</v>
      </c>
      <c r="D27" s="14" t="s">
        <v>2401</v>
      </c>
      <c r="E27" s="15" t="n">
        <v>81925</v>
      </c>
      <c r="F27" s="14" t="n">
        <v>2</v>
      </c>
      <c r="G27" s="14" t="n">
        <v>20.6</v>
      </c>
      <c r="H27" s="14" t="n">
        <v>20.6</v>
      </c>
      <c r="I27" s="14" t="n">
        <v>7.5</v>
      </c>
      <c r="J27" s="14" t="s">
        <v>586</v>
      </c>
      <c r="K27" s="6" t="s">
        <v>2403</v>
      </c>
      <c r="L27" s="16" t="s">
        <v>2402</v>
      </c>
      <c r="M27" s="6" t="s">
        <v>4666</v>
      </c>
      <c r="N27" s="14" t="s">
        <v>4667</v>
      </c>
      <c r="O27" s="6" t="s">
        <v>4668</v>
      </c>
      <c r="P27" s="20"/>
    </row>
    <row r="28" customFormat="false" ht="45" hidden="false" customHeight="true" outlineLevel="0" collapsed="false">
      <c r="A28" s="14" t="n">
        <v>26</v>
      </c>
      <c r="B28" s="14" t="s">
        <v>220</v>
      </c>
      <c r="C28" s="14" t="s">
        <v>588</v>
      </c>
      <c r="D28" s="14" t="s">
        <v>589</v>
      </c>
      <c r="E28" s="15" t="n">
        <v>6256</v>
      </c>
      <c r="F28" s="14" t="n">
        <v>3</v>
      </c>
      <c r="G28" s="14" t="n">
        <v>24.6</v>
      </c>
      <c r="H28" s="14" t="n">
        <v>15.5</v>
      </c>
      <c r="I28" s="14" t="n">
        <v>6.2</v>
      </c>
      <c r="J28" s="14" t="s">
        <v>586</v>
      </c>
      <c r="K28" s="6" t="s">
        <v>592</v>
      </c>
      <c r="L28" s="16" t="s">
        <v>591</v>
      </c>
      <c r="M28" s="6" t="s">
        <v>4669</v>
      </c>
      <c r="N28" s="14" t="s">
        <v>4667</v>
      </c>
      <c r="O28" s="6" t="s">
        <v>4668</v>
      </c>
      <c r="P28" s="20"/>
    </row>
    <row r="29" customFormat="false" ht="45" hidden="false" customHeight="true" outlineLevel="0" collapsed="false">
      <c r="A29" s="14" t="n">
        <v>27</v>
      </c>
      <c r="B29" s="14" t="s">
        <v>220</v>
      </c>
      <c r="C29" s="14" t="s">
        <v>1092</v>
      </c>
      <c r="D29" s="14" t="s">
        <v>1093</v>
      </c>
      <c r="E29" s="15" t="n">
        <v>17119</v>
      </c>
      <c r="F29" s="14" t="n">
        <v>5</v>
      </c>
      <c r="G29" s="14" t="n">
        <v>18.8</v>
      </c>
      <c r="H29" s="14" t="n">
        <v>2.8</v>
      </c>
      <c r="I29" s="14" t="n">
        <v>7.6</v>
      </c>
      <c r="J29" s="14" t="s">
        <v>586</v>
      </c>
      <c r="K29" s="6" t="s">
        <v>2824</v>
      </c>
      <c r="L29" s="16" t="s">
        <v>2823</v>
      </c>
      <c r="M29" s="6" t="s">
        <v>4674</v>
      </c>
      <c r="N29" s="14" t="s">
        <v>4667</v>
      </c>
      <c r="O29" s="6" t="s">
        <v>4668</v>
      </c>
      <c r="P29" s="20"/>
    </row>
    <row r="30" customFormat="false" ht="45" hidden="false" customHeight="true" outlineLevel="0" collapsed="false">
      <c r="A30" s="14" t="n">
        <v>28</v>
      </c>
      <c r="B30" s="14" t="s">
        <v>247</v>
      </c>
      <c r="C30" s="14" t="s">
        <v>1366</v>
      </c>
      <c r="D30" s="14" t="s">
        <v>1367</v>
      </c>
      <c r="E30" s="15" t="n">
        <v>56086</v>
      </c>
      <c r="F30" s="14" t="n">
        <v>2</v>
      </c>
      <c r="G30" s="14" t="n">
        <v>16.2</v>
      </c>
      <c r="H30" s="14" t="n">
        <v>14.4</v>
      </c>
      <c r="I30" s="14" t="n">
        <v>8.5</v>
      </c>
      <c r="J30" s="14" t="s">
        <v>308</v>
      </c>
      <c r="K30" s="6"/>
      <c r="L30" s="16" t="s">
        <v>2226</v>
      </c>
      <c r="M30" s="6" t="s">
        <v>4666</v>
      </c>
      <c r="N30" s="14" t="s">
        <v>4667</v>
      </c>
      <c r="O30" s="6" t="s">
        <v>4668</v>
      </c>
      <c r="P30" s="20"/>
    </row>
    <row r="31" customFormat="false" ht="45" hidden="false" customHeight="true" outlineLevel="0" collapsed="false">
      <c r="A31" s="14" t="n">
        <v>29</v>
      </c>
      <c r="B31" s="14" t="s">
        <v>247</v>
      </c>
      <c r="C31" s="14" t="s">
        <v>1343</v>
      </c>
      <c r="D31" s="14" t="s">
        <v>1344</v>
      </c>
      <c r="E31" s="15" t="n">
        <v>8200</v>
      </c>
      <c r="F31" s="14" t="n">
        <v>2</v>
      </c>
      <c r="G31" s="14" t="n">
        <v>22.4</v>
      </c>
      <c r="H31" s="14" t="n">
        <v>21.4</v>
      </c>
      <c r="I31" s="14" t="n">
        <v>6</v>
      </c>
      <c r="J31" s="14" t="s">
        <v>375</v>
      </c>
      <c r="K31" s="6" t="s">
        <v>1346</v>
      </c>
      <c r="L31" s="16" t="s">
        <v>1345</v>
      </c>
      <c r="M31" s="6" t="s">
        <v>4666</v>
      </c>
      <c r="N31" s="14" t="s">
        <v>4667</v>
      </c>
      <c r="O31" s="6" t="s">
        <v>4668</v>
      </c>
      <c r="P31" s="20"/>
    </row>
    <row r="32" customFormat="false" ht="45" hidden="false" customHeight="true" outlineLevel="0" collapsed="false">
      <c r="A32" s="14" t="n">
        <v>30</v>
      </c>
      <c r="B32" s="14" t="s">
        <v>374</v>
      </c>
      <c r="C32" s="14" t="s">
        <v>2449</v>
      </c>
      <c r="D32" s="14" t="s">
        <v>2450</v>
      </c>
      <c r="E32" s="15" t="n">
        <v>99262</v>
      </c>
      <c r="F32" s="14" t="n">
        <v>2</v>
      </c>
      <c r="G32" s="14" t="n">
        <v>11</v>
      </c>
      <c r="H32" s="14" t="n">
        <v>11</v>
      </c>
      <c r="I32" s="14" t="n">
        <v>8</v>
      </c>
      <c r="J32" s="14" t="s">
        <v>225</v>
      </c>
      <c r="K32" s="6" t="s">
        <v>2453</v>
      </c>
      <c r="L32" s="16" t="s">
        <v>2452</v>
      </c>
      <c r="M32" s="6" t="s">
        <v>4666</v>
      </c>
      <c r="N32" s="14" t="s">
        <v>4667</v>
      </c>
      <c r="O32" s="6" t="s">
        <v>4668</v>
      </c>
      <c r="P32" s="20"/>
    </row>
    <row r="33" customFormat="false" ht="45" hidden="false" customHeight="true" outlineLevel="0" collapsed="false">
      <c r="A33" s="14" t="n">
        <v>31</v>
      </c>
      <c r="B33" s="14" t="s">
        <v>374</v>
      </c>
      <c r="C33" s="14" t="s">
        <v>2774</v>
      </c>
      <c r="D33" s="14" t="s">
        <v>2775</v>
      </c>
      <c r="E33" s="15" t="n">
        <v>47055</v>
      </c>
      <c r="F33" s="14" t="n">
        <v>2</v>
      </c>
      <c r="G33" s="14" t="n">
        <v>22.7</v>
      </c>
      <c r="H33" s="14" t="n">
        <v>21.3</v>
      </c>
      <c r="I33" s="14" t="n">
        <v>4.5</v>
      </c>
      <c r="J33" s="14" t="s">
        <v>322</v>
      </c>
      <c r="K33" s="6" t="s">
        <v>2946</v>
      </c>
      <c r="L33" s="16" t="s">
        <v>2945</v>
      </c>
      <c r="M33" s="6" t="s">
        <v>4666</v>
      </c>
      <c r="N33" s="14" t="s">
        <v>4667</v>
      </c>
      <c r="O33" s="6" t="s">
        <v>4671</v>
      </c>
      <c r="P33" s="20"/>
    </row>
    <row r="34" customFormat="false" ht="45" hidden="false" customHeight="true" outlineLevel="0" collapsed="false">
      <c r="A34" s="14" t="n">
        <v>32</v>
      </c>
      <c r="B34" s="14" t="s">
        <v>374</v>
      </c>
      <c r="C34" s="14" t="s">
        <v>2266</v>
      </c>
      <c r="D34" s="14" t="s">
        <v>2267</v>
      </c>
      <c r="E34" s="15" t="n">
        <v>37640</v>
      </c>
      <c r="F34" s="14" t="n">
        <v>3</v>
      </c>
      <c r="G34" s="14" t="n">
        <v>13.1</v>
      </c>
      <c r="H34" s="14" t="n">
        <v>13.1</v>
      </c>
      <c r="I34" s="14" t="n">
        <v>6.5</v>
      </c>
      <c r="J34" s="14" t="s">
        <v>225</v>
      </c>
      <c r="K34" s="6" t="s">
        <v>2269</v>
      </c>
      <c r="L34" s="16" t="s">
        <v>2268</v>
      </c>
      <c r="M34" s="6" t="s">
        <v>4669</v>
      </c>
      <c r="N34" s="14" t="s">
        <v>4667</v>
      </c>
      <c r="O34" s="6" t="s">
        <v>4668</v>
      </c>
      <c r="P34" s="20"/>
    </row>
    <row r="35" customFormat="false" ht="45" hidden="false" customHeight="true" outlineLevel="0" collapsed="false">
      <c r="A35" s="14" t="n">
        <v>33</v>
      </c>
      <c r="B35" s="14" t="s">
        <v>247</v>
      </c>
      <c r="C35" s="14" t="s">
        <v>2326</v>
      </c>
      <c r="D35" s="14" t="s">
        <v>2327</v>
      </c>
      <c r="E35" s="15" t="n">
        <v>18133</v>
      </c>
      <c r="F35" s="14" t="n">
        <v>2</v>
      </c>
      <c r="G35" s="14" t="n">
        <v>18.3</v>
      </c>
      <c r="H35" s="14" t="n">
        <v>12</v>
      </c>
      <c r="I35" s="14" t="n">
        <v>4.8</v>
      </c>
      <c r="J35" s="14" t="s">
        <v>308</v>
      </c>
      <c r="K35" s="6" t="s">
        <v>2665</v>
      </c>
      <c r="L35" s="16" t="s">
        <v>2664</v>
      </c>
      <c r="M35" s="6" t="s">
        <v>4666</v>
      </c>
      <c r="N35" s="14" t="s">
        <v>4667</v>
      </c>
      <c r="O35" s="6" t="s">
        <v>4671</v>
      </c>
      <c r="P35" s="20"/>
    </row>
    <row r="36" customFormat="false" ht="45" hidden="false" customHeight="true" outlineLevel="0" collapsed="false">
      <c r="A36" s="14" t="n">
        <v>34</v>
      </c>
      <c r="B36" s="14" t="s">
        <v>374</v>
      </c>
      <c r="C36" s="14" t="s">
        <v>2240</v>
      </c>
      <c r="D36" s="14" t="s">
        <v>2241</v>
      </c>
      <c r="E36" s="15" t="n">
        <v>68759</v>
      </c>
      <c r="F36" s="14" t="n">
        <v>7</v>
      </c>
      <c r="G36" s="14" t="n">
        <v>7.7</v>
      </c>
      <c r="H36" s="14" t="n">
        <v>6.6</v>
      </c>
      <c r="I36" s="14" t="n">
        <v>7.6</v>
      </c>
      <c r="J36" s="14" t="s">
        <v>264</v>
      </c>
      <c r="K36" s="6" t="s">
        <v>2244</v>
      </c>
      <c r="L36" s="16" t="s">
        <v>2243</v>
      </c>
      <c r="M36" s="6" t="s">
        <v>4675</v>
      </c>
      <c r="N36" s="14" t="s">
        <v>4667</v>
      </c>
      <c r="O36" s="6" t="s">
        <v>4668</v>
      </c>
      <c r="P36" s="20"/>
    </row>
    <row r="37" customFormat="false" ht="45" hidden="false" customHeight="true" outlineLevel="0" collapsed="false">
      <c r="A37" s="14" t="n">
        <v>35</v>
      </c>
      <c r="B37" s="14" t="s">
        <v>220</v>
      </c>
      <c r="C37" s="14" t="s">
        <v>1037</v>
      </c>
      <c r="D37" s="14" t="s">
        <v>1038</v>
      </c>
      <c r="E37" s="15" t="n">
        <v>29814</v>
      </c>
      <c r="F37" s="14" t="n">
        <v>2</v>
      </c>
      <c r="G37" s="14" t="n">
        <v>4.4</v>
      </c>
      <c r="H37" s="14" t="n">
        <v>4</v>
      </c>
      <c r="I37" s="14" t="n">
        <v>10</v>
      </c>
      <c r="J37" s="14" t="s">
        <v>322</v>
      </c>
      <c r="K37" s="6" t="s">
        <v>1041</v>
      </c>
      <c r="L37" s="16" t="s">
        <v>1040</v>
      </c>
      <c r="M37" s="6" t="s">
        <v>4666</v>
      </c>
      <c r="N37" s="14" t="s">
        <v>4667</v>
      </c>
      <c r="O37" s="6" t="s">
        <v>4668</v>
      </c>
      <c r="P37" s="20"/>
    </row>
    <row r="38" customFormat="false" ht="45" hidden="false" customHeight="true" outlineLevel="0" collapsed="false">
      <c r="A38" s="14" t="n">
        <v>36</v>
      </c>
      <c r="B38" s="14" t="s">
        <v>220</v>
      </c>
      <c r="C38" s="14" t="s">
        <v>2754</v>
      </c>
      <c r="D38" s="14" t="s">
        <v>2755</v>
      </c>
      <c r="E38" s="15" t="n">
        <v>76503</v>
      </c>
      <c r="F38" s="14" t="n">
        <v>2</v>
      </c>
      <c r="G38" s="14" t="n">
        <v>8.3</v>
      </c>
      <c r="H38" s="14" t="n">
        <v>6.4</v>
      </c>
      <c r="I38" s="14" t="n">
        <v>6.5</v>
      </c>
      <c r="J38" s="14" t="s">
        <v>322</v>
      </c>
      <c r="K38" s="6" t="s">
        <v>3344</v>
      </c>
      <c r="L38" s="16" t="s">
        <v>3343</v>
      </c>
      <c r="M38" s="6" t="s">
        <v>4666</v>
      </c>
      <c r="N38" s="14" t="s">
        <v>4667</v>
      </c>
      <c r="O38" s="6" t="s">
        <v>4668</v>
      </c>
      <c r="P38" s="20"/>
    </row>
    <row r="39" customFormat="false" ht="45" hidden="false" customHeight="true" outlineLevel="0" collapsed="false">
      <c r="A39" s="14" t="n">
        <v>37</v>
      </c>
      <c r="B39" s="14" t="s">
        <v>374</v>
      </c>
      <c r="C39" s="14" t="s">
        <v>1765</v>
      </c>
      <c r="D39" s="14" t="s">
        <v>1766</v>
      </c>
      <c r="E39" s="15" t="n">
        <v>45929</v>
      </c>
      <c r="F39" s="14" t="n">
        <v>2</v>
      </c>
      <c r="G39" s="14" t="n">
        <v>6</v>
      </c>
      <c r="H39" s="14" t="n">
        <v>5.3</v>
      </c>
      <c r="I39" s="14" t="n">
        <v>7.5</v>
      </c>
      <c r="J39" s="14" t="s">
        <v>264</v>
      </c>
      <c r="K39" s="6" t="s">
        <v>3099</v>
      </c>
      <c r="L39" s="16" t="s">
        <v>3098</v>
      </c>
      <c r="M39" s="6" t="s">
        <v>4666</v>
      </c>
      <c r="N39" s="14" t="s">
        <v>4667</v>
      </c>
      <c r="O39" s="6" t="s">
        <v>4668</v>
      </c>
      <c r="P39" s="20"/>
    </row>
    <row r="40" customFormat="false" ht="45" hidden="false" customHeight="true" outlineLevel="0" collapsed="false">
      <c r="A40" s="14" t="n">
        <v>38</v>
      </c>
      <c r="B40" s="14" t="s">
        <v>220</v>
      </c>
      <c r="C40" s="14" t="s">
        <v>2341</v>
      </c>
      <c r="D40" s="14" t="s">
        <v>2342</v>
      </c>
      <c r="E40" s="15" t="n">
        <v>27662</v>
      </c>
      <c r="F40" s="14" t="n">
        <v>2</v>
      </c>
      <c r="G40" s="14" t="n">
        <v>11.5</v>
      </c>
      <c r="H40" s="14" t="n">
        <v>7.3</v>
      </c>
      <c r="I40" s="14" t="n">
        <v>4.7</v>
      </c>
      <c r="J40" s="14" t="s">
        <v>225</v>
      </c>
      <c r="K40" s="6" t="s">
        <v>3026</v>
      </c>
      <c r="L40" s="16" t="s">
        <v>3025</v>
      </c>
      <c r="M40" s="6" t="s">
        <v>4666</v>
      </c>
      <c r="N40" s="14" t="s">
        <v>4667</v>
      </c>
      <c r="O40" s="6" t="s">
        <v>4671</v>
      </c>
      <c r="P40" s="20"/>
    </row>
    <row r="41" customFormat="false" ht="45" hidden="false" customHeight="true" outlineLevel="0" collapsed="false">
      <c r="A41" s="14" t="n">
        <v>39</v>
      </c>
      <c r="B41" s="14" t="s">
        <v>374</v>
      </c>
      <c r="C41" s="14" t="s">
        <v>2764</v>
      </c>
      <c r="D41" s="14" t="s">
        <v>2765</v>
      </c>
      <c r="E41" s="15" t="n">
        <v>56288</v>
      </c>
      <c r="F41" s="14" t="n">
        <v>2</v>
      </c>
      <c r="G41" s="14" t="n">
        <v>8.9</v>
      </c>
      <c r="H41" s="14" t="n">
        <v>6.3</v>
      </c>
      <c r="I41" s="14" t="n">
        <v>5.5</v>
      </c>
      <c r="J41" s="14" t="s">
        <v>322</v>
      </c>
      <c r="K41" s="6" t="s">
        <v>3230</v>
      </c>
      <c r="L41" s="16" t="s">
        <v>3229</v>
      </c>
      <c r="M41" s="6" t="s">
        <v>4666</v>
      </c>
      <c r="N41" s="14" t="s">
        <v>4667</v>
      </c>
      <c r="O41" s="6" t="s">
        <v>4671</v>
      </c>
      <c r="P41" s="20"/>
    </row>
    <row r="42" customFormat="false" ht="45" hidden="false" customHeight="true" outlineLevel="0" collapsed="false">
      <c r="A42" s="14" t="n">
        <v>40</v>
      </c>
      <c r="B42" s="14" t="s">
        <v>374</v>
      </c>
      <c r="C42" s="14" t="s">
        <v>2370</v>
      </c>
      <c r="D42" s="14" t="s">
        <v>2371</v>
      </c>
      <c r="E42" s="15" t="n">
        <v>81732</v>
      </c>
      <c r="F42" s="14" t="n">
        <v>2</v>
      </c>
      <c r="G42" s="14" t="n">
        <v>5.4</v>
      </c>
      <c r="H42" s="14" t="n">
        <v>5.2</v>
      </c>
      <c r="I42" s="14" t="n">
        <v>7</v>
      </c>
      <c r="J42" s="14" t="s">
        <v>225</v>
      </c>
      <c r="K42" s="6" t="s">
        <v>2374</v>
      </c>
      <c r="L42" s="16" t="s">
        <v>2373</v>
      </c>
      <c r="M42" s="6" t="s">
        <v>4666</v>
      </c>
      <c r="N42" s="14" t="s">
        <v>4667</v>
      </c>
      <c r="O42" s="6" t="s">
        <v>4668</v>
      </c>
      <c r="P42" s="20"/>
    </row>
    <row r="43" customFormat="false" ht="45" hidden="false" customHeight="true" outlineLevel="0" collapsed="false">
      <c r="A43" s="14" t="n">
        <v>41</v>
      </c>
      <c r="B43" s="14" t="s">
        <v>374</v>
      </c>
      <c r="C43" s="14" t="s">
        <v>3189</v>
      </c>
      <c r="D43" s="14" t="s">
        <v>3190</v>
      </c>
      <c r="E43" s="15" t="n">
        <v>95779</v>
      </c>
      <c r="F43" s="14" t="n">
        <v>2</v>
      </c>
      <c r="G43" s="14" t="n">
        <v>10.1</v>
      </c>
      <c r="H43" s="14" t="n">
        <v>9.4</v>
      </c>
      <c r="I43" s="14" t="n">
        <v>4.5</v>
      </c>
      <c r="J43" s="14" t="s">
        <v>586</v>
      </c>
      <c r="K43" s="6" t="s">
        <v>3192</v>
      </c>
      <c r="L43" s="16" t="s">
        <v>3191</v>
      </c>
      <c r="M43" s="6" t="s">
        <v>4666</v>
      </c>
      <c r="N43" s="14" t="s">
        <v>4667</v>
      </c>
      <c r="O43" s="6" t="s">
        <v>4671</v>
      </c>
      <c r="P43" s="20"/>
    </row>
    <row r="44" customFormat="false" ht="45" hidden="false" customHeight="true" outlineLevel="0" collapsed="false">
      <c r="A44" s="14" t="n">
        <v>42</v>
      </c>
      <c r="B44" s="14" t="s">
        <v>374</v>
      </c>
      <c r="C44" s="14" t="s">
        <v>3145</v>
      </c>
      <c r="D44" s="14" t="s">
        <v>3146</v>
      </c>
      <c r="E44" s="15" t="n">
        <v>56669</v>
      </c>
      <c r="F44" s="14" t="n">
        <v>2</v>
      </c>
      <c r="G44" s="14" t="n">
        <v>9.9</v>
      </c>
      <c r="H44" s="14" t="n">
        <v>6.7</v>
      </c>
      <c r="I44" s="14" t="n">
        <v>4.5</v>
      </c>
      <c r="J44" s="14" t="s">
        <v>225</v>
      </c>
      <c r="K44" s="6" t="s">
        <v>3205</v>
      </c>
      <c r="L44" s="16" t="s">
        <v>3204</v>
      </c>
      <c r="M44" s="6" t="s">
        <v>4666</v>
      </c>
      <c r="N44" s="14" t="s">
        <v>4667</v>
      </c>
      <c r="O44" s="6" t="s">
        <v>4671</v>
      </c>
      <c r="P44" s="20"/>
    </row>
    <row r="45" customFormat="false" ht="45" hidden="false" customHeight="true" outlineLevel="0" collapsed="false">
      <c r="A45" s="14" t="n">
        <v>43</v>
      </c>
      <c r="B45" s="14" t="s">
        <v>220</v>
      </c>
      <c r="C45" s="14" t="s">
        <v>2433</v>
      </c>
      <c r="D45" s="14" t="s">
        <v>2434</v>
      </c>
      <c r="E45" s="15" t="n">
        <v>16742</v>
      </c>
      <c r="F45" s="14" t="n">
        <v>2</v>
      </c>
      <c r="G45" s="14" t="n">
        <v>6.6</v>
      </c>
      <c r="H45" s="14" t="n">
        <v>4.8</v>
      </c>
      <c r="I45" s="14" t="n">
        <v>5.2</v>
      </c>
      <c r="J45" s="14" t="s">
        <v>225</v>
      </c>
      <c r="K45" s="6" t="s">
        <v>2437</v>
      </c>
      <c r="L45" s="16" t="s">
        <v>2436</v>
      </c>
      <c r="M45" s="6" t="s">
        <v>4666</v>
      </c>
      <c r="N45" s="14" t="s">
        <v>4667</v>
      </c>
      <c r="O45" s="6" t="s">
        <v>4671</v>
      </c>
      <c r="P45" s="20"/>
    </row>
    <row r="46" customFormat="false" ht="45" hidden="false" customHeight="true" outlineLevel="0" collapsed="false">
      <c r="A46" s="14" t="n">
        <v>44</v>
      </c>
      <c r="B46" s="14" t="s">
        <v>220</v>
      </c>
      <c r="C46" s="14" t="s">
        <v>1301</v>
      </c>
      <c r="D46" s="14" t="s">
        <v>3139</v>
      </c>
      <c r="E46" s="15" t="n">
        <v>66586</v>
      </c>
      <c r="F46" s="14" t="n">
        <v>2</v>
      </c>
      <c r="G46" s="14" t="n">
        <v>3.6</v>
      </c>
      <c r="H46" s="14" t="n">
        <v>2.5</v>
      </c>
      <c r="I46" s="14" t="n">
        <v>7</v>
      </c>
      <c r="J46" s="14" t="s">
        <v>308</v>
      </c>
      <c r="K46" s="6" t="s">
        <v>3141</v>
      </c>
      <c r="L46" s="16" t="s">
        <v>3140</v>
      </c>
      <c r="M46" s="6" t="s">
        <v>4666</v>
      </c>
      <c r="N46" s="14" t="s">
        <v>4667</v>
      </c>
      <c r="O46" s="6" t="s">
        <v>4668</v>
      </c>
      <c r="P46" s="20"/>
    </row>
    <row r="47" customFormat="false" ht="45" hidden="false" customHeight="true" outlineLevel="0" collapsed="false">
      <c r="A47" s="14" t="n">
        <v>45</v>
      </c>
      <c r="B47" s="14" t="s">
        <v>374</v>
      </c>
      <c r="C47" s="14" t="s">
        <v>3294</v>
      </c>
      <c r="D47" s="14" t="s">
        <v>3295</v>
      </c>
      <c r="E47" s="15" t="n">
        <v>68546</v>
      </c>
      <c r="F47" s="14" t="n">
        <v>2</v>
      </c>
      <c r="G47" s="14" t="n">
        <v>3</v>
      </c>
      <c r="H47" s="14" t="n">
        <v>2.7</v>
      </c>
      <c r="I47" s="14" t="n">
        <v>5</v>
      </c>
      <c r="J47" s="14" t="s">
        <v>225</v>
      </c>
      <c r="K47" s="6" t="s">
        <v>3297</v>
      </c>
      <c r="L47" s="16" t="s">
        <v>3296</v>
      </c>
      <c r="M47" s="6" t="s">
        <v>4666</v>
      </c>
      <c r="N47" s="14" t="s">
        <v>4667</v>
      </c>
      <c r="O47" s="6" t="s">
        <v>4671</v>
      </c>
      <c r="P47" s="20"/>
    </row>
    <row r="48" customFormat="false" ht="45" hidden="false" customHeight="true" outlineLevel="0" collapsed="false">
      <c r="A48" s="14" t="n">
        <v>46</v>
      </c>
      <c r="B48" s="14" t="s">
        <v>247</v>
      </c>
      <c r="C48" s="14" t="s">
        <v>249</v>
      </c>
      <c r="D48" s="14" t="s">
        <v>250</v>
      </c>
      <c r="E48" s="15" t="n">
        <v>13612</v>
      </c>
      <c r="F48" s="14" t="n">
        <v>1</v>
      </c>
      <c r="G48" s="14" t="n">
        <v>922.1</v>
      </c>
      <c r="H48" s="14" t="n">
        <v>922.1</v>
      </c>
      <c r="I48" s="14" t="n">
        <v>10</v>
      </c>
      <c r="J48" s="14" t="s">
        <v>225</v>
      </c>
      <c r="K48" s="6" t="s">
        <v>253</v>
      </c>
      <c r="L48" s="16" t="s">
        <v>252</v>
      </c>
      <c r="M48" s="6" t="s">
        <v>4676</v>
      </c>
      <c r="N48" s="14" t="s">
        <v>4667</v>
      </c>
      <c r="O48" s="6" t="s">
        <v>4668</v>
      </c>
      <c r="P48" s="20"/>
    </row>
    <row r="49" customFormat="false" ht="45" hidden="false" customHeight="true" outlineLevel="0" collapsed="false">
      <c r="A49" s="14" t="n">
        <v>47</v>
      </c>
      <c r="B49" s="14" t="s">
        <v>247</v>
      </c>
      <c r="C49" s="14" t="s">
        <v>266</v>
      </c>
      <c r="D49" s="14" t="s">
        <v>267</v>
      </c>
      <c r="E49" s="15" t="n">
        <v>19437</v>
      </c>
      <c r="F49" s="14" t="n">
        <v>1</v>
      </c>
      <c r="G49" s="14" t="n">
        <v>410.1</v>
      </c>
      <c r="H49" s="14" t="n">
        <v>410.1</v>
      </c>
      <c r="I49" s="14" t="n">
        <v>10</v>
      </c>
      <c r="J49" s="14" t="s">
        <v>264</v>
      </c>
      <c r="K49" s="6" t="s">
        <v>270</v>
      </c>
      <c r="L49" s="16" t="s">
        <v>269</v>
      </c>
      <c r="M49" s="6" t="s">
        <v>4676</v>
      </c>
      <c r="N49" s="14" t="s">
        <v>4667</v>
      </c>
      <c r="O49" s="6" t="s">
        <v>4668</v>
      </c>
      <c r="P49" s="20"/>
    </row>
    <row r="50" customFormat="false" ht="45" hidden="false" customHeight="true" outlineLevel="0" collapsed="false">
      <c r="A50" s="14" t="n">
        <v>48</v>
      </c>
      <c r="B50" s="14" t="s">
        <v>247</v>
      </c>
      <c r="C50" s="14" t="s">
        <v>281</v>
      </c>
      <c r="D50" s="14" t="s">
        <v>282</v>
      </c>
      <c r="E50" s="15" t="n">
        <v>5949</v>
      </c>
      <c r="F50" s="14" t="n">
        <v>1</v>
      </c>
      <c r="G50" s="14" t="n">
        <v>161.8</v>
      </c>
      <c r="H50" s="14" t="n">
        <v>161.8</v>
      </c>
      <c r="I50" s="14" t="n">
        <v>10</v>
      </c>
      <c r="J50" s="14" t="s">
        <v>225</v>
      </c>
      <c r="K50" s="6" t="s">
        <v>286</v>
      </c>
      <c r="L50" s="16" t="s">
        <v>285</v>
      </c>
      <c r="M50" s="6" t="s">
        <v>4676</v>
      </c>
      <c r="N50" s="14" t="s">
        <v>4667</v>
      </c>
      <c r="O50" s="6" t="s">
        <v>4668</v>
      </c>
      <c r="P50" s="20"/>
    </row>
    <row r="51" customFormat="false" ht="45" hidden="false" customHeight="true" outlineLevel="0" collapsed="false">
      <c r="A51" s="14" t="n">
        <v>49</v>
      </c>
      <c r="B51" s="14" t="s">
        <v>220</v>
      </c>
      <c r="C51" s="14" t="s">
        <v>433</v>
      </c>
      <c r="D51" s="14" t="s">
        <v>434</v>
      </c>
      <c r="E51" s="15" t="n">
        <v>57635</v>
      </c>
      <c r="F51" s="14" t="n">
        <v>1</v>
      </c>
      <c r="G51" s="14" t="n">
        <v>212.8</v>
      </c>
      <c r="H51" s="14" t="n">
        <v>212.8</v>
      </c>
      <c r="I51" s="14" t="n">
        <v>10</v>
      </c>
      <c r="J51" s="14" t="s">
        <v>364</v>
      </c>
      <c r="K51" s="6" t="s">
        <v>437</v>
      </c>
      <c r="L51" s="16" t="s">
        <v>436</v>
      </c>
      <c r="M51" s="6" t="s">
        <v>4676</v>
      </c>
      <c r="N51" s="14" t="s">
        <v>4667</v>
      </c>
      <c r="O51" s="6" t="s">
        <v>4668</v>
      </c>
      <c r="P51" s="20"/>
    </row>
    <row r="52" customFormat="false" ht="45" hidden="false" customHeight="true" outlineLevel="0" collapsed="false">
      <c r="A52" s="14" t="n">
        <v>50</v>
      </c>
      <c r="B52" s="14" t="s">
        <v>220</v>
      </c>
      <c r="C52" s="14" t="s">
        <v>667</v>
      </c>
      <c r="D52" s="14" t="s">
        <v>668</v>
      </c>
      <c r="E52" s="15" t="n">
        <v>87931</v>
      </c>
      <c r="F52" s="14" t="n">
        <v>1</v>
      </c>
      <c r="G52" s="14" t="n">
        <v>105.2</v>
      </c>
      <c r="H52" s="14" t="n">
        <v>105.2</v>
      </c>
      <c r="I52" s="14" t="n">
        <v>10</v>
      </c>
      <c r="J52" s="14" t="s">
        <v>225</v>
      </c>
      <c r="K52" s="6" t="s">
        <v>671</v>
      </c>
      <c r="L52" s="16" t="s">
        <v>670</v>
      </c>
      <c r="M52" s="6" t="s">
        <v>4676</v>
      </c>
      <c r="N52" s="14" t="s">
        <v>4667</v>
      </c>
      <c r="O52" s="6" t="s">
        <v>4668</v>
      </c>
      <c r="P52" s="20"/>
    </row>
    <row r="53" customFormat="false" ht="45" hidden="false" customHeight="true" outlineLevel="0" collapsed="false">
      <c r="A53" s="14" t="n">
        <v>51</v>
      </c>
      <c r="B53" s="14" t="s">
        <v>247</v>
      </c>
      <c r="C53" s="14" t="s">
        <v>552</v>
      </c>
      <c r="D53" s="14" t="s">
        <v>553</v>
      </c>
      <c r="E53" s="15" t="n">
        <v>52200</v>
      </c>
      <c r="F53" s="14" t="n">
        <v>1</v>
      </c>
      <c r="G53" s="14" t="n">
        <v>190.6</v>
      </c>
      <c r="H53" s="14" t="n">
        <v>190.6</v>
      </c>
      <c r="I53" s="14" t="n">
        <v>9</v>
      </c>
      <c r="J53" s="14" t="s">
        <v>225</v>
      </c>
      <c r="K53" s="6" t="s">
        <v>555</v>
      </c>
      <c r="L53" s="16" t="s">
        <v>554</v>
      </c>
      <c r="M53" s="6" t="s">
        <v>4676</v>
      </c>
      <c r="N53" s="14" t="s">
        <v>4667</v>
      </c>
      <c r="O53" s="6" t="s">
        <v>4668</v>
      </c>
      <c r="P53" s="20"/>
    </row>
    <row r="54" customFormat="false" ht="45" hidden="false" customHeight="true" outlineLevel="0" collapsed="false">
      <c r="A54" s="14" t="n">
        <v>52</v>
      </c>
      <c r="B54" s="14" t="s">
        <v>247</v>
      </c>
      <c r="C54" s="14" t="s">
        <v>445</v>
      </c>
      <c r="D54" s="14" t="s">
        <v>446</v>
      </c>
      <c r="E54" s="15" t="n">
        <v>6300</v>
      </c>
      <c r="F54" s="14" t="n">
        <v>1</v>
      </c>
      <c r="G54" s="14" t="n">
        <v>106.3</v>
      </c>
      <c r="H54" s="14" t="n">
        <v>106.3</v>
      </c>
      <c r="I54" s="14" t="n">
        <v>8</v>
      </c>
      <c r="J54" s="14" t="s">
        <v>375</v>
      </c>
      <c r="K54" s="6" t="s">
        <v>449</v>
      </c>
      <c r="L54" s="16" t="s">
        <v>448</v>
      </c>
      <c r="M54" s="6" t="s">
        <v>4676</v>
      </c>
      <c r="N54" s="14" t="s">
        <v>4667</v>
      </c>
      <c r="O54" s="6" t="s">
        <v>4668</v>
      </c>
      <c r="P54" s="20"/>
    </row>
    <row r="55" customFormat="false" ht="45" hidden="false" customHeight="true" outlineLevel="0" collapsed="false">
      <c r="A55" s="14" t="n">
        <v>53</v>
      </c>
      <c r="B55" s="14" t="s">
        <v>374</v>
      </c>
      <c r="C55" s="14" t="s">
        <v>710</v>
      </c>
      <c r="D55" s="14" t="s">
        <v>711</v>
      </c>
      <c r="E55" s="15" t="n">
        <v>52441</v>
      </c>
      <c r="F55" s="14" t="n">
        <v>1</v>
      </c>
      <c r="G55" s="14" t="n">
        <v>351.5</v>
      </c>
      <c r="H55" s="14" t="n">
        <v>351.5</v>
      </c>
      <c r="I55" s="14" t="n">
        <v>8</v>
      </c>
      <c r="J55" s="14" t="s">
        <v>225</v>
      </c>
      <c r="K55" s="6" t="s">
        <v>714</v>
      </c>
      <c r="L55" s="16" t="s">
        <v>713</v>
      </c>
      <c r="M55" s="6" t="s">
        <v>4676</v>
      </c>
      <c r="N55" s="14" t="s">
        <v>4667</v>
      </c>
      <c r="O55" s="6" t="s">
        <v>4668</v>
      </c>
      <c r="P55" s="20"/>
    </row>
    <row r="56" customFormat="false" ht="45" hidden="false" customHeight="true" outlineLevel="0" collapsed="false">
      <c r="A56" s="14" t="n">
        <v>54</v>
      </c>
      <c r="B56" s="14" t="s">
        <v>247</v>
      </c>
      <c r="C56" s="14" t="s">
        <v>484</v>
      </c>
      <c r="D56" s="14" t="s">
        <v>485</v>
      </c>
      <c r="E56" s="15" t="n">
        <v>25551</v>
      </c>
      <c r="F56" s="14" t="n">
        <v>1</v>
      </c>
      <c r="G56" s="14" t="n">
        <v>284.6</v>
      </c>
      <c r="H56" s="14" t="n">
        <v>284.6</v>
      </c>
      <c r="I56" s="14" t="n">
        <v>7.5</v>
      </c>
      <c r="J56" s="14" t="s">
        <v>322</v>
      </c>
      <c r="K56" s="6" t="s">
        <v>488</v>
      </c>
      <c r="L56" s="16" t="s">
        <v>487</v>
      </c>
      <c r="M56" s="6" t="s">
        <v>4676</v>
      </c>
      <c r="N56" s="14" t="s">
        <v>4667</v>
      </c>
      <c r="O56" s="6" t="s">
        <v>4668</v>
      </c>
      <c r="P56" s="20"/>
    </row>
    <row r="57" customFormat="false" ht="45" hidden="false" customHeight="true" outlineLevel="0" collapsed="false">
      <c r="A57" s="14" t="n">
        <v>55</v>
      </c>
      <c r="B57" s="14" t="s">
        <v>220</v>
      </c>
      <c r="C57" s="14" t="s">
        <v>497</v>
      </c>
      <c r="D57" s="14" t="s">
        <v>498</v>
      </c>
      <c r="E57" s="15" t="n">
        <v>29478</v>
      </c>
      <c r="F57" s="14" t="n">
        <v>1</v>
      </c>
      <c r="G57" s="14" t="n">
        <v>178.7</v>
      </c>
      <c r="H57" s="14" t="n">
        <v>178.7</v>
      </c>
      <c r="I57" s="14" t="n">
        <v>7.5</v>
      </c>
      <c r="J57" s="14" t="s">
        <v>375</v>
      </c>
      <c r="K57" s="6" t="s">
        <v>501</v>
      </c>
      <c r="L57" s="16" t="s">
        <v>500</v>
      </c>
      <c r="M57" s="6" t="s">
        <v>4676</v>
      </c>
      <c r="N57" s="14" t="s">
        <v>4667</v>
      </c>
      <c r="O57" s="6" t="s">
        <v>4668</v>
      </c>
      <c r="P57" s="20"/>
    </row>
    <row r="58" customFormat="false" ht="45" hidden="false" customHeight="true" outlineLevel="0" collapsed="false">
      <c r="A58" s="14" t="n">
        <v>56</v>
      </c>
      <c r="B58" s="14" t="s">
        <v>247</v>
      </c>
      <c r="C58" s="14" t="s">
        <v>695</v>
      </c>
      <c r="D58" s="14" t="s">
        <v>696</v>
      </c>
      <c r="E58" s="15" t="n">
        <v>69116</v>
      </c>
      <c r="F58" s="14" t="n">
        <v>1</v>
      </c>
      <c r="G58" s="14" t="n">
        <v>73.1</v>
      </c>
      <c r="H58" s="14" t="n">
        <v>73.1</v>
      </c>
      <c r="I58" s="14" t="n">
        <v>10</v>
      </c>
      <c r="J58" s="14" t="s">
        <v>225</v>
      </c>
      <c r="K58" s="6" t="s">
        <v>698</v>
      </c>
      <c r="L58" s="16" t="s">
        <v>697</v>
      </c>
      <c r="M58" s="6" t="s">
        <v>4676</v>
      </c>
      <c r="N58" s="14" t="s">
        <v>4667</v>
      </c>
      <c r="O58" s="6" t="s">
        <v>4668</v>
      </c>
      <c r="P58" s="20"/>
    </row>
    <row r="59" customFormat="false" ht="45" hidden="false" customHeight="true" outlineLevel="0" collapsed="false">
      <c r="A59" s="14" t="n">
        <v>57</v>
      </c>
      <c r="B59" s="14" t="s">
        <v>220</v>
      </c>
      <c r="C59" s="14" t="s">
        <v>540</v>
      </c>
      <c r="D59" s="14" t="s">
        <v>541</v>
      </c>
      <c r="E59" s="15" t="n">
        <v>22067</v>
      </c>
      <c r="F59" s="14" t="n">
        <v>1</v>
      </c>
      <c r="G59" s="14" t="n">
        <v>221.1</v>
      </c>
      <c r="H59" s="14" t="n">
        <v>221.1</v>
      </c>
      <c r="I59" s="14" t="n">
        <v>7</v>
      </c>
      <c r="J59" s="14" t="s">
        <v>364</v>
      </c>
      <c r="K59" s="6" t="s">
        <v>544</v>
      </c>
      <c r="L59" s="16" t="s">
        <v>543</v>
      </c>
      <c r="M59" s="6" t="s">
        <v>4676</v>
      </c>
      <c r="N59" s="14" t="s">
        <v>4667</v>
      </c>
      <c r="O59" s="6" t="s">
        <v>4668</v>
      </c>
      <c r="P59" s="20"/>
    </row>
    <row r="60" customFormat="false" ht="45" hidden="false" customHeight="true" outlineLevel="0" collapsed="false">
      <c r="A60" s="14" t="n">
        <v>58</v>
      </c>
      <c r="B60" s="14" t="s">
        <v>247</v>
      </c>
      <c r="C60" s="14" t="s">
        <v>564</v>
      </c>
      <c r="D60" s="14" t="s">
        <v>565</v>
      </c>
      <c r="E60" s="15" t="n">
        <v>15800</v>
      </c>
      <c r="F60" s="14" t="n">
        <v>1</v>
      </c>
      <c r="G60" s="14" t="n">
        <v>335.5</v>
      </c>
      <c r="H60" s="14" t="n">
        <v>335.5</v>
      </c>
      <c r="I60" s="14" t="n">
        <v>7</v>
      </c>
      <c r="J60" s="14" t="s">
        <v>225</v>
      </c>
      <c r="K60" s="6" t="s">
        <v>567</v>
      </c>
      <c r="L60" s="16" t="s">
        <v>566</v>
      </c>
      <c r="M60" s="6" t="s">
        <v>4676</v>
      </c>
      <c r="N60" s="14" t="s">
        <v>4667</v>
      </c>
      <c r="O60" s="6" t="s">
        <v>4668</v>
      </c>
      <c r="P60" s="20"/>
    </row>
    <row r="61" customFormat="false" ht="45" hidden="false" customHeight="true" outlineLevel="0" collapsed="false">
      <c r="A61" s="14" t="n">
        <v>59</v>
      </c>
      <c r="B61" s="14" t="s">
        <v>220</v>
      </c>
      <c r="C61" s="14" t="s">
        <v>852</v>
      </c>
      <c r="D61" s="14" t="s">
        <v>853</v>
      </c>
      <c r="E61" s="15" t="n">
        <v>41537</v>
      </c>
      <c r="F61" s="14" t="n">
        <v>1</v>
      </c>
      <c r="G61" s="14" t="n">
        <v>358.6</v>
      </c>
      <c r="H61" s="14" t="n">
        <v>358.6</v>
      </c>
      <c r="I61" s="14" t="n">
        <v>7</v>
      </c>
      <c r="J61" s="14" t="s">
        <v>225</v>
      </c>
      <c r="K61" s="6" t="s">
        <v>856</v>
      </c>
      <c r="L61" s="16" t="s">
        <v>855</v>
      </c>
      <c r="M61" s="6" t="s">
        <v>4676</v>
      </c>
      <c r="N61" s="14" t="s">
        <v>4667</v>
      </c>
      <c r="O61" s="6" t="s">
        <v>4668</v>
      </c>
      <c r="P61" s="20"/>
    </row>
    <row r="62" customFormat="false" ht="45" hidden="false" customHeight="true" outlineLevel="0" collapsed="false">
      <c r="A62" s="14" t="n">
        <v>60</v>
      </c>
      <c r="B62" s="14" t="s">
        <v>247</v>
      </c>
      <c r="C62" s="14" t="s">
        <v>901</v>
      </c>
      <c r="D62" s="14" t="s">
        <v>902</v>
      </c>
      <c r="E62" s="15" t="n">
        <v>47100</v>
      </c>
      <c r="F62" s="14" t="n">
        <v>1</v>
      </c>
      <c r="G62" s="14" t="n">
        <v>765</v>
      </c>
      <c r="H62" s="14" t="n">
        <v>765</v>
      </c>
      <c r="I62" s="14" t="n">
        <v>7</v>
      </c>
      <c r="J62" s="14" t="s">
        <v>338</v>
      </c>
      <c r="K62" s="6" t="s">
        <v>904</v>
      </c>
      <c r="L62" s="16" t="s">
        <v>903</v>
      </c>
      <c r="M62" s="6" t="s">
        <v>4676</v>
      </c>
      <c r="N62" s="14" t="s">
        <v>4667</v>
      </c>
      <c r="O62" s="6" t="s">
        <v>4668</v>
      </c>
      <c r="P62" s="20"/>
    </row>
    <row r="63" customFormat="false" ht="45" hidden="false" customHeight="true" outlineLevel="0" collapsed="false">
      <c r="A63" s="14" t="n">
        <v>61</v>
      </c>
      <c r="B63" s="14" t="s">
        <v>247</v>
      </c>
      <c r="C63" s="14" t="s">
        <v>1567</v>
      </c>
      <c r="D63" s="14" t="s">
        <v>1568</v>
      </c>
      <c r="E63" s="15" t="n">
        <v>92400</v>
      </c>
      <c r="F63" s="14" t="n">
        <v>1</v>
      </c>
      <c r="G63" s="14" t="n">
        <v>120.9</v>
      </c>
      <c r="H63" s="14" t="n">
        <v>120.9</v>
      </c>
      <c r="I63" s="14" t="n">
        <v>7</v>
      </c>
      <c r="J63" s="14" t="s">
        <v>635</v>
      </c>
      <c r="K63" s="6" t="s">
        <v>1570</v>
      </c>
      <c r="L63" s="16" t="s">
        <v>1569</v>
      </c>
      <c r="M63" s="6" t="s">
        <v>4676</v>
      </c>
      <c r="N63" s="14" t="s">
        <v>4667</v>
      </c>
      <c r="O63" s="6" t="s">
        <v>4668</v>
      </c>
      <c r="P63" s="20"/>
    </row>
    <row r="64" customFormat="false" ht="45" hidden="false" customHeight="true" outlineLevel="0" collapsed="false">
      <c r="A64" s="14" t="n">
        <v>62</v>
      </c>
      <c r="B64" s="14" t="s">
        <v>247</v>
      </c>
      <c r="C64" s="14" t="s">
        <v>296</v>
      </c>
      <c r="D64" s="14" t="s">
        <v>297</v>
      </c>
      <c r="E64" s="15" t="n">
        <v>29450</v>
      </c>
      <c r="F64" s="14" t="n">
        <v>1</v>
      </c>
      <c r="G64" s="14" t="n">
        <v>62.3</v>
      </c>
      <c r="H64" s="14" t="n">
        <v>62.3</v>
      </c>
      <c r="I64" s="14" t="n">
        <v>10</v>
      </c>
      <c r="J64" s="14" t="s">
        <v>225</v>
      </c>
      <c r="K64" s="6" t="s">
        <v>301</v>
      </c>
      <c r="L64" s="16" t="s">
        <v>300</v>
      </c>
      <c r="M64" s="6" t="s">
        <v>4676</v>
      </c>
      <c r="N64" s="14" t="s">
        <v>4667</v>
      </c>
      <c r="O64" s="6" t="s">
        <v>4668</v>
      </c>
      <c r="P64" s="20"/>
    </row>
    <row r="65" customFormat="false" ht="45" hidden="false" customHeight="true" outlineLevel="0" collapsed="false">
      <c r="A65" s="14" t="n">
        <v>63</v>
      </c>
      <c r="B65" s="14" t="s">
        <v>220</v>
      </c>
      <c r="C65" s="14" t="s">
        <v>679</v>
      </c>
      <c r="D65" s="14" t="s">
        <v>680</v>
      </c>
      <c r="E65" s="15" t="n">
        <v>21787</v>
      </c>
      <c r="F65" s="14" t="n">
        <v>1</v>
      </c>
      <c r="G65" s="14" t="n">
        <v>162.2</v>
      </c>
      <c r="H65" s="14" t="n">
        <v>162.2</v>
      </c>
      <c r="I65" s="14" t="n">
        <v>6</v>
      </c>
      <c r="J65" s="14" t="s">
        <v>225</v>
      </c>
      <c r="K65" s="6" t="s">
        <v>683</v>
      </c>
      <c r="L65" s="16" t="s">
        <v>682</v>
      </c>
      <c r="M65" s="6" t="s">
        <v>4676</v>
      </c>
      <c r="N65" s="14" t="s">
        <v>4667</v>
      </c>
      <c r="O65" s="6" t="s">
        <v>4668</v>
      </c>
      <c r="P65" s="20"/>
    </row>
    <row r="66" customFormat="false" ht="45" hidden="false" customHeight="true" outlineLevel="0" collapsed="false">
      <c r="A66" s="14" t="n">
        <v>64</v>
      </c>
      <c r="B66" s="14" t="s">
        <v>247</v>
      </c>
      <c r="C66" s="14" t="s">
        <v>1863</v>
      </c>
      <c r="D66" s="14" t="s">
        <v>1864</v>
      </c>
      <c r="E66" s="15" t="n">
        <v>74300</v>
      </c>
      <c r="F66" s="14" t="n">
        <v>1</v>
      </c>
      <c r="G66" s="14" t="n">
        <v>120</v>
      </c>
      <c r="H66" s="14" t="n">
        <v>120</v>
      </c>
      <c r="I66" s="14" t="n">
        <v>6</v>
      </c>
      <c r="J66" s="14" t="s">
        <v>338</v>
      </c>
      <c r="K66" s="6" t="s">
        <v>1866</v>
      </c>
      <c r="L66" s="16" t="s">
        <v>1865</v>
      </c>
      <c r="M66" s="6" t="s">
        <v>4676</v>
      </c>
      <c r="N66" s="14" t="s">
        <v>4667</v>
      </c>
      <c r="O66" s="6" t="s">
        <v>4668</v>
      </c>
      <c r="P66" s="20"/>
    </row>
    <row r="67" customFormat="false" ht="45" hidden="false" customHeight="true" outlineLevel="0" collapsed="false">
      <c r="A67" s="14" t="n">
        <v>65</v>
      </c>
      <c r="B67" s="14" t="s">
        <v>374</v>
      </c>
      <c r="C67" s="14" t="s">
        <v>1301</v>
      </c>
      <c r="D67" s="14" t="s">
        <v>1302</v>
      </c>
      <c r="E67" s="15" t="n">
        <v>31489</v>
      </c>
      <c r="F67" s="14" t="n">
        <v>1</v>
      </c>
      <c r="G67" s="14" t="n">
        <v>218.7</v>
      </c>
      <c r="H67" s="14" t="n">
        <v>218.7</v>
      </c>
      <c r="I67" s="14" t="n">
        <v>5.9</v>
      </c>
      <c r="J67" s="14" t="s">
        <v>225</v>
      </c>
      <c r="K67" s="6" t="s">
        <v>1305</v>
      </c>
      <c r="L67" s="16" t="s">
        <v>1304</v>
      </c>
      <c r="M67" s="6" t="s">
        <v>4676</v>
      </c>
      <c r="N67" s="14" t="s">
        <v>4667</v>
      </c>
      <c r="O67" s="6" t="s">
        <v>4671</v>
      </c>
      <c r="P67" s="20"/>
    </row>
    <row r="68" customFormat="false" ht="45" hidden="false" customHeight="true" outlineLevel="0" collapsed="false">
      <c r="A68" s="14" t="n">
        <v>66</v>
      </c>
      <c r="B68" s="14" t="s">
        <v>220</v>
      </c>
      <c r="C68" s="14" t="s">
        <v>1422</v>
      </c>
      <c r="D68" s="14" t="s">
        <v>1423</v>
      </c>
      <c r="E68" s="15" t="n">
        <v>35780</v>
      </c>
      <c r="F68" s="14" t="n">
        <v>1</v>
      </c>
      <c r="G68" s="14" t="n">
        <v>195.4</v>
      </c>
      <c r="H68" s="14" t="n">
        <v>195.4</v>
      </c>
      <c r="I68" s="14" t="n">
        <v>5.3</v>
      </c>
      <c r="J68" s="14" t="s">
        <v>586</v>
      </c>
      <c r="K68" s="6" t="s">
        <v>1426</v>
      </c>
      <c r="L68" s="16" t="s">
        <v>1425</v>
      </c>
      <c r="M68" s="6" t="s">
        <v>4676</v>
      </c>
      <c r="N68" s="14" t="s">
        <v>4667</v>
      </c>
      <c r="O68" s="6" t="s">
        <v>4671</v>
      </c>
      <c r="P68" s="20"/>
    </row>
    <row r="69" customFormat="false" ht="45" hidden="false" customHeight="true" outlineLevel="0" collapsed="false">
      <c r="A69" s="14" t="n">
        <v>67</v>
      </c>
      <c r="B69" s="14" t="s">
        <v>374</v>
      </c>
      <c r="C69" s="14" t="s">
        <v>813</v>
      </c>
      <c r="D69" s="14" t="s">
        <v>814</v>
      </c>
      <c r="E69" s="15" t="n">
        <v>11901</v>
      </c>
      <c r="F69" s="14" t="n">
        <v>1</v>
      </c>
      <c r="G69" s="14" t="n">
        <v>103.1</v>
      </c>
      <c r="H69" s="14" t="n">
        <v>103.1</v>
      </c>
      <c r="I69" s="14" t="n">
        <v>5</v>
      </c>
      <c r="J69" s="14" t="s">
        <v>225</v>
      </c>
      <c r="K69" s="6" t="s">
        <v>817</v>
      </c>
      <c r="L69" s="16" t="s">
        <v>816</v>
      </c>
      <c r="M69" s="6" t="s">
        <v>4676</v>
      </c>
      <c r="N69" s="14" t="s">
        <v>4667</v>
      </c>
      <c r="O69" s="6" t="s">
        <v>4671</v>
      </c>
      <c r="P69" s="20"/>
    </row>
    <row r="70" customFormat="false" ht="45" hidden="false" customHeight="true" outlineLevel="0" collapsed="false">
      <c r="A70" s="14" t="n">
        <v>68</v>
      </c>
      <c r="B70" s="14" t="s">
        <v>220</v>
      </c>
      <c r="C70" s="14" t="s">
        <v>844</v>
      </c>
      <c r="D70" s="14" t="s">
        <v>845</v>
      </c>
      <c r="E70" s="15" t="n">
        <v>19649</v>
      </c>
      <c r="F70" s="14" t="n">
        <v>1</v>
      </c>
      <c r="G70" s="14" t="n">
        <v>438.4</v>
      </c>
      <c r="H70" s="14" t="n">
        <v>438.4</v>
      </c>
      <c r="I70" s="14" t="n">
        <v>5</v>
      </c>
      <c r="J70" s="14" t="s">
        <v>308</v>
      </c>
      <c r="K70" s="6" t="s">
        <v>848</v>
      </c>
      <c r="L70" s="16" t="s">
        <v>847</v>
      </c>
      <c r="M70" s="6" t="s">
        <v>4676</v>
      </c>
      <c r="N70" s="14" t="s">
        <v>4667</v>
      </c>
      <c r="O70" s="6" t="s">
        <v>4671</v>
      </c>
      <c r="P70" s="20"/>
    </row>
    <row r="71" customFormat="false" ht="45" hidden="false" customHeight="true" outlineLevel="0" collapsed="false">
      <c r="A71" s="14" t="n">
        <v>69</v>
      </c>
      <c r="B71" s="14" t="s">
        <v>220</v>
      </c>
      <c r="C71" s="14" t="s">
        <v>879</v>
      </c>
      <c r="D71" s="14" t="s">
        <v>880</v>
      </c>
      <c r="E71" s="15" t="n">
        <v>27268</v>
      </c>
      <c r="F71" s="14" t="n">
        <v>1</v>
      </c>
      <c r="G71" s="14" t="n">
        <v>164.5</v>
      </c>
      <c r="H71" s="14" t="n">
        <v>164.5</v>
      </c>
      <c r="I71" s="14" t="n">
        <v>5</v>
      </c>
      <c r="J71" s="14" t="s">
        <v>308</v>
      </c>
      <c r="K71" s="6" t="s">
        <v>882</v>
      </c>
      <c r="L71" s="16" t="s">
        <v>881</v>
      </c>
      <c r="M71" s="6" t="s">
        <v>4676</v>
      </c>
      <c r="N71" s="14" t="s">
        <v>4667</v>
      </c>
      <c r="O71" s="6" t="s">
        <v>4671</v>
      </c>
      <c r="P71" s="20"/>
    </row>
    <row r="72" customFormat="false" ht="45" hidden="false" customHeight="true" outlineLevel="0" collapsed="false">
      <c r="A72" s="14" t="n">
        <v>70</v>
      </c>
      <c r="B72" s="14" t="s">
        <v>247</v>
      </c>
      <c r="C72" s="14" t="s">
        <v>911</v>
      </c>
      <c r="D72" s="14" t="s">
        <v>912</v>
      </c>
      <c r="E72" s="15" t="n">
        <v>14400</v>
      </c>
      <c r="F72" s="14" t="n">
        <v>1</v>
      </c>
      <c r="G72" s="14" t="n">
        <v>276.1</v>
      </c>
      <c r="H72" s="14" t="n">
        <v>276.1</v>
      </c>
      <c r="I72" s="14" t="n">
        <v>5</v>
      </c>
      <c r="J72" s="14" t="s">
        <v>338</v>
      </c>
      <c r="K72" s="6" t="s">
        <v>914</v>
      </c>
      <c r="L72" s="16" t="s">
        <v>913</v>
      </c>
      <c r="M72" s="6" t="s">
        <v>4676</v>
      </c>
      <c r="N72" s="14" t="s">
        <v>4667</v>
      </c>
      <c r="O72" s="6" t="s">
        <v>4671</v>
      </c>
      <c r="P72" s="20"/>
    </row>
    <row r="73" customFormat="false" ht="45" hidden="false" customHeight="true" outlineLevel="0" collapsed="false">
      <c r="A73" s="14" t="n">
        <v>71</v>
      </c>
      <c r="B73" s="14" t="s">
        <v>247</v>
      </c>
      <c r="C73" s="14" t="s">
        <v>935</v>
      </c>
      <c r="D73" s="14" t="s">
        <v>936</v>
      </c>
      <c r="E73" s="15" t="n">
        <v>17500</v>
      </c>
      <c r="F73" s="14" t="n">
        <v>1</v>
      </c>
      <c r="G73" s="14" t="n">
        <v>199.3</v>
      </c>
      <c r="H73" s="14" t="n">
        <v>199.3</v>
      </c>
      <c r="I73" s="14" t="n">
        <v>5</v>
      </c>
      <c r="J73" s="14" t="s">
        <v>338</v>
      </c>
      <c r="K73" s="6" t="s">
        <v>938</v>
      </c>
      <c r="L73" s="16" t="s">
        <v>937</v>
      </c>
      <c r="M73" s="6" t="s">
        <v>4676</v>
      </c>
      <c r="N73" s="14" t="s">
        <v>4667</v>
      </c>
      <c r="O73" s="6" t="s">
        <v>4671</v>
      </c>
      <c r="P73" s="20"/>
    </row>
    <row r="74" customFormat="false" ht="45" hidden="false" customHeight="true" outlineLevel="0" collapsed="false">
      <c r="A74" s="14" t="n">
        <v>72</v>
      </c>
      <c r="B74" s="14" t="s">
        <v>247</v>
      </c>
      <c r="C74" s="14" t="s">
        <v>890</v>
      </c>
      <c r="D74" s="14" t="s">
        <v>891</v>
      </c>
      <c r="E74" s="15" t="n">
        <v>18100</v>
      </c>
      <c r="F74" s="14" t="n">
        <v>1</v>
      </c>
      <c r="G74" s="14" t="n">
        <v>96</v>
      </c>
      <c r="H74" s="14" t="n">
        <v>96</v>
      </c>
      <c r="I74" s="14" t="n">
        <v>5</v>
      </c>
      <c r="J74" s="14" t="s">
        <v>338</v>
      </c>
      <c r="K74" s="6" t="s">
        <v>893</v>
      </c>
      <c r="L74" s="16" t="s">
        <v>892</v>
      </c>
      <c r="M74" s="6" t="s">
        <v>4676</v>
      </c>
      <c r="N74" s="14" t="s">
        <v>4667</v>
      </c>
      <c r="O74" s="6" t="s">
        <v>4671</v>
      </c>
      <c r="P74" s="20"/>
    </row>
    <row r="75" customFormat="false" ht="45" hidden="false" customHeight="true" outlineLevel="0" collapsed="false">
      <c r="A75" s="14" t="n">
        <v>73</v>
      </c>
      <c r="B75" s="14" t="s">
        <v>247</v>
      </c>
      <c r="C75" s="14" t="s">
        <v>1849</v>
      </c>
      <c r="D75" s="14" t="s">
        <v>1850</v>
      </c>
      <c r="E75" s="15" t="n">
        <v>82006</v>
      </c>
      <c r="F75" s="14" t="n">
        <v>1</v>
      </c>
      <c r="G75" s="14" t="n">
        <v>78</v>
      </c>
      <c r="H75" s="14" t="n">
        <v>78</v>
      </c>
      <c r="I75" s="14" t="n">
        <v>6</v>
      </c>
      <c r="J75" s="14" t="s">
        <v>322</v>
      </c>
      <c r="K75" s="6" t="s">
        <v>1852</v>
      </c>
      <c r="L75" s="16" t="s">
        <v>1851</v>
      </c>
      <c r="M75" s="6" t="s">
        <v>4676</v>
      </c>
      <c r="N75" s="14" t="s">
        <v>4667</v>
      </c>
      <c r="O75" s="6" t="s">
        <v>4668</v>
      </c>
      <c r="P75" s="20"/>
    </row>
    <row r="76" customFormat="false" ht="45" hidden="false" customHeight="true" outlineLevel="0" collapsed="false">
      <c r="A76" s="14" t="n">
        <v>74</v>
      </c>
      <c r="B76" s="14" t="s">
        <v>247</v>
      </c>
      <c r="C76" s="14" t="s">
        <v>925</v>
      </c>
      <c r="D76" s="14" t="s">
        <v>926</v>
      </c>
      <c r="E76" s="15" t="n">
        <v>18900</v>
      </c>
      <c r="F76" s="14" t="n">
        <v>1</v>
      </c>
      <c r="G76" s="14" t="n">
        <v>92.8</v>
      </c>
      <c r="H76" s="14" t="n">
        <v>92.8</v>
      </c>
      <c r="I76" s="14" t="n">
        <v>5</v>
      </c>
      <c r="J76" s="14" t="s">
        <v>364</v>
      </c>
      <c r="K76" s="6" t="s">
        <v>928</v>
      </c>
      <c r="L76" s="16" t="s">
        <v>927</v>
      </c>
      <c r="M76" s="6" t="s">
        <v>4676</v>
      </c>
      <c r="N76" s="14" t="s">
        <v>4667</v>
      </c>
      <c r="O76" s="6" t="s">
        <v>4671</v>
      </c>
      <c r="P76" s="20"/>
    </row>
    <row r="77" customFormat="false" ht="45" hidden="false" customHeight="true" outlineLevel="0" collapsed="false">
      <c r="A77" s="14" t="n">
        <v>75</v>
      </c>
      <c r="B77" s="14" t="s">
        <v>220</v>
      </c>
      <c r="C77" s="14" t="s">
        <v>1062</v>
      </c>
      <c r="D77" s="14" t="s">
        <v>1063</v>
      </c>
      <c r="E77" s="15" t="n">
        <v>27689</v>
      </c>
      <c r="F77" s="14" t="n">
        <v>1</v>
      </c>
      <c r="G77" s="14" t="n">
        <v>227.8</v>
      </c>
      <c r="H77" s="14" t="n">
        <v>227.8</v>
      </c>
      <c r="I77" s="14" t="n">
        <v>4.5</v>
      </c>
      <c r="J77" s="14" t="s">
        <v>225</v>
      </c>
      <c r="K77" s="6" t="s">
        <v>1066</v>
      </c>
      <c r="L77" s="16" t="s">
        <v>1065</v>
      </c>
      <c r="M77" s="6" t="s">
        <v>4676</v>
      </c>
      <c r="N77" s="14" t="s">
        <v>4667</v>
      </c>
      <c r="O77" s="6" t="s">
        <v>4671</v>
      </c>
      <c r="P77" s="20"/>
    </row>
    <row r="78" customFormat="false" ht="45" hidden="false" customHeight="true" outlineLevel="0" collapsed="false">
      <c r="A78" s="14" t="n">
        <v>76</v>
      </c>
      <c r="B78" s="14" t="s">
        <v>220</v>
      </c>
      <c r="C78" s="14" t="s">
        <v>1072</v>
      </c>
      <c r="D78" s="14" t="s">
        <v>1073</v>
      </c>
      <c r="E78" s="15" t="n">
        <v>10989</v>
      </c>
      <c r="F78" s="14" t="n">
        <v>1</v>
      </c>
      <c r="G78" s="14" t="n">
        <v>363.7</v>
      </c>
      <c r="H78" s="14" t="n">
        <v>363.7</v>
      </c>
      <c r="I78" s="14" t="n">
        <v>4.5</v>
      </c>
      <c r="J78" s="14" t="s">
        <v>308</v>
      </c>
      <c r="K78" s="6" t="s">
        <v>1076</v>
      </c>
      <c r="L78" s="16" t="s">
        <v>1075</v>
      </c>
      <c r="M78" s="6" t="s">
        <v>4676</v>
      </c>
      <c r="N78" s="14" t="s">
        <v>4667</v>
      </c>
      <c r="O78" s="6" t="s">
        <v>4671</v>
      </c>
      <c r="P78" s="20"/>
    </row>
    <row r="79" customFormat="false" ht="45" hidden="false" customHeight="true" outlineLevel="0" collapsed="false">
      <c r="A79" s="14" t="n">
        <v>77</v>
      </c>
      <c r="B79" s="14" t="s">
        <v>220</v>
      </c>
      <c r="C79" s="14" t="s">
        <v>576</v>
      </c>
      <c r="D79" s="14" t="s">
        <v>577</v>
      </c>
      <c r="E79" s="15" t="n">
        <v>36531</v>
      </c>
      <c r="F79" s="14" t="n">
        <v>1</v>
      </c>
      <c r="G79" s="14" t="n">
        <v>41.5</v>
      </c>
      <c r="H79" s="14" t="n">
        <v>41.5</v>
      </c>
      <c r="I79" s="14" t="n">
        <v>10</v>
      </c>
      <c r="J79" s="14" t="s">
        <v>225</v>
      </c>
      <c r="K79" s="6" t="s">
        <v>580</v>
      </c>
      <c r="L79" s="16" t="s">
        <v>579</v>
      </c>
      <c r="M79" s="6" t="s">
        <v>4676</v>
      </c>
      <c r="N79" s="14" t="s">
        <v>4667</v>
      </c>
      <c r="O79" s="6" t="s">
        <v>4668</v>
      </c>
      <c r="P79" s="20"/>
    </row>
    <row r="80" customFormat="false" ht="45" hidden="false" customHeight="true" outlineLevel="0" collapsed="false">
      <c r="A80" s="14" t="n">
        <v>78</v>
      </c>
      <c r="B80" s="14" t="s">
        <v>220</v>
      </c>
      <c r="C80" s="14" t="s">
        <v>719</v>
      </c>
      <c r="D80" s="14" t="s">
        <v>720</v>
      </c>
      <c r="E80" s="15" t="n">
        <v>10777</v>
      </c>
      <c r="F80" s="14" t="n">
        <v>1</v>
      </c>
      <c r="G80" s="14" t="n">
        <v>59.1</v>
      </c>
      <c r="H80" s="14" t="n">
        <v>59.1</v>
      </c>
      <c r="I80" s="14" t="n">
        <v>6</v>
      </c>
      <c r="J80" s="14" t="s">
        <v>322</v>
      </c>
      <c r="K80" s="6" t="s">
        <v>723</v>
      </c>
      <c r="L80" s="16" t="s">
        <v>722</v>
      </c>
      <c r="M80" s="6" t="s">
        <v>4676</v>
      </c>
      <c r="N80" s="14" t="s">
        <v>4667</v>
      </c>
      <c r="O80" s="6" t="s">
        <v>4668</v>
      </c>
      <c r="P80" s="20"/>
    </row>
    <row r="81" customFormat="false" ht="45" hidden="false" customHeight="true" outlineLevel="0" collapsed="false">
      <c r="A81" s="14" t="n">
        <v>79</v>
      </c>
      <c r="B81" s="14" t="s">
        <v>374</v>
      </c>
      <c r="C81" s="14" t="s">
        <v>703</v>
      </c>
      <c r="D81" s="14" t="s">
        <v>704</v>
      </c>
      <c r="E81" s="15" t="n">
        <v>19371</v>
      </c>
      <c r="F81" s="14" t="n">
        <v>1</v>
      </c>
      <c r="G81" s="14" t="n">
        <v>58.1</v>
      </c>
      <c r="H81" s="14" t="n">
        <v>58.1</v>
      </c>
      <c r="I81" s="14" t="n">
        <v>6</v>
      </c>
      <c r="J81" s="14" t="s">
        <v>225</v>
      </c>
      <c r="K81" s="6" t="s">
        <v>707</v>
      </c>
      <c r="L81" s="16" t="s">
        <v>706</v>
      </c>
      <c r="M81" s="6" t="s">
        <v>4676</v>
      </c>
      <c r="N81" s="14" t="s">
        <v>4667</v>
      </c>
      <c r="O81" s="6" t="s">
        <v>4668</v>
      </c>
      <c r="P81" s="20"/>
    </row>
    <row r="82" customFormat="false" ht="45" hidden="false" customHeight="true" outlineLevel="0" collapsed="false">
      <c r="A82" s="14" t="n">
        <v>80</v>
      </c>
      <c r="B82" s="14" t="s">
        <v>220</v>
      </c>
      <c r="C82" s="14" t="s">
        <v>1843</v>
      </c>
      <c r="D82" s="14" t="s">
        <v>1844</v>
      </c>
      <c r="E82" s="15" t="n">
        <v>71721</v>
      </c>
      <c r="F82" s="14" t="n">
        <v>1</v>
      </c>
      <c r="G82" s="14" t="n">
        <v>56</v>
      </c>
      <c r="H82" s="14" t="n">
        <v>56</v>
      </c>
      <c r="I82" s="14" t="n">
        <v>6</v>
      </c>
      <c r="J82" s="14" t="s">
        <v>322</v>
      </c>
      <c r="K82" s="6" t="s">
        <v>1847</v>
      </c>
      <c r="L82" s="16" t="s">
        <v>1846</v>
      </c>
      <c r="M82" s="6" t="s">
        <v>4676</v>
      </c>
      <c r="N82" s="14" t="s">
        <v>4667</v>
      </c>
      <c r="O82" s="6" t="s">
        <v>4668</v>
      </c>
      <c r="P82" s="20"/>
    </row>
    <row r="83" customFormat="false" ht="45" hidden="false" customHeight="true" outlineLevel="0" collapsed="false">
      <c r="A83" s="14" t="n">
        <v>81</v>
      </c>
      <c r="B83" s="14" t="s">
        <v>247</v>
      </c>
      <c r="C83" s="14" t="s">
        <v>1713</v>
      </c>
      <c r="D83" s="14" t="s">
        <v>1714</v>
      </c>
      <c r="E83" s="15" t="n">
        <v>98800</v>
      </c>
      <c r="F83" s="14" t="n">
        <v>1</v>
      </c>
      <c r="G83" s="14" t="n">
        <v>39.3</v>
      </c>
      <c r="H83" s="14" t="n">
        <v>39.3</v>
      </c>
      <c r="I83" s="14" t="n">
        <v>8</v>
      </c>
      <c r="J83" s="14" t="s">
        <v>586</v>
      </c>
      <c r="K83" s="6" t="s">
        <v>1716</v>
      </c>
      <c r="L83" s="16" t="s">
        <v>1715</v>
      </c>
      <c r="M83" s="6" t="s">
        <v>4676</v>
      </c>
      <c r="N83" s="14" t="s">
        <v>4667</v>
      </c>
      <c r="O83" s="6" t="s">
        <v>4668</v>
      </c>
      <c r="P83" s="20"/>
    </row>
    <row r="84" customFormat="false" ht="45" hidden="false" customHeight="true" outlineLevel="0" collapsed="false">
      <c r="A84" s="14" t="n">
        <v>82</v>
      </c>
      <c r="B84" s="14" t="s">
        <v>247</v>
      </c>
      <c r="C84" s="14" t="s">
        <v>736</v>
      </c>
      <c r="D84" s="14" t="s">
        <v>737</v>
      </c>
      <c r="E84" s="15" t="n">
        <v>23400</v>
      </c>
      <c r="F84" s="14" t="n">
        <v>1</v>
      </c>
      <c r="G84" s="14" t="n">
        <v>52</v>
      </c>
      <c r="H84" s="14" t="n">
        <v>52</v>
      </c>
      <c r="I84" s="14" t="n">
        <v>6</v>
      </c>
      <c r="J84" s="14" t="s">
        <v>338</v>
      </c>
      <c r="K84" s="6" t="s">
        <v>739</v>
      </c>
      <c r="L84" s="16" t="s">
        <v>738</v>
      </c>
      <c r="M84" s="6" t="s">
        <v>4676</v>
      </c>
      <c r="N84" s="14" t="s">
        <v>4667</v>
      </c>
      <c r="O84" s="6" t="s">
        <v>4668</v>
      </c>
      <c r="P84" s="20"/>
    </row>
    <row r="85" customFormat="false" ht="45" hidden="false" customHeight="true" outlineLevel="0" collapsed="false">
      <c r="A85" s="14" t="n">
        <v>83</v>
      </c>
      <c r="B85" s="14" t="s">
        <v>220</v>
      </c>
      <c r="C85" s="14" t="s">
        <v>953</v>
      </c>
      <c r="D85" s="14" t="s">
        <v>954</v>
      </c>
      <c r="E85" s="15" t="n">
        <v>23777</v>
      </c>
      <c r="F85" s="14" t="n">
        <v>1</v>
      </c>
      <c r="G85" s="14" t="n">
        <v>57.3</v>
      </c>
      <c r="H85" s="14" t="n">
        <v>57.3</v>
      </c>
      <c r="I85" s="14" t="n">
        <v>4.9</v>
      </c>
      <c r="J85" s="14" t="s">
        <v>375</v>
      </c>
      <c r="K85" s="6" t="s">
        <v>957</v>
      </c>
      <c r="L85" s="16" t="s">
        <v>956</v>
      </c>
      <c r="M85" s="6" t="s">
        <v>4676</v>
      </c>
      <c r="N85" s="14" t="s">
        <v>4667</v>
      </c>
      <c r="O85" s="6" t="s">
        <v>4671</v>
      </c>
      <c r="P85" s="20"/>
    </row>
    <row r="86" customFormat="false" ht="45" hidden="false" customHeight="true" outlineLevel="0" collapsed="false">
      <c r="A86" s="14" t="n">
        <v>84</v>
      </c>
      <c r="B86" s="14" t="s">
        <v>247</v>
      </c>
      <c r="C86" s="14" t="s">
        <v>824</v>
      </c>
      <c r="D86" s="14" t="s">
        <v>825</v>
      </c>
      <c r="E86" s="15" t="n">
        <v>11957</v>
      </c>
      <c r="F86" s="14" t="n">
        <v>1</v>
      </c>
      <c r="G86" s="14" t="n">
        <v>55.8</v>
      </c>
      <c r="H86" s="14" t="n">
        <v>55.8</v>
      </c>
      <c r="I86" s="14" t="n">
        <v>5</v>
      </c>
      <c r="J86" s="14" t="s">
        <v>338</v>
      </c>
      <c r="K86" s="6" t="s">
        <v>828</v>
      </c>
      <c r="L86" s="16" t="s">
        <v>827</v>
      </c>
      <c r="M86" s="6" t="s">
        <v>4676</v>
      </c>
      <c r="N86" s="14" t="s">
        <v>4667</v>
      </c>
      <c r="O86" s="6" t="s">
        <v>4671</v>
      </c>
      <c r="P86" s="20"/>
    </row>
    <row r="87" customFormat="false" ht="45" hidden="false" customHeight="true" outlineLevel="0" collapsed="false">
      <c r="A87" s="14" t="n">
        <v>85</v>
      </c>
      <c r="B87" s="14" t="s">
        <v>220</v>
      </c>
      <c r="C87" s="14" t="s">
        <v>1981</v>
      </c>
      <c r="D87" s="14" t="s">
        <v>1982</v>
      </c>
      <c r="E87" s="15" t="n">
        <v>89170</v>
      </c>
      <c r="F87" s="14" t="n">
        <v>1</v>
      </c>
      <c r="G87" s="14" t="n">
        <v>38.3</v>
      </c>
      <c r="H87" s="14" t="n">
        <v>38.3</v>
      </c>
      <c r="I87" s="14" t="n">
        <v>7</v>
      </c>
      <c r="J87" s="14" t="s">
        <v>322</v>
      </c>
      <c r="K87" s="6" t="s">
        <v>1985</v>
      </c>
      <c r="L87" s="16" t="s">
        <v>1984</v>
      </c>
      <c r="M87" s="6" t="s">
        <v>4676</v>
      </c>
      <c r="N87" s="14" t="s">
        <v>4667</v>
      </c>
      <c r="O87" s="6" t="s">
        <v>4668</v>
      </c>
      <c r="P87" s="20"/>
    </row>
    <row r="88" customFormat="false" ht="45" hidden="false" customHeight="true" outlineLevel="0" collapsed="false">
      <c r="A88" s="14" t="n">
        <v>86</v>
      </c>
      <c r="B88" s="14" t="s">
        <v>247</v>
      </c>
      <c r="C88" s="14" t="s">
        <v>1377</v>
      </c>
      <c r="D88" s="14" t="s">
        <v>1378</v>
      </c>
      <c r="E88" s="15" t="n">
        <v>34500</v>
      </c>
      <c r="F88" s="14" t="n">
        <v>1</v>
      </c>
      <c r="G88" s="14" t="n">
        <v>45.4</v>
      </c>
      <c r="H88" s="14" t="n">
        <v>45.4</v>
      </c>
      <c r="I88" s="14" t="n">
        <v>6</v>
      </c>
      <c r="J88" s="14" t="s">
        <v>225</v>
      </c>
      <c r="K88" s="6" t="s">
        <v>1380</v>
      </c>
      <c r="L88" s="16" t="s">
        <v>1379</v>
      </c>
      <c r="M88" s="6" t="s">
        <v>4676</v>
      </c>
      <c r="N88" s="14" t="s">
        <v>4667</v>
      </c>
      <c r="O88" s="6" t="s">
        <v>4668</v>
      </c>
      <c r="P88" s="20"/>
    </row>
    <row r="89" customFormat="false" ht="45" hidden="false" customHeight="true" outlineLevel="0" collapsed="false">
      <c r="A89" s="14" t="n">
        <v>87</v>
      </c>
      <c r="B89" s="14" t="s">
        <v>220</v>
      </c>
      <c r="C89" s="14" t="s">
        <v>783</v>
      </c>
      <c r="D89" s="14" t="s">
        <v>784</v>
      </c>
      <c r="E89" s="15" t="n">
        <v>21310</v>
      </c>
      <c r="F89" s="14" t="n">
        <v>1</v>
      </c>
      <c r="G89" s="14" t="n">
        <v>51.7</v>
      </c>
      <c r="H89" s="14" t="n">
        <v>51.7</v>
      </c>
      <c r="I89" s="14" t="n">
        <v>5.3</v>
      </c>
      <c r="J89" s="14" t="s">
        <v>322</v>
      </c>
      <c r="K89" s="6" t="s">
        <v>787</v>
      </c>
      <c r="L89" s="16" t="s">
        <v>786</v>
      </c>
      <c r="M89" s="6" t="s">
        <v>4676</v>
      </c>
      <c r="N89" s="14" t="s">
        <v>4667</v>
      </c>
      <c r="O89" s="6" t="s">
        <v>4671</v>
      </c>
      <c r="P89" s="20"/>
    </row>
    <row r="90" customFormat="false" ht="45" hidden="false" customHeight="true" outlineLevel="0" collapsed="false">
      <c r="A90" s="14" t="n">
        <v>88</v>
      </c>
      <c r="B90" s="14" t="s">
        <v>220</v>
      </c>
      <c r="C90" s="14" t="s">
        <v>869</v>
      </c>
      <c r="D90" s="14" t="s">
        <v>870</v>
      </c>
      <c r="E90" s="15" t="n">
        <v>8603</v>
      </c>
      <c r="F90" s="14" t="n">
        <v>1</v>
      </c>
      <c r="G90" s="14" t="n">
        <v>54.4</v>
      </c>
      <c r="H90" s="14" t="n">
        <v>54.4</v>
      </c>
      <c r="I90" s="14" t="n">
        <v>5</v>
      </c>
      <c r="J90" s="14" t="s">
        <v>586</v>
      </c>
      <c r="K90" s="6" t="s">
        <v>872</v>
      </c>
      <c r="L90" s="16" t="s">
        <v>871</v>
      </c>
      <c r="M90" s="6" t="s">
        <v>4676</v>
      </c>
      <c r="N90" s="14" t="s">
        <v>4667</v>
      </c>
      <c r="O90" s="6" t="s">
        <v>4671</v>
      </c>
      <c r="P90" s="20"/>
    </row>
    <row r="91" customFormat="false" ht="45" hidden="false" customHeight="true" outlineLevel="0" collapsed="false">
      <c r="A91" s="14" t="n">
        <v>89</v>
      </c>
      <c r="B91" s="14" t="s">
        <v>220</v>
      </c>
      <c r="C91" s="14" t="s">
        <v>835</v>
      </c>
      <c r="D91" s="14" t="s">
        <v>836</v>
      </c>
      <c r="E91" s="15" t="n">
        <v>22288</v>
      </c>
      <c r="F91" s="14" t="n">
        <v>1</v>
      </c>
      <c r="G91" s="14" t="n">
        <v>54.3</v>
      </c>
      <c r="H91" s="14" t="n">
        <v>54.3</v>
      </c>
      <c r="I91" s="14" t="n">
        <v>5</v>
      </c>
      <c r="J91" s="14" t="s">
        <v>308</v>
      </c>
      <c r="K91" s="6" t="s">
        <v>839</v>
      </c>
      <c r="L91" s="16" t="s">
        <v>838</v>
      </c>
      <c r="M91" s="6" t="s">
        <v>4676</v>
      </c>
      <c r="N91" s="14" t="s">
        <v>4667</v>
      </c>
      <c r="O91" s="6" t="s">
        <v>4671</v>
      </c>
      <c r="P91" s="20"/>
    </row>
    <row r="92" customFormat="false" ht="45" hidden="false" customHeight="true" outlineLevel="0" collapsed="false">
      <c r="A92" s="14" t="n">
        <v>90</v>
      </c>
      <c r="B92" s="14" t="s">
        <v>247</v>
      </c>
      <c r="C92" s="14" t="s">
        <v>944</v>
      </c>
      <c r="D92" s="14" t="s">
        <v>945</v>
      </c>
      <c r="E92" s="15" t="n">
        <v>5600</v>
      </c>
      <c r="F92" s="14" t="n">
        <v>1</v>
      </c>
      <c r="G92" s="14" t="n">
        <v>52.6</v>
      </c>
      <c r="H92" s="14" t="n">
        <v>52.6</v>
      </c>
      <c r="I92" s="14" t="n">
        <v>5</v>
      </c>
      <c r="J92" s="14" t="s">
        <v>364</v>
      </c>
      <c r="K92" s="6" t="s">
        <v>947</v>
      </c>
      <c r="L92" s="16" t="s">
        <v>946</v>
      </c>
      <c r="M92" s="6" t="s">
        <v>4676</v>
      </c>
      <c r="N92" s="14" t="s">
        <v>4667</v>
      </c>
      <c r="O92" s="6" t="s">
        <v>4671</v>
      </c>
      <c r="P92" s="20"/>
    </row>
    <row r="93" customFormat="false" ht="45" hidden="false" customHeight="true" outlineLevel="0" collapsed="false">
      <c r="A93" s="14" t="n">
        <v>91</v>
      </c>
      <c r="B93" s="14" t="s">
        <v>220</v>
      </c>
      <c r="C93" s="14" t="s">
        <v>2250</v>
      </c>
      <c r="D93" s="14" t="s">
        <v>2251</v>
      </c>
      <c r="E93" s="15" t="n">
        <v>78147</v>
      </c>
      <c r="F93" s="14" t="n">
        <v>1</v>
      </c>
      <c r="G93" s="14" t="n">
        <v>51.8</v>
      </c>
      <c r="H93" s="14" t="n">
        <v>51.8</v>
      </c>
      <c r="I93" s="14" t="n">
        <v>4.9</v>
      </c>
      <c r="J93" s="14" t="s">
        <v>225</v>
      </c>
      <c r="K93" s="6" t="s">
        <v>2254</v>
      </c>
      <c r="L93" s="16" t="s">
        <v>2253</v>
      </c>
      <c r="M93" s="6" t="s">
        <v>4676</v>
      </c>
      <c r="N93" s="14" t="s">
        <v>4667</v>
      </c>
      <c r="O93" s="6" t="s">
        <v>4671</v>
      </c>
      <c r="P93" s="20"/>
    </row>
    <row r="94" customFormat="false" ht="45" hidden="false" customHeight="true" outlineLevel="0" collapsed="false">
      <c r="A94" s="14" t="n">
        <v>92</v>
      </c>
      <c r="B94" s="14" t="s">
        <v>247</v>
      </c>
      <c r="C94" s="14" t="s">
        <v>616</v>
      </c>
      <c r="D94" s="14" t="s">
        <v>617</v>
      </c>
      <c r="E94" s="15" t="n">
        <v>7538</v>
      </c>
      <c r="F94" s="14" t="n">
        <v>1</v>
      </c>
      <c r="G94" s="14" t="n">
        <v>22.6</v>
      </c>
      <c r="H94" s="14" t="n">
        <v>22.6</v>
      </c>
      <c r="I94" s="14" t="n">
        <v>10</v>
      </c>
      <c r="J94" s="14" t="s">
        <v>338</v>
      </c>
      <c r="K94" s="6" t="s">
        <v>620</v>
      </c>
      <c r="L94" s="16" t="s">
        <v>619</v>
      </c>
      <c r="M94" s="6" t="s">
        <v>4676</v>
      </c>
      <c r="N94" s="14" t="s">
        <v>4667</v>
      </c>
      <c r="O94" s="6" t="s">
        <v>4668</v>
      </c>
      <c r="P94" s="20"/>
    </row>
    <row r="95" customFormat="false" ht="45" hidden="false" customHeight="true" outlineLevel="0" collapsed="false">
      <c r="A95" s="14" t="n">
        <v>93</v>
      </c>
      <c r="B95" s="14" t="s">
        <v>220</v>
      </c>
      <c r="C95" s="14" t="s">
        <v>1000</v>
      </c>
      <c r="D95" s="14" t="s">
        <v>1001</v>
      </c>
      <c r="E95" s="15" t="n">
        <v>5892</v>
      </c>
      <c r="F95" s="14" t="n">
        <v>1</v>
      </c>
      <c r="G95" s="14" t="n">
        <v>39.8</v>
      </c>
      <c r="H95" s="14" t="n">
        <v>39.8</v>
      </c>
      <c r="I95" s="14" t="n">
        <v>6</v>
      </c>
      <c r="J95" s="14" t="s">
        <v>225</v>
      </c>
      <c r="K95" s="6" t="s">
        <v>1004</v>
      </c>
      <c r="L95" s="16" t="s">
        <v>1003</v>
      </c>
      <c r="M95" s="6" t="s">
        <v>4676</v>
      </c>
      <c r="N95" s="14" t="s">
        <v>4667</v>
      </c>
      <c r="O95" s="6" t="s">
        <v>4668</v>
      </c>
      <c r="P95" s="20"/>
    </row>
    <row r="96" customFormat="false" ht="45" hidden="false" customHeight="true" outlineLevel="0" collapsed="false">
      <c r="A96" s="14" t="n">
        <v>94</v>
      </c>
      <c r="B96" s="14" t="s">
        <v>374</v>
      </c>
      <c r="C96" s="14" t="s">
        <v>1773</v>
      </c>
      <c r="D96" s="14" t="s">
        <v>1774</v>
      </c>
      <c r="E96" s="15" t="n">
        <v>52450</v>
      </c>
      <c r="F96" s="14" t="n">
        <v>1</v>
      </c>
      <c r="G96" s="14" t="n">
        <v>54.4</v>
      </c>
      <c r="H96" s="14" t="n">
        <v>54.4</v>
      </c>
      <c r="I96" s="14" t="n">
        <v>4.5</v>
      </c>
      <c r="J96" s="14" t="s">
        <v>308</v>
      </c>
      <c r="K96" s="6" t="s">
        <v>1776</v>
      </c>
      <c r="L96" s="16" t="s">
        <v>1775</v>
      </c>
      <c r="M96" s="6" t="s">
        <v>4676</v>
      </c>
      <c r="N96" s="14" t="s">
        <v>4667</v>
      </c>
      <c r="O96" s="6" t="s">
        <v>4671</v>
      </c>
      <c r="P96" s="20"/>
    </row>
    <row r="97" customFormat="false" ht="45" hidden="false" customHeight="true" outlineLevel="0" collapsed="false">
      <c r="A97" s="14" t="n">
        <v>95</v>
      </c>
      <c r="B97" s="14" t="s">
        <v>247</v>
      </c>
      <c r="C97" s="14" t="s">
        <v>804</v>
      </c>
      <c r="D97" s="14" t="s">
        <v>805</v>
      </c>
      <c r="E97" s="15" t="n">
        <v>7184</v>
      </c>
      <c r="F97" s="14" t="n">
        <v>1</v>
      </c>
      <c r="G97" s="14" t="n">
        <v>26.1</v>
      </c>
      <c r="H97" s="14" t="n">
        <v>26.1</v>
      </c>
      <c r="I97" s="14" t="n">
        <v>8</v>
      </c>
      <c r="J97" s="14" t="s">
        <v>375</v>
      </c>
      <c r="K97" s="6" t="s">
        <v>808</v>
      </c>
      <c r="L97" s="16" t="s">
        <v>807</v>
      </c>
      <c r="M97" s="6" t="s">
        <v>4676</v>
      </c>
      <c r="N97" s="14" t="s">
        <v>4667</v>
      </c>
      <c r="O97" s="6" t="s">
        <v>4668</v>
      </c>
      <c r="P97" s="20"/>
    </row>
    <row r="98" customFormat="false" ht="45" hidden="false" customHeight="true" outlineLevel="0" collapsed="false">
      <c r="A98" s="14" t="n">
        <v>96</v>
      </c>
      <c r="B98" s="14" t="s">
        <v>247</v>
      </c>
      <c r="C98" s="14" t="s">
        <v>2472</v>
      </c>
      <c r="D98" s="14" t="s">
        <v>2473</v>
      </c>
      <c r="E98" s="15" t="n">
        <v>78979</v>
      </c>
      <c r="F98" s="14" t="n">
        <v>1</v>
      </c>
      <c r="G98" s="14" t="n">
        <v>43.9</v>
      </c>
      <c r="H98" s="14" t="n">
        <v>43.9</v>
      </c>
      <c r="I98" s="14" t="n">
        <v>5</v>
      </c>
      <c r="J98" s="14" t="s">
        <v>322</v>
      </c>
      <c r="K98" s="6" t="s">
        <v>2475</v>
      </c>
      <c r="L98" s="16" t="s">
        <v>2474</v>
      </c>
      <c r="M98" s="6" t="s">
        <v>4676</v>
      </c>
      <c r="N98" s="14" t="s">
        <v>4667</v>
      </c>
      <c r="O98" s="6" t="s">
        <v>4671</v>
      </c>
      <c r="P98" s="20"/>
    </row>
    <row r="99" customFormat="false" ht="45" hidden="false" customHeight="true" outlineLevel="0" collapsed="false">
      <c r="A99" s="14" t="n">
        <v>97</v>
      </c>
      <c r="B99" s="14" t="s">
        <v>374</v>
      </c>
      <c r="C99" s="14" t="s">
        <v>2479</v>
      </c>
      <c r="D99" s="14" t="s">
        <v>2480</v>
      </c>
      <c r="E99" s="15" t="n">
        <v>70814</v>
      </c>
      <c r="F99" s="14" t="n">
        <v>1</v>
      </c>
      <c r="G99" s="14" t="n">
        <v>35.4</v>
      </c>
      <c r="H99" s="14" t="n">
        <v>35.4</v>
      </c>
      <c r="I99" s="14" t="n">
        <v>6</v>
      </c>
      <c r="J99" s="14" t="s">
        <v>225</v>
      </c>
      <c r="K99" s="6" t="s">
        <v>2482</v>
      </c>
      <c r="L99" s="16" t="s">
        <v>2481</v>
      </c>
      <c r="M99" s="6" t="s">
        <v>4676</v>
      </c>
      <c r="N99" s="14" t="s">
        <v>4667</v>
      </c>
      <c r="O99" s="6" t="s">
        <v>4668</v>
      </c>
      <c r="P99" s="20"/>
    </row>
    <row r="100" customFormat="false" ht="45" hidden="false" customHeight="true" outlineLevel="0" collapsed="false">
      <c r="A100" s="14" t="n">
        <v>98</v>
      </c>
      <c r="B100" s="14" t="s">
        <v>374</v>
      </c>
      <c r="C100" s="14" t="s">
        <v>1175</v>
      </c>
      <c r="D100" s="14" t="s">
        <v>1176</v>
      </c>
      <c r="E100" s="15" t="n">
        <v>21476</v>
      </c>
      <c r="F100" s="14" t="n">
        <v>1</v>
      </c>
      <c r="G100" s="14" t="n">
        <v>34.1</v>
      </c>
      <c r="H100" s="14" t="n">
        <v>34.1</v>
      </c>
      <c r="I100" s="14" t="n">
        <v>6</v>
      </c>
      <c r="J100" s="14" t="s">
        <v>225</v>
      </c>
      <c r="K100" s="6" t="s">
        <v>1179</v>
      </c>
      <c r="L100" s="16" t="s">
        <v>1178</v>
      </c>
      <c r="M100" s="6" t="s">
        <v>4676</v>
      </c>
      <c r="N100" s="14" t="s">
        <v>4667</v>
      </c>
      <c r="O100" s="6" t="s">
        <v>4668</v>
      </c>
      <c r="P100" s="20"/>
    </row>
    <row r="101" customFormat="false" ht="45" hidden="false" customHeight="true" outlineLevel="0" collapsed="false">
      <c r="A101" s="14" t="n">
        <v>99</v>
      </c>
      <c r="B101" s="14" t="s">
        <v>247</v>
      </c>
      <c r="C101" s="14" t="s">
        <v>2457</v>
      </c>
      <c r="D101" s="14" t="s">
        <v>2458</v>
      </c>
      <c r="E101" s="15" t="n">
        <v>106190</v>
      </c>
      <c r="F101" s="14" t="n">
        <v>1</v>
      </c>
      <c r="G101" s="14" t="n">
        <v>27.6</v>
      </c>
      <c r="H101" s="14" t="n">
        <v>27.6</v>
      </c>
      <c r="I101" s="14" t="n">
        <v>7</v>
      </c>
      <c r="J101" s="14" t="s">
        <v>586</v>
      </c>
      <c r="K101" s="6" t="s">
        <v>2460</v>
      </c>
      <c r="L101" s="16" t="s">
        <v>2459</v>
      </c>
      <c r="M101" s="6" t="s">
        <v>4676</v>
      </c>
      <c r="N101" s="14" t="s">
        <v>4667</v>
      </c>
      <c r="O101" s="6" t="s">
        <v>4668</v>
      </c>
      <c r="P101" s="20"/>
    </row>
    <row r="102" customFormat="false" ht="45" hidden="false" customHeight="true" outlineLevel="0" collapsed="false">
      <c r="A102" s="14" t="n">
        <v>100</v>
      </c>
      <c r="B102" s="14" t="s">
        <v>374</v>
      </c>
      <c r="C102" s="14" t="s">
        <v>2656</v>
      </c>
      <c r="D102" s="14" t="s">
        <v>2657</v>
      </c>
      <c r="E102" s="15" t="n">
        <v>65228</v>
      </c>
      <c r="F102" s="14" t="n">
        <v>1</v>
      </c>
      <c r="G102" s="14" t="n">
        <v>39.3</v>
      </c>
      <c r="H102" s="14" t="n">
        <v>39.3</v>
      </c>
      <c r="I102" s="14" t="n">
        <v>5</v>
      </c>
      <c r="J102" s="14" t="s">
        <v>225</v>
      </c>
      <c r="K102" s="6" t="s">
        <v>2660</v>
      </c>
      <c r="L102" s="16" t="s">
        <v>2659</v>
      </c>
      <c r="M102" s="6" t="s">
        <v>4676</v>
      </c>
      <c r="N102" s="14" t="s">
        <v>4667</v>
      </c>
      <c r="O102" s="6" t="s">
        <v>4671</v>
      </c>
      <c r="P102" s="20"/>
    </row>
    <row r="103" customFormat="false" ht="45" hidden="false" customHeight="true" outlineLevel="0" collapsed="false">
      <c r="A103" s="14" t="n">
        <v>101</v>
      </c>
      <c r="B103" s="14" t="s">
        <v>247</v>
      </c>
      <c r="C103" s="14" t="s">
        <v>1334</v>
      </c>
      <c r="D103" s="14" t="s">
        <v>1335</v>
      </c>
      <c r="E103" s="15" t="n">
        <v>24800</v>
      </c>
      <c r="F103" s="14" t="n">
        <v>1</v>
      </c>
      <c r="G103" s="14" t="n">
        <v>31.9</v>
      </c>
      <c r="H103" s="14" t="n">
        <v>31.9</v>
      </c>
      <c r="I103" s="14" t="n">
        <v>5.9</v>
      </c>
      <c r="J103" s="14" t="s">
        <v>225</v>
      </c>
      <c r="K103" s="6" t="s">
        <v>1337</v>
      </c>
      <c r="L103" s="16" t="s">
        <v>1336</v>
      </c>
      <c r="M103" s="6" t="s">
        <v>4676</v>
      </c>
      <c r="N103" s="14" t="s">
        <v>4667</v>
      </c>
      <c r="O103" s="6" t="s">
        <v>4671</v>
      </c>
      <c r="P103" s="20"/>
    </row>
    <row r="104" customFormat="false" ht="45" hidden="false" customHeight="true" outlineLevel="0" collapsed="false">
      <c r="A104" s="14" t="n">
        <v>102</v>
      </c>
      <c r="B104" s="14" t="s">
        <v>247</v>
      </c>
      <c r="C104" s="14" t="s">
        <v>749</v>
      </c>
      <c r="D104" s="14" t="s">
        <v>750</v>
      </c>
      <c r="E104" s="15" t="n">
        <v>26810</v>
      </c>
      <c r="F104" s="14" t="n">
        <v>1</v>
      </c>
      <c r="G104" s="14" t="n">
        <v>16.1</v>
      </c>
      <c r="H104" s="14" t="n">
        <v>16.1</v>
      </c>
      <c r="I104" s="14" t="n">
        <v>10</v>
      </c>
      <c r="J104" s="14" t="s">
        <v>338</v>
      </c>
      <c r="K104" s="6" t="s">
        <v>753</v>
      </c>
      <c r="L104" s="16" t="s">
        <v>752</v>
      </c>
      <c r="M104" s="6" t="s">
        <v>4676</v>
      </c>
      <c r="N104" s="14" t="s">
        <v>4667</v>
      </c>
      <c r="O104" s="6" t="s">
        <v>4668</v>
      </c>
      <c r="P104" s="20"/>
    </row>
    <row r="105" customFormat="false" ht="45" hidden="false" customHeight="true" outlineLevel="0" collapsed="false">
      <c r="A105" s="14" t="n">
        <v>103</v>
      </c>
      <c r="B105" s="14" t="s">
        <v>220</v>
      </c>
      <c r="C105" s="14" t="s">
        <v>1102</v>
      </c>
      <c r="D105" s="14" t="s">
        <v>1103</v>
      </c>
      <c r="E105" s="15" t="n">
        <v>8592</v>
      </c>
      <c r="F105" s="14" t="n">
        <v>1</v>
      </c>
      <c r="G105" s="14" t="n">
        <v>20.4</v>
      </c>
      <c r="H105" s="14" t="n">
        <v>20.4</v>
      </c>
      <c r="I105" s="14" t="n">
        <v>8</v>
      </c>
      <c r="J105" s="14" t="s">
        <v>308</v>
      </c>
      <c r="K105" s="6" t="s">
        <v>1106</v>
      </c>
      <c r="L105" s="16" t="s">
        <v>1105</v>
      </c>
      <c r="M105" s="6" t="s">
        <v>4677</v>
      </c>
      <c r="N105" s="14" t="s">
        <v>4667</v>
      </c>
      <c r="O105" s="6" t="s">
        <v>4668</v>
      </c>
      <c r="P105" s="20"/>
    </row>
    <row r="106" customFormat="false" ht="45" hidden="false" customHeight="true" outlineLevel="0" collapsed="false">
      <c r="A106" s="14" t="n">
        <v>104</v>
      </c>
      <c r="B106" s="14" t="s">
        <v>247</v>
      </c>
      <c r="C106" s="14" t="s">
        <v>1138</v>
      </c>
      <c r="D106" s="14" t="s">
        <v>1139</v>
      </c>
      <c r="E106" s="15" t="n">
        <v>7300</v>
      </c>
      <c r="F106" s="14" t="n">
        <v>1</v>
      </c>
      <c r="G106" s="14" t="n">
        <v>19.8</v>
      </c>
      <c r="H106" s="14" t="n">
        <v>19.8</v>
      </c>
      <c r="I106" s="14" t="n">
        <v>8</v>
      </c>
      <c r="J106" s="14" t="s">
        <v>225</v>
      </c>
      <c r="K106" s="6" t="s">
        <v>1141</v>
      </c>
      <c r="L106" s="16" t="s">
        <v>1140</v>
      </c>
      <c r="M106" s="6" t="s">
        <v>4676</v>
      </c>
      <c r="N106" s="14" t="s">
        <v>4667</v>
      </c>
      <c r="O106" s="6" t="s">
        <v>4668</v>
      </c>
      <c r="P106" s="20"/>
    </row>
    <row r="107" customFormat="false" ht="45" hidden="false" customHeight="true" outlineLevel="0" collapsed="false">
      <c r="A107" s="14" t="n">
        <v>105</v>
      </c>
      <c r="B107" s="14" t="s">
        <v>374</v>
      </c>
      <c r="C107" s="14" t="s">
        <v>1432</v>
      </c>
      <c r="D107" s="14" t="s">
        <v>1433</v>
      </c>
      <c r="E107" s="15" t="n">
        <v>2590</v>
      </c>
      <c r="F107" s="14" t="n">
        <v>1</v>
      </c>
      <c r="G107" s="14" t="n">
        <v>26.7</v>
      </c>
      <c r="H107" s="14" t="n">
        <v>26.7</v>
      </c>
      <c r="I107" s="14" t="n">
        <v>6</v>
      </c>
      <c r="J107" s="14" t="s">
        <v>322</v>
      </c>
      <c r="K107" s="6" t="s">
        <v>1435</v>
      </c>
      <c r="L107" s="16" t="s">
        <v>1434</v>
      </c>
      <c r="M107" s="6" t="s">
        <v>4676</v>
      </c>
      <c r="N107" s="14" t="s">
        <v>4667</v>
      </c>
      <c r="O107" s="6" t="s">
        <v>4668</v>
      </c>
      <c r="P107" s="20"/>
    </row>
    <row r="108" customFormat="false" ht="45" hidden="false" customHeight="true" outlineLevel="0" collapsed="false">
      <c r="A108" s="14" t="n">
        <v>106</v>
      </c>
      <c r="B108" s="14" t="s">
        <v>247</v>
      </c>
      <c r="C108" s="14" t="s">
        <v>1688</v>
      </c>
      <c r="D108" s="14" t="s">
        <v>1689</v>
      </c>
      <c r="E108" s="15" t="n">
        <v>22000</v>
      </c>
      <c r="F108" s="14" t="n">
        <v>1</v>
      </c>
      <c r="G108" s="14" t="n">
        <v>31.8</v>
      </c>
      <c r="H108" s="14" t="n">
        <v>31.8</v>
      </c>
      <c r="I108" s="14" t="n">
        <v>5</v>
      </c>
      <c r="J108" s="14" t="s">
        <v>225</v>
      </c>
      <c r="K108" s="6" t="s">
        <v>1691</v>
      </c>
      <c r="L108" s="16" t="s">
        <v>1690</v>
      </c>
      <c r="M108" s="6" t="s">
        <v>4676</v>
      </c>
      <c r="N108" s="14" t="s">
        <v>4667</v>
      </c>
      <c r="O108" s="6" t="s">
        <v>4671</v>
      </c>
      <c r="P108" s="20"/>
    </row>
    <row r="109" customFormat="false" ht="45" hidden="false" customHeight="true" outlineLevel="0" collapsed="false">
      <c r="A109" s="14" t="n">
        <v>107</v>
      </c>
      <c r="B109" s="14" t="s">
        <v>374</v>
      </c>
      <c r="C109" s="14" t="s">
        <v>2646</v>
      </c>
      <c r="D109" s="14" t="s">
        <v>2647</v>
      </c>
      <c r="E109" s="15" t="n">
        <v>60803</v>
      </c>
      <c r="F109" s="14" t="n">
        <v>1</v>
      </c>
      <c r="G109" s="14" t="n">
        <v>18.6</v>
      </c>
      <c r="H109" s="14" t="n">
        <v>18.6</v>
      </c>
      <c r="I109" s="14" t="n">
        <v>7.5</v>
      </c>
      <c r="J109" s="14" t="s">
        <v>364</v>
      </c>
      <c r="K109" s="6" t="s">
        <v>2650</v>
      </c>
      <c r="L109" s="16" t="s">
        <v>2649</v>
      </c>
      <c r="M109" s="6" t="s">
        <v>4676</v>
      </c>
      <c r="N109" s="14" t="s">
        <v>4667</v>
      </c>
      <c r="O109" s="6" t="s">
        <v>4668</v>
      </c>
      <c r="P109" s="20"/>
    </row>
    <row r="110" customFormat="false" ht="45" hidden="false" customHeight="true" outlineLevel="0" collapsed="false">
      <c r="A110" s="14" t="n">
        <v>108</v>
      </c>
      <c r="B110" s="14" t="s">
        <v>374</v>
      </c>
      <c r="C110" s="14" t="s">
        <v>1407</v>
      </c>
      <c r="D110" s="14" t="s">
        <v>1408</v>
      </c>
      <c r="E110" s="15" t="n">
        <v>6196</v>
      </c>
      <c r="F110" s="14" t="n">
        <v>1</v>
      </c>
      <c r="G110" s="14" t="n">
        <v>19.7</v>
      </c>
      <c r="H110" s="14" t="n">
        <v>19.7</v>
      </c>
      <c r="I110" s="14" t="n">
        <v>7</v>
      </c>
      <c r="J110" s="14" t="s">
        <v>308</v>
      </c>
      <c r="K110" s="6" t="s">
        <v>1411</v>
      </c>
      <c r="L110" s="16" t="s">
        <v>1410</v>
      </c>
      <c r="M110" s="6" t="s">
        <v>4676</v>
      </c>
      <c r="N110" s="14" t="s">
        <v>4667</v>
      </c>
      <c r="O110" s="6" t="s">
        <v>4668</v>
      </c>
      <c r="P110" s="20"/>
    </row>
    <row r="111" customFormat="false" ht="45" hidden="false" customHeight="true" outlineLevel="0" collapsed="false">
      <c r="A111" s="14" t="n">
        <v>109</v>
      </c>
      <c r="B111" s="14" t="s">
        <v>247</v>
      </c>
      <c r="C111" s="14" t="s">
        <v>2439</v>
      </c>
      <c r="D111" s="14" t="s">
        <v>2440</v>
      </c>
      <c r="E111" s="15" t="n">
        <v>40200</v>
      </c>
      <c r="F111" s="14" t="n">
        <v>1</v>
      </c>
      <c r="G111" s="14" t="n">
        <v>27.8</v>
      </c>
      <c r="H111" s="14" t="n">
        <v>27.8</v>
      </c>
      <c r="I111" s="14" t="n">
        <v>5</v>
      </c>
      <c r="J111" s="14" t="s">
        <v>322</v>
      </c>
      <c r="K111" s="6" t="s">
        <v>2442</v>
      </c>
      <c r="L111" s="16" t="s">
        <v>2441</v>
      </c>
      <c r="M111" s="6" t="s">
        <v>4676</v>
      </c>
      <c r="N111" s="14" t="s">
        <v>4667</v>
      </c>
      <c r="O111" s="6" t="s">
        <v>4671</v>
      </c>
      <c r="P111" s="20"/>
    </row>
    <row r="112" customFormat="false" ht="45" hidden="false" customHeight="true" outlineLevel="0" collapsed="false">
      <c r="A112" s="14" t="n">
        <v>110</v>
      </c>
      <c r="B112" s="14" t="s">
        <v>247</v>
      </c>
      <c r="C112" s="14" t="s">
        <v>2464</v>
      </c>
      <c r="D112" s="14" t="s">
        <v>2465</v>
      </c>
      <c r="E112" s="15" t="n">
        <v>32900</v>
      </c>
      <c r="F112" s="14" t="n">
        <v>1</v>
      </c>
      <c r="G112" s="14" t="n">
        <v>27.3</v>
      </c>
      <c r="H112" s="14" t="n">
        <v>27.3</v>
      </c>
      <c r="I112" s="14" t="n">
        <v>5</v>
      </c>
      <c r="J112" s="14" t="s">
        <v>338</v>
      </c>
      <c r="K112" s="6" t="s">
        <v>2467</v>
      </c>
      <c r="L112" s="16" t="s">
        <v>2466</v>
      </c>
      <c r="M112" s="6" t="s">
        <v>4676</v>
      </c>
      <c r="N112" s="14" t="s">
        <v>4667</v>
      </c>
      <c r="O112" s="6" t="s">
        <v>4671</v>
      </c>
      <c r="P112" s="20"/>
    </row>
    <row r="113" customFormat="false" ht="45" hidden="false" customHeight="true" outlineLevel="0" collapsed="false">
      <c r="A113" s="14" t="n">
        <v>111</v>
      </c>
      <c r="B113" s="14" t="s">
        <v>220</v>
      </c>
      <c r="C113" s="14" t="s">
        <v>2104</v>
      </c>
      <c r="D113" s="14" t="s">
        <v>2105</v>
      </c>
      <c r="E113" s="15" t="n">
        <v>37987</v>
      </c>
      <c r="F113" s="14" t="n">
        <v>1</v>
      </c>
      <c r="G113" s="14" t="n">
        <v>17.9</v>
      </c>
      <c r="H113" s="14" t="n">
        <v>17.9</v>
      </c>
      <c r="I113" s="14" t="n">
        <v>7</v>
      </c>
      <c r="J113" s="14" t="s">
        <v>225</v>
      </c>
      <c r="K113" s="6" t="s">
        <v>2107</v>
      </c>
      <c r="L113" s="16" t="s">
        <v>2106</v>
      </c>
      <c r="M113" s="6" t="s">
        <v>4676</v>
      </c>
      <c r="N113" s="14" t="s">
        <v>4667</v>
      </c>
      <c r="O113" s="6" t="s">
        <v>4668</v>
      </c>
      <c r="P113" s="20"/>
    </row>
    <row r="114" customFormat="false" ht="45" hidden="false" customHeight="true" outlineLevel="0" collapsed="false">
      <c r="A114" s="14" t="n">
        <v>112</v>
      </c>
      <c r="B114" s="14" t="s">
        <v>247</v>
      </c>
      <c r="C114" s="14" t="s">
        <v>1756</v>
      </c>
      <c r="D114" s="14" t="s">
        <v>1757</v>
      </c>
      <c r="E114" s="15" t="n">
        <v>17700</v>
      </c>
      <c r="F114" s="14" t="n">
        <v>1</v>
      </c>
      <c r="G114" s="14" t="n">
        <v>21.3</v>
      </c>
      <c r="H114" s="14" t="n">
        <v>21.3</v>
      </c>
      <c r="I114" s="14" t="n">
        <v>6</v>
      </c>
      <c r="J114" s="14" t="s">
        <v>225</v>
      </c>
      <c r="K114" s="6" t="s">
        <v>1759</v>
      </c>
      <c r="L114" s="16" t="s">
        <v>1758</v>
      </c>
      <c r="M114" s="6" t="s">
        <v>4676</v>
      </c>
      <c r="N114" s="14" t="s">
        <v>4667</v>
      </c>
      <c r="O114" s="6" t="s">
        <v>4668</v>
      </c>
      <c r="P114" s="20"/>
    </row>
    <row r="115" customFormat="false" ht="45" hidden="false" customHeight="true" outlineLevel="0" collapsed="false">
      <c r="A115" s="14" t="n">
        <v>113</v>
      </c>
      <c r="B115" s="14" t="s">
        <v>247</v>
      </c>
      <c r="C115" s="14" t="s">
        <v>794</v>
      </c>
      <c r="D115" s="14" t="s">
        <v>795</v>
      </c>
      <c r="E115" s="15" t="n">
        <v>11632</v>
      </c>
      <c r="F115" s="14" t="n">
        <v>1</v>
      </c>
      <c r="G115" s="14" t="n">
        <v>10.7</v>
      </c>
      <c r="H115" s="14" t="n">
        <v>10.7</v>
      </c>
      <c r="I115" s="14" t="n">
        <v>10</v>
      </c>
      <c r="J115" s="14" t="s">
        <v>264</v>
      </c>
      <c r="K115" s="6" t="s">
        <v>798</v>
      </c>
      <c r="L115" s="16" t="s">
        <v>797</v>
      </c>
      <c r="M115" s="6" t="s">
        <v>4676</v>
      </c>
      <c r="N115" s="14" t="s">
        <v>4667</v>
      </c>
      <c r="O115" s="6" t="s">
        <v>4668</v>
      </c>
      <c r="P115" s="20"/>
    </row>
    <row r="116" customFormat="false" ht="45" hidden="false" customHeight="true" outlineLevel="0" collapsed="false">
      <c r="A116" s="14" t="n">
        <v>114</v>
      </c>
      <c r="B116" s="14" t="s">
        <v>247</v>
      </c>
      <c r="C116" s="14" t="s">
        <v>2865</v>
      </c>
      <c r="D116" s="14" t="s">
        <v>2866</v>
      </c>
      <c r="E116" s="15" t="n">
        <v>66663</v>
      </c>
      <c r="F116" s="14" t="n">
        <v>1</v>
      </c>
      <c r="G116" s="14" t="n">
        <v>16.7</v>
      </c>
      <c r="H116" s="14" t="n">
        <v>16.7</v>
      </c>
      <c r="I116" s="14" t="n">
        <v>7</v>
      </c>
      <c r="J116" s="14" t="s">
        <v>322</v>
      </c>
      <c r="K116" s="6" t="s">
        <v>2869</v>
      </c>
      <c r="L116" s="16" t="s">
        <v>2868</v>
      </c>
      <c r="M116" s="6" t="s">
        <v>4676</v>
      </c>
      <c r="N116" s="14" t="s">
        <v>4667</v>
      </c>
      <c r="O116" s="6" t="s">
        <v>4668</v>
      </c>
      <c r="P116" s="20"/>
    </row>
    <row r="117" customFormat="false" ht="45" hidden="false" customHeight="true" outlineLevel="0" collapsed="false">
      <c r="A117" s="14" t="n">
        <v>115</v>
      </c>
      <c r="B117" s="14" t="s">
        <v>374</v>
      </c>
      <c r="C117" s="14" t="s">
        <v>1781</v>
      </c>
      <c r="D117" s="14" t="s">
        <v>1782</v>
      </c>
      <c r="E117" s="15" t="n">
        <v>21167</v>
      </c>
      <c r="F117" s="14" t="n">
        <v>1</v>
      </c>
      <c r="G117" s="14" t="n">
        <v>19.8</v>
      </c>
      <c r="H117" s="14" t="n">
        <v>19.8</v>
      </c>
      <c r="I117" s="14" t="n">
        <v>6</v>
      </c>
      <c r="J117" s="14" t="s">
        <v>322</v>
      </c>
      <c r="K117" s="6" t="s">
        <v>1785</v>
      </c>
      <c r="L117" s="16" t="s">
        <v>1784</v>
      </c>
      <c r="M117" s="6" t="s">
        <v>4676</v>
      </c>
      <c r="N117" s="14" t="s">
        <v>4667</v>
      </c>
      <c r="O117" s="6" t="s">
        <v>4668</v>
      </c>
      <c r="P117" s="20"/>
    </row>
    <row r="118" customFormat="false" ht="45" hidden="false" customHeight="true" outlineLevel="0" collapsed="false">
      <c r="A118" s="14" t="n">
        <v>116</v>
      </c>
      <c r="B118" s="14" t="s">
        <v>247</v>
      </c>
      <c r="C118" s="14" t="s">
        <v>2277</v>
      </c>
      <c r="D118" s="14" t="s">
        <v>2278</v>
      </c>
      <c r="E118" s="15" t="n">
        <v>38769</v>
      </c>
      <c r="F118" s="14" t="n">
        <v>1</v>
      </c>
      <c r="G118" s="14" t="n">
        <v>15.6</v>
      </c>
      <c r="H118" s="14" t="n">
        <v>15.6</v>
      </c>
      <c r="I118" s="14" t="n">
        <v>7</v>
      </c>
      <c r="J118" s="14" t="s">
        <v>586</v>
      </c>
      <c r="K118" s="6" t="s">
        <v>2280</v>
      </c>
      <c r="L118" s="16" t="s">
        <v>2279</v>
      </c>
      <c r="M118" s="6" t="s">
        <v>4676</v>
      </c>
      <c r="N118" s="14" t="s">
        <v>4667</v>
      </c>
      <c r="O118" s="6" t="s">
        <v>4668</v>
      </c>
      <c r="P118" s="20"/>
    </row>
    <row r="119" customFormat="false" ht="45" hidden="false" customHeight="true" outlineLevel="0" collapsed="false">
      <c r="A119" s="14" t="n">
        <v>117</v>
      </c>
      <c r="B119" s="14" t="s">
        <v>220</v>
      </c>
      <c r="C119" s="14" t="s">
        <v>2709</v>
      </c>
      <c r="D119" s="14" t="s">
        <v>2710</v>
      </c>
      <c r="E119" s="15" t="n">
        <v>35840</v>
      </c>
      <c r="F119" s="14" t="n">
        <v>1</v>
      </c>
      <c r="G119" s="14" t="n">
        <v>21.9</v>
      </c>
      <c r="H119" s="14" t="n">
        <v>21.9</v>
      </c>
      <c r="I119" s="14" t="n">
        <v>5</v>
      </c>
      <c r="J119" s="14" t="s">
        <v>308</v>
      </c>
      <c r="K119" s="6" t="s">
        <v>2712</v>
      </c>
      <c r="L119" s="16" t="s">
        <v>2711</v>
      </c>
      <c r="M119" s="6" t="s">
        <v>4676</v>
      </c>
      <c r="N119" s="14" t="s">
        <v>4667</v>
      </c>
      <c r="O119" s="6" t="s">
        <v>4671</v>
      </c>
      <c r="P119" s="20"/>
    </row>
    <row r="120" customFormat="false" ht="45" hidden="false" customHeight="true" outlineLevel="0" collapsed="false">
      <c r="A120" s="14" t="n">
        <v>118</v>
      </c>
      <c r="B120" s="14" t="s">
        <v>247</v>
      </c>
      <c r="C120" s="14" t="s">
        <v>1388</v>
      </c>
      <c r="D120" s="14" t="s">
        <v>1389</v>
      </c>
      <c r="E120" s="15" t="n">
        <v>29762</v>
      </c>
      <c r="F120" s="14" t="n">
        <v>1</v>
      </c>
      <c r="G120" s="14" t="n">
        <v>11.8</v>
      </c>
      <c r="H120" s="14" t="n">
        <v>11.8</v>
      </c>
      <c r="I120" s="14" t="n">
        <v>8</v>
      </c>
      <c r="J120" s="14" t="s">
        <v>375</v>
      </c>
      <c r="K120" s="6" t="s">
        <v>1391</v>
      </c>
      <c r="L120" s="16" t="s">
        <v>1390</v>
      </c>
      <c r="M120" s="6" t="s">
        <v>4676</v>
      </c>
      <c r="N120" s="14" t="s">
        <v>4667</v>
      </c>
      <c r="O120" s="6" t="s">
        <v>4668</v>
      </c>
      <c r="P120" s="20"/>
    </row>
    <row r="121" customFormat="false" ht="45" hidden="false" customHeight="true" outlineLevel="0" collapsed="false">
      <c r="A121" s="14" t="n">
        <v>119</v>
      </c>
      <c r="B121" s="14" t="s">
        <v>220</v>
      </c>
      <c r="C121" s="14" t="s">
        <v>1963</v>
      </c>
      <c r="D121" s="14" t="s">
        <v>1964</v>
      </c>
      <c r="E121" s="15" t="n">
        <v>17169</v>
      </c>
      <c r="F121" s="14" t="n">
        <v>1</v>
      </c>
      <c r="G121" s="14" t="n">
        <v>21.7</v>
      </c>
      <c r="H121" s="14" t="n">
        <v>21.7</v>
      </c>
      <c r="I121" s="14" t="n">
        <v>5</v>
      </c>
      <c r="J121" s="14" t="s">
        <v>322</v>
      </c>
      <c r="K121" s="6" t="s">
        <v>1967</v>
      </c>
      <c r="L121" s="16" t="s">
        <v>1966</v>
      </c>
      <c r="M121" s="6" t="s">
        <v>4676</v>
      </c>
      <c r="N121" s="14" t="s">
        <v>4667</v>
      </c>
      <c r="O121" s="6" t="s">
        <v>4671</v>
      </c>
      <c r="P121" s="20"/>
    </row>
    <row r="122" customFormat="false" ht="45" hidden="false" customHeight="true" outlineLevel="0" collapsed="false">
      <c r="A122" s="14" t="n">
        <v>120</v>
      </c>
      <c r="B122" s="14" t="s">
        <v>247</v>
      </c>
      <c r="C122" s="14" t="s">
        <v>1972</v>
      </c>
      <c r="D122" s="14" t="s">
        <v>1973</v>
      </c>
      <c r="E122" s="15" t="n">
        <v>29248</v>
      </c>
      <c r="F122" s="14" t="n">
        <v>1</v>
      </c>
      <c r="G122" s="14" t="n">
        <v>21.7</v>
      </c>
      <c r="H122" s="14" t="n">
        <v>21.7</v>
      </c>
      <c r="I122" s="14" t="n">
        <v>5</v>
      </c>
      <c r="J122" s="14" t="s">
        <v>264</v>
      </c>
      <c r="K122" s="6" t="s">
        <v>1975</v>
      </c>
      <c r="L122" s="16" t="s">
        <v>1974</v>
      </c>
      <c r="M122" s="6" t="s">
        <v>4676</v>
      </c>
      <c r="N122" s="14" t="s">
        <v>4667</v>
      </c>
      <c r="O122" s="6" t="s">
        <v>4671</v>
      </c>
      <c r="P122" s="20"/>
    </row>
    <row r="123" customFormat="false" ht="45" hidden="false" customHeight="true" outlineLevel="0" collapsed="false">
      <c r="A123" s="14" t="n">
        <v>121</v>
      </c>
      <c r="B123" s="14" t="s">
        <v>247</v>
      </c>
      <c r="C123" s="14" t="s">
        <v>1916</v>
      </c>
      <c r="D123" s="14" t="s">
        <v>1917</v>
      </c>
      <c r="E123" s="15" t="n">
        <v>6411</v>
      </c>
      <c r="F123" s="14" t="n">
        <v>1</v>
      </c>
      <c r="G123" s="14" t="n">
        <v>18.9</v>
      </c>
      <c r="H123" s="14" t="n">
        <v>18.9</v>
      </c>
      <c r="I123" s="14" t="n">
        <v>5.5</v>
      </c>
      <c r="J123" s="14" t="s">
        <v>322</v>
      </c>
      <c r="K123" s="6" t="s">
        <v>1920</v>
      </c>
      <c r="L123" s="16" t="s">
        <v>1919</v>
      </c>
      <c r="M123" s="6" t="s">
        <v>4676</v>
      </c>
      <c r="N123" s="14" t="s">
        <v>4667</v>
      </c>
      <c r="O123" s="6" t="s">
        <v>4671</v>
      </c>
      <c r="P123" s="20"/>
    </row>
    <row r="124" customFormat="false" ht="45" hidden="false" customHeight="true" outlineLevel="0" collapsed="false">
      <c r="A124" s="14" t="n">
        <v>122</v>
      </c>
      <c r="B124" s="14" t="s">
        <v>220</v>
      </c>
      <c r="C124" s="14" t="s">
        <v>2565</v>
      </c>
      <c r="D124" s="14" t="s">
        <v>2566</v>
      </c>
      <c r="E124" s="15" t="n">
        <v>36481</v>
      </c>
      <c r="F124" s="14" t="n">
        <v>1</v>
      </c>
      <c r="G124" s="14" t="n">
        <v>16.2</v>
      </c>
      <c r="H124" s="14" t="n">
        <v>16.2</v>
      </c>
      <c r="I124" s="14" t="n">
        <v>6.1</v>
      </c>
      <c r="J124" s="14" t="s">
        <v>225</v>
      </c>
      <c r="K124" s="6" t="s">
        <v>2569</v>
      </c>
      <c r="L124" s="16" t="s">
        <v>2568</v>
      </c>
      <c r="M124" s="6" t="s">
        <v>4676</v>
      </c>
      <c r="N124" s="14" t="s">
        <v>4667</v>
      </c>
      <c r="O124" s="6" t="s">
        <v>4668</v>
      </c>
      <c r="P124" s="20"/>
    </row>
    <row r="125" customFormat="false" ht="45" hidden="false" customHeight="true" outlineLevel="0" collapsed="false">
      <c r="A125" s="14" t="n">
        <v>123</v>
      </c>
      <c r="B125" s="14" t="s">
        <v>374</v>
      </c>
      <c r="C125" s="14" t="s">
        <v>1746</v>
      </c>
      <c r="D125" s="14" t="s">
        <v>1747</v>
      </c>
      <c r="E125" s="15" t="n">
        <v>18104</v>
      </c>
      <c r="F125" s="14" t="n">
        <v>1</v>
      </c>
      <c r="G125" s="14" t="n">
        <v>13</v>
      </c>
      <c r="H125" s="14" t="n">
        <v>13</v>
      </c>
      <c r="I125" s="14" t="n">
        <v>7</v>
      </c>
      <c r="J125" s="14" t="s">
        <v>264</v>
      </c>
      <c r="K125" s="6" t="s">
        <v>1750</v>
      </c>
      <c r="L125" s="16" t="s">
        <v>1749</v>
      </c>
      <c r="M125" s="6" t="s">
        <v>4676</v>
      </c>
      <c r="N125" s="14" t="s">
        <v>4667</v>
      </c>
      <c r="O125" s="6" t="s">
        <v>4668</v>
      </c>
      <c r="P125" s="20"/>
    </row>
    <row r="126" customFormat="false" ht="45" hidden="false" customHeight="true" outlineLevel="0" collapsed="false">
      <c r="A126" s="14" t="n">
        <v>124</v>
      </c>
      <c r="B126" s="14" t="s">
        <v>220</v>
      </c>
      <c r="C126" s="14" t="s">
        <v>1642</v>
      </c>
      <c r="D126" s="14" t="s">
        <v>1643</v>
      </c>
      <c r="E126" s="15" t="n">
        <v>19035</v>
      </c>
      <c r="F126" s="14" t="n">
        <v>1</v>
      </c>
      <c r="G126" s="14" t="n">
        <v>11.8</v>
      </c>
      <c r="H126" s="14" t="n">
        <v>11.8</v>
      </c>
      <c r="I126" s="14" t="n">
        <v>7.5</v>
      </c>
      <c r="J126" s="14" t="s">
        <v>322</v>
      </c>
      <c r="K126" s="6" t="s">
        <v>1646</v>
      </c>
      <c r="L126" s="16" t="s">
        <v>1645</v>
      </c>
      <c r="M126" s="6" t="s">
        <v>4678</v>
      </c>
      <c r="N126" s="14" t="s">
        <v>4667</v>
      </c>
      <c r="O126" s="6" t="s">
        <v>4668</v>
      </c>
      <c r="P126" s="20"/>
    </row>
    <row r="127" customFormat="false" ht="45" hidden="false" customHeight="true" outlineLevel="0" collapsed="false">
      <c r="A127" s="14" t="n">
        <v>125</v>
      </c>
      <c r="B127" s="14" t="s">
        <v>374</v>
      </c>
      <c r="C127" s="14" t="s">
        <v>2074</v>
      </c>
      <c r="D127" s="14" t="s">
        <v>2075</v>
      </c>
      <c r="E127" s="15" t="n">
        <v>10694</v>
      </c>
      <c r="F127" s="14" t="n">
        <v>1</v>
      </c>
      <c r="G127" s="14" t="n">
        <v>22.5</v>
      </c>
      <c r="H127" s="14" t="n">
        <v>22.5</v>
      </c>
      <c r="I127" s="14" t="n">
        <v>4.5</v>
      </c>
      <c r="J127" s="14" t="s">
        <v>322</v>
      </c>
      <c r="K127" s="6" t="s">
        <v>2077</v>
      </c>
      <c r="L127" s="16" t="s">
        <v>2076</v>
      </c>
      <c r="M127" s="6" t="s">
        <v>4676</v>
      </c>
      <c r="N127" s="14" t="s">
        <v>4667</v>
      </c>
      <c r="O127" s="6" t="s">
        <v>4671</v>
      </c>
      <c r="P127" s="20"/>
    </row>
    <row r="128" customFormat="false" ht="45" hidden="false" customHeight="true" outlineLevel="0" collapsed="false">
      <c r="A128" s="14" t="n">
        <v>126</v>
      </c>
      <c r="B128" s="14" t="s">
        <v>247</v>
      </c>
      <c r="C128" s="14" t="s">
        <v>3083</v>
      </c>
      <c r="D128" s="14" t="s">
        <v>3084</v>
      </c>
      <c r="E128" s="15" t="n">
        <v>117546</v>
      </c>
      <c r="F128" s="14" t="n">
        <v>1</v>
      </c>
      <c r="G128" s="14" t="n">
        <v>15.3</v>
      </c>
      <c r="H128" s="14" t="n">
        <v>15.3</v>
      </c>
      <c r="I128" s="14" t="n">
        <v>6</v>
      </c>
      <c r="J128" s="14" t="s">
        <v>225</v>
      </c>
      <c r="K128" s="6" t="s">
        <v>3087</v>
      </c>
      <c r="L128" s="16" t="s">
        <v>3086</v>
      </c>
      <c r="M128" s="6" t="s">
        <v>4676</v>
      </c>
      <c r="N128" s="14" t="s">
        <v>4667</v>
      </c>
      <c r="O128" s="6" t="s">
        <v>4668</v>
      </c>
      <c r="P128" s="20"/>
    </row>
    <row r="129" customFormat="false" ht="45" hidden="false" customHeight="true" outlineLevel="0" collapsed="false">
      <c r="A129" s="14" t="n">
        <v>127</v>
      </c>
      <c r="B129" s="14" t="s">
        <v>247</v>
      </c>
      <c r="C129" s="14" t="s">
        <v>2796</v>
      </c>
      <c r="D129" s="14" t="s">
        <v>2797</v>
      </c>
      <c r="E129" s="15" t="n">
        <v>31600</v>
      </c>
      <c r="F129" s="14" t="n">
        <v>1</v>
      </c>
      <c r="G129" s="14" t="n">
        <v>19.2</v>
      </c>
      <c r="H129" s="14" t="n">
        <v>19.2</v>
      </c>
      <c r="I129" s="14" t="n">
        <v>5</v>
      </c>
      <c r="J129" s="14" t="s">
        <v>322</v>
      </c>
      <c r="K129" s="6" t="s">
        <v>2799</v>
      </c>
      <c r="L129" s="16" t="s">
        <v>2798</v>
      </c>
      <c r="M129" s="6" t="s">
        <v>4676</v>
      </c>
      <c r="N129" s="14" t="s">
        <v>4667</v>
      </c>
      <c r="O129" s="6" t="s">
        <v>4671</v>
      </c>
      <c r="P129" s="20"/>
    </row>
    <row r="130" customFormat="false" ht="45" hidden="false" customHeight="true" outlineLevel="0" collapsed="false">
      <c r="A130" s="14" t="n">
        <v>128</v>
      </c>
      <c r="B130" s="14" t="s">
        <v>247</v>
      </c>
      <c r="C130" s="14" t="s">
        <v>2286</v>
      </c>
      <c r="D130" s="14" t="s">
        <v>2287</v>
      </c>
      <c r="E130" s="15" t="n">
        <v>65888</v>
      </c>
      <c r="F130" s="14" t="n">
        <v>1</v>
      </c>
      <c r="G130" s="14" t="n">
        <v>7</v>
      </c>
      <c r="H130" s="14" t="n">
        <v>7</v>
      </c>
      <c r="I130" s="14" t="n">
        <v>10</v>
      </c>
      <c r="J130" s="14" t="s">
        <v>322</v>
      </c>
      <c r="K130" s="6" t="s">
        <v>2289</v>
      </c>
      <c r="L130" s="16" t="s">
        <v>2288</v>
      </c>
      <c r="M130" s="6" t="s">
        <v>4676</v>
      </c>
      <c r="N130" s="14" t="s">
        <v>4667</v>
      </c>
      <c r="O130" s="6" t="s">
        <v>4668</v>
      </c>
      <c r="P130" s="20"/>
    </row>
    <row r="131" customFormat="false" ht="45" hidden="false" customHeight="true" outlineLevel="0" collapsed="false">
      <c r="A131" s="14" t="n">
        <v>129</v>
      </c>
      <c r="B131" s="14" t="s">
        <v>374</v>
      </c>
      <c r="C131" s="14" t="s">
        <v>1663</v>
      </c>
      <c r="D131" s="14" t="s">
        <v>1664</v>
      </c>
      <c r="E131" s="15" t="n">
        <v>33622</v>
      </c>
      <c r="F131" s="14" t="n">
        <v>1</v>
      </c>
      <c r="G131" s="14" t="n">
        <v>7</v>
      </c>
      <c r="H131" s="14" t="n">
        <v>7</v>
      </c>
      <c r="I131" s="14" t="n">
        <v>10</v>
      </c>
      <c r="J131" s="14" t="s">
        <v>322</v>
      </c>
      <c r="K131" s="6" t="s">
        <v>1667</v>
      </c>
      <c r="L131" s="16" t="s">
        <v>1666</v>
      </c>
      <c r="M131" s="6" t="s">
        <v>4676</v>
      </c>
      <c r="N131" s="14" t="s">
        <v>4667</v>
      </c>
      <c r="O131" s="6" t="s">
        <v>4668</v>
      </c>
      <c r="P131" s="20"/>
    </row>
    <row r="132" customFormat="false" ht="45" hidden="false" customHeight="true" outlineLevel="0" collapsed="false">
      <c r="A132" s="14" t="n">
        <v>130</v>
      </c>
      <c r="B132" s="14" t="s">
        <v>247</v>
      </c>
      <c r="C132" s="14" t="s">
        <v>2091</v>
      </c>
      <c r="D132" s="14" t="s">
        <v>2092</v>
      </c>
      <c r="E132" s="15" t="n">
        <v>6167</v>
      </c>
      <c r="F132" s="14" t="n">
        <v>1</v>
      </c>
      <c r="G132" s="14" t="n">
        <v>18</v>
      </c>
      <c r="H132" s="14" t="n">
        <v>18</v>
      </c>
      <c r="I132" s="14" t="n">
        <v>5</v>
      </c>
      <c r="J132" s="14" t="s">
        <v>264</v>
      </c>
      <c r="K132" s="6" t="s">
        <v>2095</v>
      </c>
      <c r="L132" s="16" t="s">
        <v>2094</v>
      </c>
      <c r="M132" s="6" t="s">
        <v>4676</v>
      </c>
      <c r="N132" s="14" t="s">
        <v>4667</v>
      </c>
      <c r="O132" s="6" t="s">
        <v>4671</v>
      </c>
      <c r="P132" s="20"/>
    </row>
    <row r="133" customFormat="false" ht="45" hidden="false" customHeight="true" outlineLevel="0" collapsed="false">
      <c r="A133" s="14" t="n">
        <v>131</v>
      </c>
      <c r="B133" s="14" t="s">
        <v>247</v>
      </c>
      <c r="C133" s="14" t="s">
        <v>1799</v>
      </c>
      <c r="D133" s="14" t="s">
        <v>1800</v>
      </c>
      <c r="E133" s="15" t="n">
        <v>17479</v>
      </c>
      <c r="F133" s="14" t="n">
        <v>1</v>
      </c>
      <c r="G133" s="14" t="n">
        <v>11.2</v>
      </c>
      <c r="H133" s="14" t="n">
        <v>11.2</v>
      </c>
      <c r="I133" s="14" t="n">
        <v>7</v>
      </c>
      <c r="J133" s="14" t="s">
        <v>586</v>
      </c>
      <c r="K133" s="6" t="s">
        <v>1802</v>
      </c>
      <c r="L133" s="16" t="s">
        <v>1801</v>
      </c>
      <c r="M133" s="6" t="s">
        <v>4676</v>
      </c>
      <c r="N133" s="14" t="s">
        <v>4667</v>
      </c>
      <c r="O133" s="6" t="s">
        <v>4668</v>
      </c>
      <c r="P133" s="20"/>
    </row>
    <row r="134" customFormat="false" ht="45" hidden="false" customHeight="true" outlineLevel="0" collapsed="false">
      <c r="A134" s="14" t="n">
        <v>132</v>
      </c>
      <c r="B134" s="14" t="s">
        <v>374</v>
      </c>
      <c r="C134" s="14" t="s">
        <v>2695</v>
      </c>
      <c r="D134" s="14" t="s">
        <v>2696</v>
      </c>
      <c r="E134" s="15" t="n">
        <v>46893</v>
      </c>
      <c r="F134" s="14" t="n">
        <v>1</v>
      </c>
      <c r="G134" s="14" t="n">
        <v>13.7</v>
      </c>
      <c r="H134" s="14" t="n">
        <v>13.7</v>
      </c>
      <c r="I134" s="14" t="n">
        <v>6</v>
      </c>
      <c r="J134" s="14" t="s">
        <v>225</v>
      </c>
      <c r="K134" s="6" t="s">
        <v>2698</v>
      </c>
      <c r="L134" s="16" t="s">
        <v>2697</v>
      </c>
      <c r="M134" s="6" t="s">
        <v>4676</v>
      </c>
      <c r="N134" s="14" t="s">
        <v>4667</v>
      </c>
      <c r="O134" s="6" t="s">
        <v>4668</v>
      </c>
      <c r="P134" s="20"/>
    </row>
    <row r="135" customFormat="false" ht="45" hidden="false" customHeight="true" outlineLevel="0" collapsed="false">
      <c r="A135" s="14" t="n">
        <v>133</v>
      </c>
      <c r="B135" s="14" t="s">
        <v>374</v>
      </c>
      <c r="C135" s="14" t="s">
        <v>2309</v>
      </c>
      <c r="D135" s="14" t="s">
        <v>2310</v>
      </c>
      <c r="E135" s="15" t="n">
        <v>75096</v>
      </c>
      <c r="F135" s="14" t="n">
        <v>1</v>
      </c>
      <c r="G135" s="14" t="n">
        <v>6.2</v>
      </c>
      <c r="H135" s="14" t="n">
        <v>6.2</v>
      </c>
      <c r="I135" s="14" t="n">
        <v>10</v>
      </c>
      <c r="J135" s="14" t="s">
        <v>225</v>
      </c>
      <c r="K135" s="6" t="s">
        <v>2312</v>
      </c>
      <c r="L135" s="16" t="s">
        <v>2311</v>
      </c>
      <c r="M135" s="6" t="s">
        <v>4676</v>
      </c>
      <c r="N135" s="14" t="s">
        <v>4667</v>
      </c>
      <c r="O135" s="6" t="s">
        <v>4668</v>
      </c>
      <c r="P135" s="20"/>
    </row>
    <row r="136" customFormat="false" ht="45" hidden="false" customHeight="true" outlineLevel="0" collapsed="false">
      <c r="A136" s="14" t="n">
        <v>134</v>
      </c>
      <c r="B136" s="14" t="s">
        <v>374</v>
      </c>
      <c r="C136" s="14" t="s">
        <v>2597</v>
      </c>
      <c r="D136" s="14" t="s">
        <v>2598</v>
      </c>
      <c r="E136" s="15" t="n">
        <v>96180</v>
      </c>
      <c r="F136" s="14" t="n">
        <v>1</v>
      </c>
      <c r="G136" s="14" t="n">
        <v>7.4</v>
      </c>
      <c r="H136" s="14" t="n">
        <v>7.4</v>
      </c>
      <c r="I136" s="14" t="n">
        <v>9</v>
      </c>
      <c r="J136" s="14" t="s">
        <v>225</v>
      </c>
      <c r="K136" s="6" t="s">
        <v>2601</v>
      </c>
      <c r="L136" s="16" t="s">
        <v>2600</v>
      </c>
      <c r="M136" s="6" t="s">
        <v>4676</v>
      </c>
      <c r="N136" s="14" t="s">
        <v>4667</v>
      </c>
      <c r="O136" s="6" t="s">
        <v>4668</v>
      </c>
      <c r="P136" s="20"/>
    </row>
    <row r="137" customFormat="false" ht="45" hidden="false" customHeight="true" outlineLevel="0" collapsed="false">
      <c r="A137" s="14" t="n">
        <v>135</v>
      </c>
      <c r="B137" s="14" t="s">
        <v>374</v>
      </c>
      <c r="C137" s="14" t="s">
        <v>3245</v>
      </c>
      <c r="D137" s="14" t="s">
        <v>3246</v>
      </c>
      <c r="E137" s="15" t="n">
        <v>61406</v>
      </c>
      <c r="F137" s="14" t="n">
        <v>1</v>
      </c>
      <c r="G137" s="14" t="n">
        <v>16.8</v>
      </c>
      <c r="H137" s="14" t="n">
        <v>16.8</v>
      </c>
      <c r="I137" s="14" t="n">
        <v>5</v>
      </c>
      <c r="J137" s="14" t="s">
        <v>225</v>
      </c>
      <c r="K137" s="6" t="s">
        <v>3249</v>
      </c>
      <c r="L137" s="16" t="s">
        <v>3248</v>
      </c>
      <c r="M137" s="6" t="s">
        <v>4676</v>
      </c>
      <c r="N137" s="14" t="s">
        <v>4667</v>
      </c>
      <c r="O137" s="6" t="s">
        <v>4671</v>
      </c>
      <c r="P137" s="20"/>
    </row>
    <row r="138" customFormat="false" ht="45" hidden="false" customHeight="true" outlineLevel="0" collapsed="false">
      <c r="A138" s="14" t="n">
        <v>136</v>
      </c>
      <c r="B138" s="14" t="s">
        <v>374</v>
      </c>
      <c r="C138" s="14" t="s">
        <v>2741</v>
      </c>
      <c r="D138" s="14" t="s">
        <v>2742</v>
      </c>
      <c r="E138" s="15" t="n">
        <v>52478</v>
      </c>
      <c r="F138" s="14" t="n">
        <v>1</v>
      </c>
      <c r="G138" s="14" t="n">
        <v>13.1</v>
      </c>
      <c r="H138" s="14" t="n">
        <v>13.1</v>
      </c>
      <c r="I138" s="14" t="n">
        <v>6</v>
      </c>
      <c r="J138" s="14" t="s">
        <v>225</v>
      </c>
      <c r="K138" s="6" t="s">
        <v>2744</v>
      </c>
      <c r="L138" s="16" t="s">
        <v>2743</v>
      </c>
      <c r="M138" s="6" t="s">
        <v>4676</v>
      </c>
      <c r="N138" s="14" t="s">
        <v>4667</v>
      </c>
      <c r="O138" s="6" t="s">
        <v>4668</v>
      </c>
      <c r="P138" s="20"/>
    </row>
    <row r="139" customFormat="false" ht="45" hidden="false" customHeight="true" outlineLevel="0" collapsed="false">
      <c r="A139" s="14" t="n">
        <v>137</v>
      </c>
      <c r="B139" s="14" t="s">
        <v>247</v>
      </c>
      <c r="C139" s="14" t="s">
        <v>2018</v>
      </c>
      <c r="D139" s="14" t="s">
        <v>2019</v>
      </c>
      <c r="E139" s="15" t="n">
        <v>7300</v>
      </c>
      <c r="F139" s="14" t="n">
        <v>1</v>
      </c>
      <c r="G139" s="14" t="n">
        <v>12.9</v>
      </c>
      <c r="H139" s="14" t="n">
        <v>12.9</v>
      </c>
      <c r="I139" s="14" t="n">
        <v>6</v>
      </c>
      <c r="J139" s="14" t="s">
        <v>225</v>
      </c>
      <c r="K139" s="6" t="s">
        <v>2021</v>
      </c>
      <c r="L139" s="16" t="s">
        <v>2020</v>
      </c>
      <c r="M139" s="6" t="s">
        <v>4676</v>
      </c>
      <c r="N139" s="14" t="s">
        <v>4667</v>
      </c>
      <c r="O139" s="6" t="s">
        <v>4668</v>
      </c>
      <c r="P139" s="20"/>
    </row>
    <row r="140" customFormat="false" ht="45" hidden="false" customHeight="true" outlineLevel="0" collapsed="false">
      <c r="A140" s="14" t="n">
        <v>138</v>
      </c>
      <c r="B140" s="14" t="s">
        <v>220</v>
      </c>
      <c r="C140" s="14" t="s">
        <v>2530</v>
      </c>
      <c r="D140" s="14" t="s">
        <v>2531</v>
      </c>
      <c r="E140" s="15" t="n">
        <v>57013</v>
      </c>
      <c r="F140" s="14" t="n">
        <v>1</v>
      </c>
      <c r="G140" s="14" t="n">
        <v>9.3</v>
      </c>
      <c r="H140" s="14" t="n">
        <v>9.3</v>
      </c>
      <c r="I140" s="14" t="n">
        <v>7</v>
      </c>
      <c r="J140" s="14" t="s">
        <v>375</v>
      </c>
      <c r="K140" s="6" t="s">
        <v>2534</v>
      </c>
      <c r="L140" s="16" t="s">
        <v>2533</v>
      </c>
      <c r="M140" s="6" t="s">
        <v>4676</v>
      </c>
      <c r="N140" s="14" t="s">
        <v>4667</v>
      </c>
      <c r="O140" s="6" t="s">
        <v>4668</v>
      </c>
      <c r="P140" s="20"/>
    </row>
    <row r="141" customFormat="false" ht="45" hidden="false" customHeight="true" outlineLevel="0" collapsed="false">
      <c r="A141" s="14" t="n">
        <v>139</v>
      </c>
      <c r="B141" s="14" t="s">
        <v>220</v>
      </c>
      <c r="C141" s="14" t="s">
        <v>2936</v>
      </c>
      <c r="D141" s="14" t="s">
        <v>2937</v>
      </c>
      <c r="E141" s="15" t="n">
        <v>42493</v>
      </c>
      <c r="F141" s="14" t="n">
        <v>1</v>
      </c>
      <c r="G141" s="14" t="n">
        <v>14.9</v>
      </c>
      <c r="H141" s="14" t="n">
        <v>14.9</v>
      </c>
      <c r="I141" s="14" t="n">
        <v>5</v>
      </c>
      <c r="J141" s="14" t="s">
        <v>264</v>
      </c>
      <c r="K141" s="6" t="s">
        <v>2939</v>
      </c>
      <c r="L141" s="16" t="s">
        <v>2938</v>
      </c>
      <c r="M141" s="6" t="s">
        <v>4676</v>
      </c>
      <c r="N141" s="14" t="s">
        <v>4667</v>
      </c>
      <c r="O141" s="6" t="s">
        <v>4671</v>
      </c>
      <c r="P141" s="20"/>
    </row>
    <row r="142" customFormat="false" ht="45" hidden="false" customHeight="true" outlineLevel="0" collapsed="false">
      <c r="A142" s="14" t="n">
        <v>140</v>
      </c>
      <c r="B142" s="14" t="s">
        <v>374</v>
      </c>
      <c r="C142" s="14" t="s">
        <v>2540</v>
      </c>
      <c r="D142" s="14" t="s">
        <v>2541</v>
      </c>
      <c r="E142" s="15" t="n">
        <v>55077</v>
      </c>
      <c r="F142" s="14" t="n">
        <v>1</v>
      </c>
      <c r="G142" s="14" t="n">
        <v>9.2</v>
      </c>
      <c r="H142" s="14" t="n">
        <v>9.2</v>
      </c>
      <c r="I142" s="14" t="n">
        <v>7</v>
      </c>
      <c r="J142" s="14" t="s">
        <v>322</v>
      </c>
      <c r="K142" s="6" t="s">
        <v>2544</v>
      </c>
      <c r="L142" s="16" t="s">
        <v>2543</v>
      </c>
      <c r="M142" s="6" t="s">
        <v>4676</v>
      </c>
      <c r="N142" s="14" t="s">
        <v>4667</v>
      </c>
      <c r="O142" s="6" t="s">
        <v>4668</v>
      </c>
      <c r="P142" s="20"/>
    </row>
    <row r="143" customFormat="false" ht="45" hidden="false" customHeight="true" outlineLevel="0" collapsed="false">
      <c r="A143" s="14" t="n">
        <v>141</v>
      </c>
      <c r="B143" s="14" t="s">
        <v>220</v>
      </c>
      <c r="C143" s="14" t="s">
        <v>3051</v>
      </c>
      <c r="D143" s="14" t="s">
        <v>3052</v>
      </c>
      <c r="E143" s="15" t="n">
        <v>62575</v>
      </c>
      <c r="F143" s="14" t="n">
        <v>1</v>
      </c>
      <c r="G143" s="14" t="n">
        <v>9.3</v>
      </c>
      <c r="H143" s="14" t="n">
        <v>9.3</v>
      </c>
      <c r="I143" s="14" t="n">
        <v>6.9</v>
      </c>
      <c r="J143" s="14" t="s">
        <v>586</v>
      </c>
      <c r="K143" s="6" t="s">
        <v>3055</v>
      </c>
      <c r="L143" s="16" t="s">
        <v>3054</v>
      </c>
      <c r="M143" s="6" t="s">
        <v>4676</v>
      </c>
      <c r="N143" s="14" t="s">
        <v>4667</v>
      </c>
      <c r="O143" s="6" t="s">
        <v>4668</v>
      </c>
      <c r="P143" s="20"/>
    </row>
    <row r="144" customFormat="false" ht="45" hidden="false" customHeight="true" outlineLevel="0" collapsed="false">
      <c r="A144" s="14" t="n">
        <v>142</v>
      </c>
      <c r="B144" s="14" t="s">
        <v>220</v>
      </c>
      <c r="C144" s="14" t="s">
        <v>1931</v>
      </c>
      <c r="D144" s="14" t="s">
        <v>1932</v>
      </c>
      <c r="E144" s="15" t="n">
        <v>20477</v>
      </c>
      <c r="F144" s="14" t="n">
        <v>1</v>
      </c>
      <c r="G144" s="14" t="n">
        <v>10.2</v>
      </c>
      <c r="H144" s="14" t="n">
        <v>10.2</v>
      </c>
      <c r="I144" s="14" t="n">
        <v>6.5</v>
      </c>
      <c r="J144" s="14" t="s">
        <v>322</v>
      </c>
      <c r="K144" s="6" t="s">
        <v>1935</v>
      </c>
      <c r="L144" s="16" t="s">
        <v>1934</v>
      </c>
      <c r="M144" s="6" t="s">
        <v>4676</v>
      </c>
      <c r="N144" s="14" t="s">
        <v>4667</v>
      </c>
      <c r="O144" s="6" t="s">
        <v>4668</v>
      </c>
      <c r="P144" s="20"/>
    </row>
    <row r="145" customFormat="false" ht="45" hidden="false" customHeight="true" outlineLevel="0" collapsed="false">
      <c r="A145" s="14" t="n">
        <v>143</v>
      </c>
      <c r="B145" s="14" t="s">
        <v>247</v>
      </c>
      <c r="C145" s="14" t="s">
        <v>3235</v>
      </c>
      <c r="D145" s="14" t="s">
        <v>3236</v>
      </c>
      <c r="E145" s="15" t="n">
        <v>77188</v>
      </c>
      <c r="F145" s="14" t="n">
        <v>1</v>
      </c>
      <c r="G145" s="14" t="n">
        <v>12.8</v>
      </c>
      <c r="H145" s="14" t="n">
        <v>12.8</v>
      </c>
      <c r="I145" s="14" t="n">
        <v>5.5</v>
      </c>
      <c r="J145" s="14" t="s">
        <v>338</v>
      </c>
      <c r="K145" s="6" t="s">
        <v>3239</v>
      </c>
      <c r="L145" s="16" t="s">
        <v>3238</v>
      </c>
      <c r="M145" s="6" t="s">
        <v>4676</v>
      </c>
      <c r="N145" s="14" t="s">
        <v>4667</v>
      </c>
      <c r="O145" s="6" t="s">
        <v>4671</v>
      </c>
      <c r="P145" s="20"/>
    </row>
    <row r="146" customFormat="false" ht="45" hidden="false" customHeight="true" outlineLevel="0" collapsed="false">
      <c r="A146" s="14" t="n">
        <v>144</v>
      </c>
      <c r="B146" s="14" t="s">
        <v>247</v>
      </c>
      <c r="C146" s="14" t="s">
        <v>2919</v>
      </c>
      <c r="D146" s="14" t="s">
        <v>2920</v>
      </c>
      <c r="E146" s="15" t="n">
        <v>85000</v>
      </c>
      <c r="F146" s="14" t="n">
        <v>1</v>
      </c>
      <c r="G146" s="14" t="n">
        <v>7.2</v>
      </c>
      <c r="H146" s="14" t="n">
        <v>7.2</v>
      </c>
      <c r="I146" s="14" t="n">
        <v>8</v>
      </c>
      <c r="J146" s="14" t="s">
        <v>364</v>
      </c>
      <c r="K146" s="6" t="s">
        <v>2922</v>
      </c>
      <c r="L146" s="16" t="s">
        <v>2921</v>
      </c>
      <c r="M146" s="6" t="s">
        <v>4676</v>
      </c>
      <c r="N146" s="14" t="s">
        <v>4667</v>
      </c>
      <c r="O146" s="6" t="s">
        <v>4668</v>
      </c>
      <c r="P146" s="20"/>
    </row>
    <row r="147" customFormat="false" ht="45" hidden="false" customHeight="true" outlineLevel="0" collapsed="false">
      <c r="A147" s="14" t="n">
        <v>145</v>
      </c>
      <c r="B147" s="14" t="s">
        <v>220</v>
      </c>
      <c r="C147" s="14" t="s">
        <v>1291</v>
      </c>
      <c r="D147" s="14" t="s">
        <v>1292</v>
      </c>
      <c r="E147" s="15" t="n">
        <v>15354</v>
      </c>
      <c r="F147" s="14" t="n">
        <v>1</v>
      </c>
      <c r="G147" s="14" t="n">
        <v>5.4</v>
      </c>
      <c r="H147" s="14" t="n">
        <v>5.4</v>
      </c>
      <c r="I147" s="14" t="n">
        <v>9.3</v>
      </c>
      <c r="J147" s="14" t="s">
        <v>338</v>
      </c>
      <c r="K147" s="6" t="s">
        <v>1295</v>
      </c>
      <c r="L147" s="16" t="s">
        <v>1294</v>
      </c>
      <c r="M147" s="6" t="s">
        <v>4676</v>
      </c>
      <c r="N147" s="14" t="s">
        <v>4667</v>
      </c>
      <c r="O147" s="6" t="s">
        <v>4668</v>
      </c>
      <c r="P147" s="20"/>
    </row>
    <row r="148" customFormat="false" ht="45" hidden="false" customHeight="true" outlineLevel="0" collapsed="false">
      <c r="A148" s="14" t="n">
        <v>146</v>
      </c>
      <c r="B148" s="14" t="s">
        <v>220</v>
      </c>
      <c r="C148" s="14" t="s">
        <v>1018</v>
      </c>
      <c r="D148" s="14" t="s">
        <v>1019</v>
      </c>
      <c r="E148" s="15" t="n">
        <v>7003</v>
      </c>
      <c r="F148" s="14" t="n">
        <v>1</v>
      </c>
      <c r="G148" s="14" t="n">
        <v>4.6</v>
      </c>
      <c r="H148" s="14" t="n">
        <v>4.6</v>
      </c>
      <c r="I148" s="14" t="n">
        <v>10</v>
      </c>
      <c r="J148" s="14" t="s">
        <v>308</v>
      </c>
      <c r="K148" s="6" t="s">
        <v>1022</v>
      </c>
      <c r="L148" s="16" t="s">
        <v>1021</v>
      </c>
      <c r="M148" s="6" t="s">
        <v>4679</v>
      </c>
      <c r="N148" s="14" t="s">
        <v>4667</v>
      </c>
      <c r="O148" s="6" t="s">
        <v>4668</v>
      </c>
      <c r="P148" s="20"/>
    </row>
    <row r="149" customFormat="false" ht="45" hidden="false" customHeight="true" outlineLevel="0" collapsed="false">
      <c r="A149" s="14" t="n">
        <v>147</v>
      </c>
      <c r="B149" s="14" t="s">
        <v>220</v>
      </c>
      <c r="C149" s="14" t="s">
        <v>1028</v>
      </c>
      <c r="D149" s="14" t="s">
        <v>1029</v>
      </c>
      <c r="E149" s="15" t="n">
        <v>17724</v>
      </c>
      <c r="F149" s="14" t="n">
        <v>1</v>
      </c>
      <c r="G149" s="14" t="n">
        <v>4.5</v>
      </c>
      <c r="H149" s="14" t="n">
        <v>4.5</v>
      </c>
      <c r="I149" s="14" t="n">
        <v>10</v>
      </c>
      <c r="J149" s="14" t="s">
        <v>225</v>
      </c>
      <c r="K149" s="6" t="s">
        <v>1032</v>
      </c>
      <c r="L149" s="16" t="s">
        <v>1031</v>
      </c>
      <c r="M149" s="6" t="s">
        <v>4676</v>
      </c>
      <c r="N149" s="14" t="s">
        <v>4667</v>
      </c>
      <c r="O149" s="6" t="s">
        <v>4668</v>
      </c>
      <c r="P149" s="20"/>
    </row>
    <row r="150" customFormat="false" ht="45" hidden="false" customHeight="true" outlineLevel="0" collapsed="false">
      <c r="A150" s="14" t="n">
        <v>148</v>
      </c>
      <c r="B150" s="14" t="s">
        <v>247</v>
      </c>
      <c r="C150" s="14" t="s">
        <v>2385</v>
      </c>
      <c r="D150" s="14" t="s">
        <v>2386</v>
      </c>
      <c r="E150" s="15" t="n">
        <v>11000</v>
      </c>
      <c r="F150" s="14" t="n">
        <v>1</v>
      </c>
      <c r="G150" s="14" t="n">
        <v>13.6</v>
      </c>
      <c r="H150" s="14" t="n">
        <v>13.6</v>
      </c>
      <c r="I150" s="14" t="n">
        <v>5</v>
      </c>
      <c r="J150" s="14" t="s">
        <v>364</v>
      </c>
      <c r="K150" s="6" t="s">
        <v>2388</v>
      </c>
      <c r="L150" s="16" t="s">
        <v>2387</v>
      </c>
      <c r="M150" s="6" t="s">
        <v>4676</v>
      </c>
      <c r="N150" s="14" t="s">
        <v>4667</v>
      </c>
      <c r="O150" s="6" t="s">
        <v>4671</v>
      </c>
      <c r="P150" s="20"/>
    </row>
    <row r="151" customFormat="false" ht="45" hidden="false" customHeight="true" outlineLevel="0" collapsed="false">
      <c r="A151" s="14" t="n">
        <v>149</v>
      </c>
      <c r="B151" s="14" t="s">
        <v>374</v>
      </c>
      <c r="C151" s="14" t="s">
        <v>2333</v>
      </c>
      <c r="D151" s="14" t="s">
        <v>2334</v>
      </c>
      <c r="E151" s="15" t="n">
        <v>36586</v>
      </c>
      <c r="F151" s="14" t="n">
        <v>1</v>
      </c>
      <c r="G151" s="14" t="n">
        <v>6.5</v>
      </c>
      <c r="H151" s="14" t="n">
        <v>6.5</v>
      </c>
      <c r="I151" s="14" t="n">
        <v>7.9</v>
      </c>
      <c r="J151" s="14" t="s">
        <v>635</v>
      </c>
      <c r="K151" s="6" t="s">
        <v>2336</v>
      </c>
      <c r="L151" s="16" t="s">
        <v>2335</v>
      </c>
      <c r="M151" s="6" t="s">
        <v>4676</v>
      </c>
      <c r="N151" s="14" t="s">
        <v>4667</v>
      </c>
      <c r="O151" s="6" t="s">
        <v>4668</v>
      </c>
      <c r="P151" s="20"/>
    </row>
    <row r="152" customFormat="false" ht="45" hidden="false" customHeight="true" outlineLevel="0" collapsed="false">
      <c r="A152" s="14" t="n">
        <v>150</v>
      </c>
      <c r="B152" s="14" t="s">
        <v>374</v>
      </c>
      <c r="C152" s="14" t="s">
        <v>1997</v>
      </c>
      <c r="D152" s="14" t="s">
        <v>1998</v>
      </c>
      <c r="E152" s="15" t="n">
        <v>25748</v>
      </c>
      <c r="F152" s="14" t="n">
        <v>1</v>
      </c>
      <c r="G152" s="14" t="n">
        <v>8.9</v>
      </c>
      <c r="H152" s="14" t="n">
        <v>8.9</v>
      </c>
      <c r="I152" s="14" t="n">
        <v>6.5</v>
      </c>
      <c r="J152" s="14" t="s">
        <v>308</v>
      </c>
      <c r="K152" s="6" t="s">
        <v>2001</v>
      </c>
      <c r="L152" s="16" t="s">
        <v>2000</v>
      </c>
      <c r="M152" s="6" t="s">
        <v>4676</v>
      </c>
      <c r="N152" s="14" t="s">
        <v>4667</v>
      </c>
      <c r="O152" s="6" t="s">
        <v>4668</v>
      </c>
      <c r="P152" s="20"/>
    </row>
    <row r="153" customFormat="false" ht="45" hidden="false" customHeight="true" outlineLevel="0" collapsed="false">
      <c r="A153" s="14" t="n">
        <v>151</v>
      </c>
      <c r="B153" s="14" t="s">
        <v>374</v>
      </c>
      <c r="C153" s="14" t="s">
        <v>576</v>
      </c>
      <c r="D153" s="14" t="s">
        <v>2393</v>
      </c>
      <c r="E153" s="15" t="n">
        <v>85708</v>
      </c>
      <c r="F153" s="14" t="n">
        <v>1</v>
      </c>
      <c r="G153" s="14" t="n">
        <v>4</v>
      </c>
      <c r="H153" s="14" t="n">
        <v>4</v>
      </c>
      <c r="I153" s="14" t="n">
        <v>10</v>
      </c>
      <c r="J153" s="14" t="s">
        <v>338</v>
      </c>
      <c r="K153" s="6" t="s">
        <v>2395</v>
      </c>
      <c r="L153" s="16" t="s">
        <v>2394</v>
      </c>
      <c r="M153" s="6" t="s">
        <v>4676</v>
      </c>
      <c r="N153" s="14" t="s">
        <v>4667</v>
      </c>
      <c r="O153" s="6" t="s">
        <v>4668</v>
      </c>
      <c r="P153" s="20"/>
    </row>
    <row r="154" customFormat="false" ht="45" hidden="false" customHeight="true" outlineLevel="0" collapsed="false">
      <c r="A154" s="14" t="n">
        <v>152</v>
      </c>
      <c r="B154" s="14" t="s">
        <v>247</v>
      </c>
      <c r="C154" s="14" t="s">
        <v>2112</v>
      </c>
      <c r="D154" s="14" t="s">
        <v>2113</v>
      </c>
      <c r="E154" s="15" t="n">
        <v>9176</v>
      </c>
      <c r="F154" s="14" t="n">
        <v>1</v>
      </c>
      <c r="G154" s="14" t="n">
        <v>10.1</v>
      </c>
      <c r="H154" s="14" t="n">
        <v>10.1</v>
      </c>
      <c r="I154" s="14" t="n">
        <v>5.9</v>
      </c>
      <c r="J154" s="14" t="s">
        <v>338</v>
      </c>
      <c r="K154" s="6" t="s">
        <v>2115</v>
      </c>
      <c r="L154" s="16" t="s">
        <v>2114</v>
      </c>
      <c r="M154" s="6" t="s">
        <v>4676</v>
      </c>
      <c r="N154" s="14" t="s">
        <v>4667</v>
      </c>
      <c r="O154" s="6" t="s">
        <v>4671</v>
      </c>
      <c r="P154" s="20"/>
    </row>
    <row r="155" customFormat="false" ht="45" hidden="false" customHeight="true" outlineLevel="0" collapsed="false">
      <c r="A155" s="14" t="n">
        <v>153</v>
      </c>
      <c r="B155" s="14" t="s">
        <v>220</v>
      </c>
      <c r="C155" s="14" t="s">
        <v>2948</v>
      </c>
      <c r="D155" s="14" t="s">
        <v>2949</v>
      </c>
      <c r="E155" s="15" t="n">
        <v>76654</v>
      </c>
      <c r="F155" s="14" t="n">
        <v>1</v>
      </c>
      <c r="G155" s="14" t="n">
        <v>6</v>
      </c>
      <c r="H155" s="14" t="n">
        <v>6</v>
      </c>
      <c r="I155" s="14" t="n">
        <v>8</v>
      </c>
      <c r="J155" s="14" t="s">
        <v>322</v>
      </c>
      <c r="K155" s="6" t="s">
        <v>2951</v>
      </c>
      <c r="L155" s="16" t="s">
        <v>2950</v>
      </c>
      <c r="M155" s="6" t="s">
        <v>4676</v>
      </c>
      <c r="N155" s="14" t="s">
        <v>4667</v>
      </c>
      <c r="O155" s="6" t="s">
        <v>4668</v>
      </c>
      <c r="P155" s="20"/>
    </row>
    <row r="156" customFormat="false" ht="45" hidden="false" customHeight="true" outlineLevel="0" collapsed="false">
      <c r="A156" s="14" t="n">
        <v>154</v>
      </c>
      <c r="B156" s="14" t="s">
        <v>220</v>
      </c>
      <c r="C156" s="14" t="s">
        <v>1723</v>
      </c>
      <c r="D156" s="14" t="s">
        <v>1724</v>
      </c>
      <c r="E156" s="15" t="n">
        <v>7460</v>
      </c>
      <c r="F156" s="14" t="n">
        <v>1</v>
      </c>
      <c r="G156" s="14" t="n">
        <v>6</v>
      </c>
      <c r="H156" s="14" t="n">
        <v>6</v>
      </c>
      <c r="I156" s="14" t="n">
        <v>8</v>
      </c>
      <c r="J156" s="14" t="s">
        <v>635</v>
      </c>
      <c r="K156" s="6" t="s">
        <v>1726</v>
      </c>
      <c r="L156" s="16" t="s">
        <v>1725</v>
      </c>
      <c r="M156" s="6" t="s">
        <v>4680</v>
      </c>
      <c r="N156" s="14" t="s">
        <v>4667</v>
      </c>
      <c r="O156" s="6" t="s">
        <v>4668</v>
      </c>
      <c r="P156" s="20"/>
    </row>
    <row r="157" customFormat="false" ht="45" hidden="false" customHeight="true" outlineLevel="0" collapsed="false">
      <c r="A157" s="14" t="n">
        <v>155</v>
      </c>
      <c r="B157" s="14" t="s">
        <v>220</v>
      </c>
      <c r="C157" s="14" t="s">
        <v>1111</v>
      </c>
      <c r="D157" s="14" t="s">
        <v>1112</v>
      </c>
      <c r="E157" s="15" t="n">
        <v>7366</v>
      </c>
      <c r="F157" s="14" t="n">
        <v>1</v>
      </c>
      <c r="G157" s="14" t="n">
        <v>3.7</v>
      </c>
      <c r="H157" s="14" t="n">
        <v>3.7</v>
      </c>
      <c r="I157" s="14" t="n">
        <v>10</v>
      </c>
      <c r="J157" s="14" t="s">
        <v>225</v>
      </c>
      <c r="K157" s="6" t="s">
        <v>1115</v>
      </c>
      <c r="L157" s="16" t="s">
        <v>1114</v>
      </c>
      <c r="M157" s="6" t="s">
        <v>4676</v>
      </c>
      <c r="N157" s="14" t="s">
        <v>4667</v>
      </c>
      <c r="O157" s="6" t="s">
        <v>4668</v>
      </c>
      <c r="P157" s="20"/>
    </row>
    <row r="158" customFormat="false" ht="45" hidden="false" customHeight="true" outlineLevel="0" collapsed="false">
      <c r="A158" s="14" t="n">
        <v>156</v>
      </c>
      <c r="B158" s="14" t="s">
        <v>247</v>
      </c>
      <c r="C158" s="14" t="s">
        <v>1896</v>
      </c>
      <c r="D158" s="14" t="s">
        <v>1897</v>
      </c>
      <c r="E158" s="15" t="n">
        <v>27282</v>
      </c>
      <c r="F158" s="14" t="n">
        <v>1</v>
      </c>
      <c r="G158" s="14" t="n">
        <v>7.3</v>
      </c>
      <c r="H158" s="14" t="n">
        <v>7.3</v>
      </c>
      <c r="I158" s="14" t="n">
        <v>7</v>
      </c>
      <c r="J158" s="14" t="s">
        <v>308</v>
      </c>
      <c r="K158" s="6" t="s">
        <v>1900</v>
      </c>
      <c r="L158" s="16" t="s">
        <v>1899</v>
      </c>
      <c r="M158" s="6" t="s">
        <v>4676</v>
      </c>
      <c r="N158" s="14" t="s">
        <v>4667</v>
      </c>
      <c r="O158" s="6" t="s">
        <v>4668</v>
      </c>
      <c r="P158" s="20"/>
    </row>
    <row r="159" customFormat="false" ht="45" hidden="false" customHeight="true" outlineLevel="0" collapsed="false">
      <c r="A159" s="14" t="n">
        <v>157</v>
      </c>
      <c r="B159" s="14" t="s">
        <v>374</v>
      </c>
      <c r="C159" s="14" t="s">
        <v>1122</v>
      </c>
      <c r="D159" s="14" t="s">
        <v>1123</v>
      </c>
      <c r="E159" s="15" t="n">
        <v>10064</v>
      </c>
      <c r="F159" s="14" t="n">
        <v>1</v>
      </c>
      <c r="G159" s="14" t="n">
        <v>3.6</v>
      </c>
      <c r="H159" s="14" t="n">
        <v>3.6</v>
      </c>
      <c r="I159" s="14" t="n">
        <v>10</v>
      </c>
      <c r="J159" s="14" t="s">
        <v>338</v>
      </c>
      <c r="K159" s="6" t="s">
        <v>1126</v>
      </c>
      <c r="L159" s="16" t="s">
        <v>1125</v>
      </c>
      <c r="M159" s="6" t="s">
        <v>4676</v>
      </c>
      <c r="N159" s="14" t="s">
        <v>4667</v>
      </c>
      <c r="O159" s="6" t="s">
        <v>4668</v>
      </c>
      <c r="P159" s="20"/>
    </row>
    <row r="160" customFormat="false" ht="45" hidden="false" customHeight="true" outlineLevel="0" collapsed="false">
      <c r="A160" s="14" t="n">
        <v>158</v>
      </c>
      <c r="B160" s="14" t="s">
        <v>247</v>
      </c>
      <c r="C160" s="14" t="s">
        <v>2415</v>
      </c>
      <c r="D160" s="14" t="s">
        <v>2416</v>
      </c>
      <c r="E160" s="15" t="n">
        <v>86414</v>
      </c>
      <c r="F160" s="14" t="n">
        <v>1</v>
      </c>
      <c r="G160" s="14" t="n">
        <v>3.4</v>
      </c>
      <c r="H160" s="14" t="n">
        <v>3.4</v>
      </c>
      <c r="I160" s="14" t="n">
        <v>10</v>
      </c>
      <c r="J160" s="14" t="s">
        <v>322</v>
      </c>
      <c r="K160" s="6" t="s">
        <v>2418</v>
      </c>
      <c r="L160" s="16" t="s">
        <v>2417</v>
      </c>
      <c r="M160" s="6" t="s">
        <v>4676</v>
      </c>
      <c r="N160" s="14" t="s">
        <v>4667</v>
      </c>
      <c r="O160" s="6" t="s">
        <v>4668</v>
      </c>
      <c r="P160" s="20"/>
    </row>
    <row r="161" customFormat="false" ht="45" hidden="false" customHeight="true" outlineLevel="0" collapsed="false">
      <c r="A161" s="14" t="n">
        <v>159</v>
      </c>
      <c r="B161" s="14" t="s">
        <v>374</v>
      </c>
      <c r="C161" s="14" t="s">
        <v>473</v>
      </c>
      <c r="D161" s="14" t="s">
        <v>3019</v>
      </c>
      <c r="E161" s="15" t="n">
        <v>31093</v>
      </c>
      <c r="F161" s="14" t="n">
        <v>1</v>
      </c>
      <c r="G161" s="14" t="n">
        <v>11.9</v>
      </c>
      <c r="H161" s="14" t="n">
        <v>11.9</v>
      </c>
      <c r="I161" s="14" t="n">
        <v>5</v>
      </c>
      <c r="J161" s="14" t="s">
        <v>635</v>
      </c>
      <c r="K161" s="6" t="s">
        <v>3022</v>
      </c>
      <c r="L161" s="16" t="s">
        <v>3021</v>
      </c>
      <c r="M161" s="6" t="s">
        <v>4676</v>
      </c>
      <c r="N161" s="14" t="s">
        <v>4667</v>
      </c>
      <c r="O161" s="6" t="s">
        <v>4671</v>
      </c>
      <c r="P161" s="20"/>
    </row>
    <row r="162" customFormat="false" ht="45" hidden="false" customHeight="true" outlineLevel="0" collapsed="false">
      <c r="A162" s="14" t="n">
        <v>160</v>
      </c>
      <c r="B162" s="14" t="s">
        <v>220</v>
      </c>
      <c r="C162" s="14" t="s">
        <v>2068</v>
      </c>
      <c r="D162" s="14" t="s">
        <v>2069</v>
      </c>
      <c r="E162" s="15" t="n">
        <v>7101</v>
      </c>
      <c r="F162" s="14" t="n">
        <v>1</v>
      </c>
      <c r="G162" s="14" t="n">
        <v>8</v>
      </c>
      <c r="H162" s="14" t="n">
        <v>8</v>
      </c>
      <c r="I162" s="14" t="n">
        <v>6.3</v>
      </c>
      <c r="J162" s="14" t="s">
        <v>225</v>
      </c>
      <c r="K162" s="6" t="s">
        <v>2072</v>
      </c>
      <c r="L162" s="16" t="s">
        <v>2071</v>
      </c>
      <c r="M162" s="6" t="s">
        <v>4676</v>
      </c>
      <c r="N162" s="14" t="s">
        <v>4667</v>
      </c>
      <c r="O162" s="6" t="s">
        <v>4668</v>
      </c>
      <c r="P162" s="20"/>
    </row>
    <row r="163" customFormat="false" ht="45" hidden="false" customHeight="true" outlineLevel="0" collapsed="false">
      <c r="A163" s="14" t="n">
        <v>161</v>
      </c>
      <c r="B163" s="14" t="s">
        <v>374</v>
      </c>
      <c r="C163" s="14" t="s">
        <v>2671</v>
      </c>
      <c r="D163" s="14" t="s">
        <v>2672</v>
      </c>
      <c r="E163" s="15" t="n">
        <v>58205</v>
      </c>
      <c r="F163" s="14" t="n">
        <v>1</v>
      </c>
      <c r="G163" s="14" t="n">
        <v>5.8</v>
      </c>
      <c r="H163" s="14" t="n">
        <v>5.8</v>
      </c>
      <c r="I163" s="14" t="n">
        <v>7</v>
      </c>
      <c r="J163" s="14" t="s">
        <v>225</v>
      </c>
      <c r="K163" s="6" t="s">
        <v>2675</v>
      </c>
      <c r="L163" s="16" t="s">
        <v>2674</v>
      </c>
      <c r="M163" s="6" t="s">
        <v>4676</v>
      </c>
      <c r="N163" s="14" t="s">
        <v>4667</v>
      </c>
      <c r="O163" s="6" t="s">
        <v>4668</v>
      </c>
      <c r="P163" s="20"/>
    </row>
    <row r="164" customFormat="false" ht="45" hidden="false" customHeight="true" outlineLevel="0" collapsed="false">
      <c r="A164" s="14" t="n">
        <v>162</v>
      </c>
      <c r="B164" s="14" t="s">
        <v>374</v>
      </c>
      <c r="C164" s="14" t="s">
        <v>1808</v>
      </c>
      <c r="D164" s="14" t="s">
        <v>1809</v>
      </c>
      <c r="E164" s="15" t="n">
        <v>47915</v>
      </c>
      <c r="F164" s="14" t="n">
        <v>1</v>
      </c>
      <c r="G164" s="14" t="n">
        <v>2.5</v>
      </c>
      <c r="H164" s="14" t="n">
        <v>2.5</v>
      </c>
      <c r="I164" s="14" t="n">
        <v>10</v>
      </c>
      <c r="J164" s="14" t="s">
        <v>586</v>
      </c>
      <c r="K164" s="6" t="s">
        <v>1812</v>
      </c>
      <c r="L164" s="16" t="s">
        <v>1811</v>
      </c>
      <c r="M164" s="6" t="s">
        <v>4676</v>
      </c>
      <c r="N164" s="14" t="s">
        <v>4667</v>
      </c>
      <c r="O164" s="6" t="s">
        <v>4668</v>
      </c>
      <c r="P164" s="20"/>
    </row>
    <row r="165" customFormat="false" ht="45" hidden="false" customHeight="true" outlineLevel="0" collapsed="false">
      <c r="A165" s="14" t="n">
        <v>163</v>
      </c>
      <c r="B165" s="14" t="s">
        <v>374</v>
      </c>
      <c r="C165" s="14" t="s">
        <v>1397</v>
      </c>
      <c r="D165" s="14" t="s">
        <v>1398</v>
      </c>
      <c r="E165" s="15" t="n">
        <v>5068</v>
      </c>
      <c r="F165" s="14" t="n">
        <v>1</v>
      </c>
      <c r="G165" s="14" t="n">
        <v>3.4</v>
      </c>
      <c r="H165" s="14" t="n">
        <v>3.4</v>
      </c>
      <c r="I165" s="14" t="n">
        <v>9</v>
      </c>
      <c r="J165" s="14" t="s">
        <v>635</v>
      </c>
      <c r="K165" s="6" t="s">
        <v>1401</v>
      </c>
      <c r="L165" s="16" t="s">
        <v>1400</v>
      </c>
      <c r="M165" s="6" t="s">
        <v>4676</v>
      </c>
      <c r="N165" s="14" t="s">
        <v>4667</v>
      </c>
      <c r="O165" s="6" t="s">
        <v>4668</v>
      </c>
      <c r="P165" s="20"/>
    </row>
    <row r="166" customFormat="false" ht="45" hidden="false" customHeight="true" outlineLevel="0" collapsed="false">
      <c r="A166" s="14" t="n">
        <v>164</v>
      </c>
      <c r="B166" s="14" t="s">
        <v>220</v>
      </c>
      <c r="C166" s="14" t="s">
        <v>2507</v>
      </c>
      <c r="D166" s="14" t="s">
        <v>2508</v>
      </c>
      <c r="E166" s="15" t="n">
        <v>8192</v>
      </c>
      <c r="F166" s="14" t="n">
        <v>1</v>
      </c>
      <c r="G166" s="14" t="n">
        <v>9.9</v>
      </c>
      <c r="H166" s="14" t="n">
        <v>9.9</v>
      </c>
      <c r="I166" s="14" t="n">
        <v>5</v>
      </c>
      <c r="J166" s="14" t="s">
        <v>375</v>
      </c>
      <c r="K166" s="6" t="s">
        <v>2510</v>
      </c>
      <c r="L166" s="16" t="s">
        <v>2509</v>
      </c>
      <c r="M166" s="6" t="s">
        <v>4676</v>
      </c>
      <c r="N166" s="14" t="s">
        <v>4667</v>
      </c>
      <c r="O166" s="6" t="s">
        <v>4671</v>
      </c>
      <c r="P166" s="20"/>
    </row>
    <row r="167" customFormat="false" ht="45" hidden="false" customHeight="true" outlineLevel="0" collapsed="false">
      <c r="A167" s="14" t="n">
        <v>165</v>
      </c>
      <c r="B167" s="14" t="s">
        <v>374</v>
      </c>
      <c r="C167" s="14" t="s">
        <v>1799</v>
      </c>
      <c r="D167" s="14" t="s">
        <v>3259</v>
      </c>
      <c r="E167" s="15" t="n">
        <v>88690</v>
      </c>
      <c r="F167" s="14" t="n">
        <v>1</v>
      </c>
      <c r="G167" s="14" t="n">
        <v>7.3</v>
      </c>
      <c r="H167" s="14" t="n">
        <v>7.3</v>
      </c>
      <c r="I167" s="14" t="n">
        <v>6</v>
      </c>
      <c r="J167" s="14" t="s">
        <v>586</v>
      </c>
      <c r="K167" s="6" t="s">
        <v>3261</v>
      </c>
      <c r="L167" s="16" t="s">
        <v>3260</v>
      </c>
      <c r="M167" s="6" t="s">
        <v>4676</v>
      </c>
      <c r="N167" s="14" t="s">
        <v>4667</v>
      </c>
      <c r="O167" s="6" t="s">
        <v>4668</v>
      </c>
      <c r="P167" s="20"/>
    </row>
    <row r="168" customFormat="false" ht="45" hidden="false" customHeight="true" outlineLevel="0" collapsed="false">
      <c r="A168" s="14" t="n">
        <v>166</v>
      </c>
      <c r="B168" s="14" t="s">
        <v>247</v>
      </c>
      <c r="C168" s="14" t="s">
        <v>1956</v>
      </c>
      <c r="D168" s="14" t="s">
        <v>1957</v>
      </c>
      <c r="E168" s="15" t="n">
        <v>8542</v>
      </c>
      <c r="F168" s="14" t="n">
        <v>1</v>
      </c>
      <c r="G168" s="14" t="n">
        <v>5.4</v>
      </c>
      <c r="H168" s="14" t="n">
        <v>5.4</v>
      </c>
      <c r="I168" s="14" t="n">
        <v>7</v>
      </c>
      <c r="J168" s="14" t="s">
        <v>225</v>
      </c>
      <c r="K168" s="6" t="s">
        <v>1960</v>
      </c>
      <c r="L168" s="16" t="s">
        <v>1959</v>
      </c>
      <c r="M168" s="6" t="s">
        <v>4676</v>
      </c>
      <c r="N168" s="14" t="s">
        <v>4667</v>
      </c>
      <c r="O168" s="6" t="s">
        <v>4668</v>
      </c>
      <c r="P168" s="20"/>
    </row>
    <row r="169" customFormat="false" ht="45" hidden="false" customHeight="true" outlineLevel="0" collapsed="false">
      <c r="A169" s="14" t="n">
        <v>167</v>
      </c>
      <c r="B169" s="14" t="s">
        <v>374</v>
      </c>
      <c r="C169" s="14" t="s">
        <v>2518</v>
      </c>
      <c r="D169" s="14" t="s">
        <v>2519</v>
      </c>
      <c r="E169" s="15" t="n">
        <v>8026</v>
      </c>
      <c r="F169" s="14" t="n">
        <v>1</v>
      </c>
      <c r="G169" s="14" t="n">
        <v>9.3</v>
      </c>
      <c r="H169" s="14" t="n">
        <v>9.3</v>
      </c>
      <c r="I169" s="14" t="n">
        <v>5</v>
      </c>
      <c r="J169" s="14" t="s">
        <v>225</v>
      </c>
      <c r="K169" s="6" t="s">
        <v>2521</v>
      </c>
      <c r="L169" s="16" t="s">
        <v>2520</v>
      </c>
      <c r="M169" s="6" t="s">
        <v>4676</v>
      </c>
      <c r="N169" s="14" t="s">
        <v>4667</v>
      </c>
      <c r="O169" s="6" t="s">
        <v>4671</v>
      </c>
      <c r="P169" s="20"/>
    </row>
    <row r="170" customFormat="false" ht="45" hidden="false" customHeight="true" outlineLevel="0" collapsed="false">
      <c r="A170" s="14" t="n">
        <v>168</v>
      </c>
      <c r="B170" s="14" t="s">
        <v>374</v>
      </c>
      <c r="C170" s="14" t="s">
        <v>2409</v>
      </c>
      <c r="D170" s="14" t="s">
        <v>2410</v>
      </c>
      <c r="E170" s="15" t="n">
        <v>59006</v>
      </c>
      <c r="F170" s="14" t="n">
        <v>1</v>
      </c>
      <c r="G170" s="14" t="n">
        <v>3.8</v>
      </c>
      <c r="H170" s="14" t="n">
        <v>3.8</v>
      </c>
      <c r="I170" s="14" t="n">
        <v>8</v>
      </c>
      <c r="J170" s="14" t="s">
        <v>264</v>
      </c>
      <c r="K170" s="6" t="s">
        <v>2413</v>
      </c>
      <c r="L170" s="16" t="s">
        <v>2412</v>
      </c>
      <c r="M170" s="6" t="s">
        <v>4676</v>
      </c>
      <c r="N170" s="14" t="s">
        <v>4667</v>
      </c>
      <c r="O170" s="6" t="s">
        <v>4668</v>
      </c>
      <c r="P170" s="20"/>
    </row>
    <row r="171" customFormat="false" ht="45" hidden="false" customHeight="true" outlineLevel="0" collapsed="false">
      <c r="A171" s="14" t="n">
        <v>169</v>
      </c>
      <c r="B171" s="14" t="s">
        <v>374</v>
      </c>
      <c r="C171" s="14" t="s">
        <v>2294</v>
      </c>
      <c r="D171" s="14" t="s">
        <v>2295</v>
      </c>
      <c r="E171" s="15" t="n">
        <v>22269</v>
      </c>
      <c r="F171" s="14" t="n">
        <v>1</v>
      </c>
      <c r="G171" s="14" t="n">
        <v>6.8</v>
      </c>
      <c r="H171" s="14" t="n">
        <v>6.8</v>
      </c>
      <c r="I171" s="14" t="n">
        <v>6</v>
      </c>
      <c r="J171" s="14" t="s">
        <v>225</v>
      </c>
      <c r="K171" s="6" t="s">
        <v>2298</v>
      </c>
      <c r="L171" s="16" t="s">
        <v>2297</v>
      </c>
      <c r="M171" s="6" t="s">
        <v>4676</v>
      </c>
      <c r="N171" s="14" t="s">
        <v>4667</v>
      </c>
      <c r="O171" s="6" t="s">
        <v>4668</v>
      </c>
      <c r="P171" s="20"/>
    </row>
    <row r="172" customFormat="false" ht="45" hidden="false" customHeight="true" outlineLevel="0" collapsed="false">
      <c r="A172" s="14" t="n">
        <v>170</v>
      </c>
      <c r="B172" s="14" t="s">
        <v>374</v>
      </c>
      <c r="C172" s="14" t="s">
        <v>2486</v>
      </c>
      <c r="D172" s="14" t="s">
        <v>2487</v>
      </c>
      <c r="E172" s="15" t="n">
        <v>70517</v>
      </c>
      <c r="F172" s="14" t="n">
        <v>1</v>
      </c>
      <c r="G172" s="14" t="n">
        <v>1.8</v>
      </c>
      <c r="H172" s="14" t="n">
        <v>1.8</v>
      </c>
      <c r="I172" s="14" t="n">
        <v>10</v>
      </c>
      <c r="J172" s="14" t="s">
        <v>586</v>
      </c>
      <c r="K172" s="6" t="s">
        <v>2489</v>
      </c>
      <c r="L172" s="16" t="s">
        <v>2488</v>
      </c>
      <c r="M172" s="6" t="s">
        <v>4676</v>
      </c>
      <c r="N172" s="14" t="s">
        <v>4667</v>
      </c>
      <c r="O172" s="6" t="s">
        <v>4668</v>
      </c>
      <c r="P172" s="20"/>
    </row>
    <row r="173" customFormat="false" ht="45" hidden="false" customHeight="true" outlineLevel="0" collapsed="false">
      <c r="A173" s="14" t="n">
        <v>171</v>
      </c>
      <c r="B173" s="14" t="s">
        <v>247</v>
      </c>
      <c r="C173" s="14" t="s">
        <v>2425</v>
      </c>
      <c r="D173" s="14" t="s">
        <v>2426</v>
      </c>
      <c r="E173" s="15" t="n">
        <v>35350</v>
      </c>
      <c r="F173" s="14" t="n">
        <v>1</v>
      </c>
      <c r="G173" s="14" t="n">
        <v>3.4</v>
      </c>
      <c r="H173" s="14" t="n">
        <v>3.4</v>
      </c>
      <c r="I173" s="14" t="n">
        <v>8</v>
      </c>
      <c r="J173" s="14" t="s">
        <v>364</v>
      </c>
      <c r="K173" s="6" t="s">
        <v>2428</v>
      </c>
      <c r="L173" s="16" t="s">
        <v>2427</v>
      </c>
      <c r="M173" s="6" t="s">
        <v>4676</v>
      </c>
      <c r="N173" s="14" t="s">
        <v>4667</v>
      </c>
      <c r="O173" s="6" t="s">
        <v>4668</v>
      </c>
      <c r="P173" s="20"/>
    </row>
    <row r="174" customFormat="false" ht="45" hidden="false" customHeight="true" outlineLevel="0" collapsed="false">
      <c r="A174" s="14" t="n">
        <v>172</v>
      </c>
      <c r="B174" s="14" t="s">
        <v>220</v>
      </c>
      <c r="C174" s="14" t="s">
        <v>2026</v>
      </c>
      <c r="D174" s="14" t="s">
        <v>2027</v>
      </c>
      <c r="E174" s="15" t="n">
        <v>6650</v>
      </c>
      <c r="F174" s="14" t="n">
        <v>1</v>
      </c>
      <c r="G174" s="14" t="n">
        <v>4.4</v>
      </c>
      <c r="H174" s="14" t="n">
        <v>4.4</v>
      </c>
      <c r="I174" s="14" t="n">
        <v>7</v>
      </c>
      <c r="J174" s="14" t="s">
        <v>375</v>
      </c>
      <c r="K174" s="6" t="s">
        <v>2030</v>
      </c>
      <c r="L174" s="16" t="s">
        <v>2029</v>
      </c>
      <c r="M174" s="6" t="s">
        <v>4676</v>
      </c>
      <c r="N174" s="14" t="s">
        <v>4667</v>
      </c>
      <c r="O174" s="6" t="s">
        <v>4668</v>
      </c>
      <c r="P174" s="20"/>
    </row>
    <row r="175" customFormat="false" ht="45" hidden="false" customHeight="true" outlineLevel="0" collapsed="false">
      <c r="A175" s="14" t="n">
        <v>173</v>
      </c>
      <c r="B175" s="14" t="s">
        <v>247</v>
      </c>
      <c r="C175" s="14" t="s">
        <v>2364</v>
      </c>
      <c r="D175" s="14" t="s">
        <v>2365</v>
      </c>
      <c r="E175" s="15" t="n">
        <v>8740</v>
      </c>
      <c r="F175" s="14" t="n">
        <v>1</v>
      </c>
      <c r="G175" s="14" t="n">
        <v>5.4</v>
      </c>
      <c r="H175" s="14" t="n">
        <v>5.4</v>
      </c>
      <c r="I175" s="14" t="n">
        <v>6</v>
      </c>
      <c r="J175" s="14" t="s">
        <v>375</v>
      </c>
      <c r="K175" s="6" t="s">
        <v>2367</v>
      </c>
      <c r="L175" s="16" t="s">
        <v>2366</v>
      </c>
      <c r="M175" s="6" t="s">
        <v>4676</v>
      </c>
      <c r="N175" s="14" t="s">
        <v>4667</v>
      </c>
      <c r="O175" s="6" t="s">
        <v>4668</v>
      </c>
      <c r="P175" s="20"/>
    </row>
    <row r="176" customFormat="false" ht="45" hidden="false" customHeight="true" outlineLevel="0" collapsed="false">
      <c r="A176" s="14" t="n">
        <v>174</v>
      </c>
      <c r="B176" s="14" t="s">
        <v>374</v>
      </c>
      <c r="C176" s="14" t="s">
        <v>2789</v>
      </c>
      <c r="D176" s="14" t="s">
        <v>2790</v>
      </c>
      <c r="E176" s="15" t="n">
        <v>48696</v>
      </c>
      <c r="F176" s="14" t="n">
        <v>1</v>
      </c>
      <c r="G176" s="14" t="n">
        <v>3.2</v>
      </c>
      <c r="H176" s="14" t="n">
        <v>3.2</v>
      </c>
      <c r="I176" s="14" t="n">
        <v>7</v>
      </c>
      <c r="J176" s="14" t="s">
        <v>225</v>
      </c>
      <c r="K176" s="6" t="s">
        <v>2792</v>
      </c>
      <c r="L176" s="16" t="s">
        <v>2791</v>
      </c>
      <c r="M176" s="6" t="s">
        <v>4676</v>
      </c>
      <c r="N176" s="14" t="s">
        <v>4667</v>
      </c>
      <c r="O176" s="6" t="s">
        <v>4668</v>
      </c>
      <c r="P176" s="20"/>
    </row>
    <row r="177" customFormat="false" ht="45" hidden="false" customHeight="true" outlineLevel="0" collapsed="false">
      <c r="A177" s="14" t="n">
        <v>175</v>
      </c>
      <c r="B177" s="14" t="s">
        <v>220</v>
      </c>
      <c r="C177" s="14" t="s">
        <v>2047</v>
      </c>
      <c r="D177" s="14" t="s">
        <v>2048</v>
      </c>
      <c r="E177" s="15" t="n">
        <v>13678</v>
      </c>
      <c r="F177" s="14" t="n">
        <v>1</v>
      </c>
      <c r="G177" s="14" t="n">
        <v>3.2</v>
      </c>
      <c r="H177" s="14" t="n">
        <v>3.2</v>
      </c>
      <c r="I177" s="14" t="n">
        <v>7</v>
      </c>
      <c r="J177" s="14" t="s">
        <v>322</v>
      </c>
      <c r="K177" s="6" t="s">
        <v>2050</v>
      </c>
      <c r="L177" s="16" t="s">
        <v>2049</v>
      </c>
      <c r="M177" s="6" t="s">
        <v>4676</v>
      </c>
      <c r="N177" s="14" t="s">
        <v>4667</v>
      </c>
      <c r="O177" s="6" t="s">
        <v>4668</v>
      </c>
      <c r="P177" s="20"/>
    </row>
    <row r="178" customFormat="false" ht="45" hidden="false" customHeight="true" outlineLevel="0" collapsed="false">
      <c r="A178" s="14" t="n">
        <v>176</v>
      </c>
      <c r="B178" s="14" t="s">
        <v>374</v>
      </c>
      <c r="C178" s="14" t="s">
        <v>1449</v>
      </c>
      <c r="D178" s="14" t="s">
        <v>1450</v>
      </c>
      <c r="E178" s="15" t="n">
        <v>252</v>
      </c>
      <c r="F178" s="14" t="n">
        <v>1</v>
      </c>
      <c r="G178" s="14" t="n">
        <v>1</v>
      </c>
      <c r="H178" s="14" t="n">
        <v>1</v>
      </c>
      <c r="I178" s="14" t="n">
        <v>9</v>
      </c>
      <c r="J178" s="14" t="s">
        <v>322</v>
      </c>
      <c r="K178" s="6" t="s">
        <v>1453</v>
      </c>
      <c r="L178" s="16" t="s">
        <v>1452</v>
      </c>
      <c r="M178" s="6" t="s">
        <v>4676</v>
      </c>
      <c r="N178" s="14" t="s">
        <v>4667</v>
      </c>
      <c r="O178" s="6" t="s">
        <v>4668</v>
      </c>
      <c r="P178" s="20"/>
    </row>
    <row r="179" customFormat="false" ht="45" hidden="false" customHeight="true" outlineLevel="0" collapsed="false">
      <c r="A179" s="14" t="n">
        <v>177</v>
      </c>
      <c r="B179" s="14" t="s">
        <v>374</v>
      </c>
      <c r="C179" s="14" t="s">
        <v>2500</v>
      </c>
      <c r="D179" s="14" t="s">
        <v>2501</v>
      </c>
      <c r="E179" s="15" t="n">
        <v>51976</v>
      </c>
      <c r="F179" s="14" t="n">
        <v>1</v>
      </c>
      <c r="G179" s="14" t="n">
        <v>1.6</v>
      </c>
      <c r="H179" s="14" t="n">
        <v>1.6</v>
      </c>
      <c r="I179" s="14" t="n">
        <v>8</v>
      </c>
      <c r="J179" s="14" t="s">
        <v>225</v>
      </c>
      <c r="K179" s="6" t="s">
        <v>2503</v>
      </c>
      <c r="L179" s="16" t="s">
        <v>2502</v>
      </c>
      <c r="M179" s="6" t="s">
        <v>4676</v>
      </c>
      <c r="N179" s="14" t="s">
        <v>4667</v>
      </c>
      <c r="O179" s="6" t="s">
        <v>4668</v>
      </c>
      <c r="P179" s="20"/>
    </row>
    <row r="180" customFormat="false" ht="45" hidden="false" customHeight="true" outlineLevel="0" collapsed="false">
      <c r="A180" s="14" t="n">
        <v>178</v>
      </c>
      <c r="B180" s="14" t="s">
        <v>220</v>
      </c>
      <c r="C180" s="14" t="s">
        <v>2727</v>
      </c>
      <c r="D180" s="14" t="s">
        <v>2728</v>
      </c>
      <c r="E180" s="15" t="n">
        <v>16371</v>
      </c>
      <c r="F180" s="14" t="n">
        <v>1</v>
      </c>
      <c r="G180" s="14" t="n">
        <v>5.1</v>
      </c>
      <c r="H180" s="14" t="n">
        <v>5.1</v>
      </c>
      <c r="I180" s="14" t="n">
        <v>5</v>
      </c>
      <c r="J180" s="14" t="s">
        <v>225</v>
      </c>
      <c r="K180" s="6" t="s">
        <v>2730</v>
      </c>
      <c r="L180" s="16" t="s">
        <v>2729</v>
      </c>
      <c r="M180" s="6" t="s">
        <v>4676</v>
      </c>
      <c r="N180" s="14" t="s">
        <v>4667</v>
      </c>
      <c r="O180" s="6" t="s">
        <v>4671</v>
      </c>
      <c r="P180" s="20"/>
    </row>
    <row r="181" customFormat="false" ht="45" hidden="false" customHeight="true" outlineLevel="0" collapsed="false">
      <c r="A181" s="14" t="n">
        <v>179</v>
      </c>
      <c r="B181" s="14" t="s">
        <v>220</v>
      </c>
      <c r="C181" s="14" t="s">
        <v>2732</v>
      </c>
      <c r="D181" s="14" t="s">
        <v>2733</v>
      </c>
      <c r="E181" s="15" t="n">
        <v>29648</v>
      </c>
      <c r="F181" s="14" t="n">
        <v>1</v>
      </c>
      <c r="G181" s="14" t="n">
        <v>5</v>
      </c>
      <c r="H181" s="14" t="n">
        <v>5</v>
      </c>
      <c r="I181" s="14" t="n">
        <v>5</v>
      </c>
      <c r="J181" s="14" t="s">
        <v>225</v>
      </c>
      <c r="K181" s="6" t="s">
        <v>2736</v>
      </c>
      <c r="L181" s="16" t="s">
        <v>2735</v>
      </c>
      <c r="M181" s="6" t="s">
        <v>4676</v>
      </c>
      <c r="N181" s="14" t="s">
        <v>4667</v>
      </c>
      <c r="O181" s="6" t="s">
        <v>4671</v>
      </c>
      <c r="P181" s="20"/>
    </row>
    <row r="182" customFormat="false" ht="45" hidden="false" customHeight="true" outlineLevel="0" collapsed="false">
      <c r="A182" s="14" t="n">
        <v>180</v>
      </c>
      <c r="B182" s="14" t="s">
        <v>374</v>
      </c>
      <c r="C182" s="14" t="s">
        <v>3110</v>
      </c>
      <c r="D182" s="14" t="s">
        <v>3111</v>
      </c>
      <c r="E182" s="15" t="n">
        <v>44723</v>
      </c>
      <c r="F182" s="14" t="n">
        <v>1</v>
      </c>
      <c r="G182" s="14" t="n">
        <v>4.7</v>
      </c>
      <c r="H182" s="14" t="n">
        <v>4.7</v>
      </c>
      <c r="I182" s="14" t="n">
        <v>5</v>
      </c>
      <c r="J182" s="14" t="s">
        <v>225</v>
      </c>
      <c r="K182" s="6" t="s">
        <v>3113</v>
      </c>
      <c r="L182" s="16" t="s">
        <v>3112</v>
      </c>
      <c r="M182" s="6" t="s">
        <v>4676</v>
      </c>
      <c r="N182" s="14" t="s">
        <v>4667</v>
      </c>
      <c r="O182" s="6" t="s">
        <v>4671</v>
      </c>
      <c r="P182" s="20"/>
    </row>
    <row r="183" customFormat="false" ht="45" hidden="false" customHeight="true" outlineLevel="0" collapsed="false">
      <c r="A183" s="14" t="n">
        <v>181</v>
      </c>
      <c r="B183" s="14" t="s">
        <v>247</v>
      </c>
      <c r="C183" s="14" t="s">
        <v>3163</v>
      </c>
      <c r="D183" s="14" t="s">
        <v>3164</v>
      </c>
      <c r="E183" s="15" t="n">
        <v>53674</v>
      </c>
      <c r="F183" s="14" t="n">
        <v>1</v>
      </c>
      <c r="G183" s="14" t="n">
        <v>3.3</v>
      </c>
      <c r="H183" s="14" t="n">
        <v>3.3</v>
      </c>
      <c r="I183" s="14" t="n">
        <v>5</v>
      </c>
      <c r="J183" s="14" t="s">
        <v>338</v>
      </c>
      <c r="K183" s="6" t="s">
        <v>3166</v>
      </c>
      <c r="L183" s="16" t="s">
        <v>3165</v>
      </c>
      <c r="M183" s="6" t="s">
        <v>4676</v>
      </c>
      <c r="N183" s="14" t="s">
        <v>4667</v>
      </c>
      <c r="O183" s="6" t="s">
        <v>4671</v>
      </c>
      <c r="P183" s="20"/>
    </row>
    <row r="184" customFormat="false" ht="45" hidden="false" customHeight="true" outlineLevel="0" collapsed="false">
      <c r="A184" s="14" t="n">
        <v>182</v>
      </c>
      <c r="B184" s="14" t="s">
        <v>220</v>
      </c>
      <c r="C184" s="14" t="s">
        <v>3152</v>
      </c>
      <c r="D184" s="14" t="s">
        <v>3153</v>
      </c>
      <c r="E184" s="15" t="n">
        <v>41427</v>
      </c>
      <c r="F184" s="14" t="n">
        <v>1</v>
      </c>
      <c r="G184" s="14" t="n">
        <v>2.6</v>
      </c>
      <c r="H184" s="14" t="n">
        <v>2.6</v>
      </c>
      <c r="I184" s="14" t="n">
        <v>5.1</v>
      </c>
      <c r="J184" s="14" t="s">
        <v>635</v>
      </c>
      <c r="K184" s="6" t="s">
        <v>3156</v>
      </c>
      <c r="L184" s="16" t="s">
        <v>3155</v>
      </c>
      <c r="M184" s="6" t="s">
        <v>4676</v>
      </c>
      <c r="N184" s="14" t="s">
        <v>4667</v>
      </c>
      <c r="O184" s="6" t="s">
        <v>4671</v>
      </c>
      <c r="P184" s="20"/>
    </row>
    <row r="185" customFormat="false" ht="45" hidden="false" customHeight="true" outlineLevel="0" collapsed="false">
      <c r="A185" s="14" t="n">
        <v>183</v>
      </c>
      <c r="B185" s="14" t="s">
        <v>220</v>
      </c>
      <c r="C185" s="14" t="s">
        <v>3300</v>
      </c>
      <c r="D185" s="14" t="s">
        <v>3301</v>
      </c>
      <c r="E185" s="15" t="n">
        <v>62639</v>
      </c>
      <c r="F185" s="14" t="n">
        <v>1</v>
      </c>
      <c r="G185" s="14" t="n">
        <v>0.9</v>
      </c>
      <c r="H185" s="14" t="n">
        <v>0.9</v>
      </c>
      <c r="I185" s="14" t="n">
        <v>6</v>
      </c>
      <c r="J185" s="14" t="s">
        <v>586</v>
      </c>
      <c r="K185" s="6" t="s">
        <v>3304</v>
      </c>
      <c r="L185" s="16" t="s">
        <v>3303</v>
      </c>
      <c r="M185" s="6" t="s">
        <v>4676</v>
      </c>
      <c r="N185" s="14" t="s">
        <v>4667</v>
      </c>
      <c r="O185" s="6" t="s">
        <v>4668</v>
      </c>
      <c r="P185" s="20"/>
    </row>
    <row r="186" customFormat="false" ht="45" hidden="false" customHeight="true" outlineLevel="0" collapsed="false">
      <c r="A186" s="14" t="n">
        <v>184</v>
      </c>
      <c r="B186" s="14" t="s">
        <v>220</v>
      </c>
      <c r="C186" s="14" t="s">
        <v>4681</v>
      </c>
      <c r="D186" s="14" t="s">
        <v>4682</v>
      </c>
      <c r="E186" s="15" t="n">
        <v>10209</v>
      </c>
      <c r="F186" s="14" t="n">
        <v>0</v>
      </c>
      <c r="G186" s="14"/>
      <c r="H186" s="14"/>
      <c r="I186" s="14"/>
      <c r="J186" s="14" t="s">
        <v>4683</v>
      </c>
      <c r="K186" s="6"/>
      <c r="L186" s="14"/>
      <c r="M186" s="6" t="s">
        <v>4684</v>
      </c>
      <c r="N186" s="14" t="s">
        <v>4685</v>
      </c>
      <c r="O186" s="6" t="s">
        <v>4686</v>
      </c>
      <c r="P186" s="20"/>
    </row>
    <row r="187" customFormat="false" ht="45" hidden="false" customHeight="true" outlineLevel="0" collapsed="false">
      <c r="A187" s="14" t="n">
        <v>185</v>
      </c>
      <c r="B187" s="14" t="s">
        <v>220</v>
      </c>
      <c r="C187" s="14" t="s">
        <v>4687</v>
      </c>
      <c r="D187" s="14" t="s">
        <v>4688</v>
      </c>
      <c r="E187" s="15" t="n">
        <v>9000</v>
      </c>
      <c r="F187" s="14" t="n">
        <v>0</v>
      </c>
      <c r="G187" s="14"/>
      <c r="H187" s="14"/>
      <c r="I187" s="14"/>
      <c r="J187" s="14" t="s">
        <v>4683</v>
      </c>
      <c r="K187" s="6"/>
      <c r="L187" s="14"/>
      <c r="M187" s="6" t="s">
        <v>4689</v>
      </c>
      <c r="N187" s="14" t="s">
        <v>4685</v>
      </c>
      <c r="O187" s="6" t="s">
        <v>4686</v>
      </c>
      <c r="P187" s="20"/>
    </row>
    <row r="188" customFormat="false" ht="45" hidden="false" customHeight="true" outlineLevel="0" collapsed="false">
      <c r="A188" s="14" t="n">
        <v>186</v>
      </c>
      <c r="B188" s="14" t="s">
        <v>220</v>
      </c>
      <c r="C188" s="14" t="s">
        <v>2687</v>
      </c>
      <c r="D188" s="14" t="s">
        <v>2688</v>
      </c>
      <c r="E188" s="15" t="n">
        <v>5775</v>
      </c>
      <c r="F188" s="14" t="n">
        <v>0</v>
      </c>
      <c r="G188" s="14"/>
      <c r="H188" s="14"/>
      <c r="I188" s="14"/>
      <c r="J188" s="14" t="s">
        <v>4683</v>
      </c>
      <c r="K188" s="6"/>
      <c r="L188" s="14"/>
      <c r="M188" s="6" t="s">
        <v>4690</v>
      </c>
      <c r="N188" s="14" t="s">
        <v>4685</v>
      </c>
      <c r="O188" s="6" t="s">
        <v>4686</v>
      </c>
      <c r="P188" s="20"/>
    </row>
    <row r="189" customFormat="false" ht="45" hidden="false" customHeight="true" outlineLevel="0" collapsed="false">
      <c r="A189" s="14" t="n">
        <v>187</v>
      </c>
      <c r="B189" s="14" t="s">
        <v>220</v>
      </c>
      <c r="C189" s="14" t="s">
        <v>4691</v>
      </c>
      <c r="D189" s="14" t="s">
        <v>4692</v>
      </c>
      <c r="E189" s="15" t="n">
        <v>90414</v>
      </c>
      <c r="F189" s="14" t="n">
        <v>0</v>
      </c>
      <c r="G189" s="14"/>
      <c r="H189" s="14"/>
      <c r="I189" s="14"/>
      <c r="J189" s="14" t="s">
        <v>4683</v>
      </c>
      <c r="K189" s="6"/>
      <c r="L189" s="14"/>
      <c r="M189" s="6" t="s">
        <v>4693</v>
      </c>
      <c r="N189" s="14" t="s">
        <v>4685</v>
      </c>
      <c r="O189" s="6" t="s">
        <v>4686</v>
      </c>
      <c r="P189" s="20"/>
    </row>
    <row r="190" customFormat="false" ht="45" hidden="false" customHeight="true" outlineLevel="0" collapsed="false">
      <c r="A190" s="14" t="n">
        <v>188</v>
      </c>
      <c r="B190" s="14" t="s">
        <v>220</v>
      </c>
      <c r="C190" s="14" t="s">
        <v>4694</v>
      </c>
      <c r="D190" s="14" t="s">
        <v>4695</v>
      </c>
      <c r="E190" s="15" t="n">
        <v>8864</v>
      </c>
      <c r="F190" s="14" t="n">
        <v>0</v>
      </c>
      <c r="G190" s="14"/>
      <c r="H190" s="14"/>
      <c r="I190" s="14"/>
      <c r="J190" s="14" t="s">
        <v>4683</v>
      </c>
      <c r="K190" s="6"/>
      <c r="L190" s="14"/>
      <c r="M190" s="6" t="s">
        <v>4696</v>
      </c>
      <c r="N190" s="14" t="s">
        <v>4685</v>
      </c>
      <c r="O190" s="6" t="s">
        <v>4686</v>
      </c>
      <c r="P190" s="20"/>
    </row>
    <row r="191" customFormat="false" ht="45" hidden="false" customHeight="true" outlineLevel="0" collapsed="false">
      <c r="A191" s="14" t="n">
        <v>189</v>
      </c>
      <c r="B191" s="14" t="s">
        <v>220</v>
      </c>
      <c r="C191" s="14" t="s">
        <v>4697</v>
      </c>
      <c r="D191" s="14" t="s">
        <v>4698</v>
      </c>
      <c r="E191" s="15" t="n">
        <v>21419</v>
      </c>
      <c r="F191" s="14" t="n">
        <v>0</v>
      </c>
      <c r="G191" s="14"/>
      <c r="H191" s="14"/>
      <c r="I191" s="14"/>
      <c r="J191" s="14" t="s">
        <v>4683</v>
      </c>
      <c r="K191" s="6"/>
      <c r="L191" s="14"/>
      <c r="M191" s="6" t="s">
        <v>4699</v>
      </c>
      <c r="N191" s="14" t="s">
        <v>4685</v>
      </c>
      <c r="O191" s="6" t="s">
        <v>4686</v>
      </c>
      <c r="P191" s="20"/>
    </row>
    <row r="192" customFormat="false" ht="45" hidden="false" customHeight="true" outlineLevel="0" collapsed="false">
      <c r="A192" s="14" t="n">
        <v>190</v>
      </c>
      <c r="B192" s="14" t="s">
        <v>220</v>
      </c>
      <c r="C192" s="14" t="s">
        <v>4700</v>
      </c>
      <c r="D192" s="14" t="s">
        <v>4701</v>
      </c>
      <c r="E192" s="15" t="n">
        <v>22066</v>
      </c>
      <c r="F192" s="14" t="n">
        <v>0</v>
      </c>
      <c r="G192" s="14"/>
      <c r="H192" s="14"/>
      <c r="I192" s="14"/>
      <c r="J192" s="14" t="s">
        <v>4683</v>
      </c>
      <c r="K192" s="6"/>
      <c r="L192" s="14"/>
      <c r="M192" s="6" t="s">
        <v>4702</v>
      </c>
      <c r="N192" s="14" t="s">
        <v>4685</v>
      </c>
      <c r="O192" s="6" t="s">
        <v>4686</v>
      </c>
      <c r="P192" s="20"/>
    </row>
    <row r="193" customFormat="false" ht="45" hidden="false" customHeight="true" outlineLevel="0" collapsed="false">
      <c r="A193" s="14" t="n">
        <v>191</v>
      </c>
      <c r="B193" s="14" t="s">
        <v>220</v>
      </c>
      <c r="C193" s="14" t="s">
        <v>4703</v>
      </c>
      <c r="D193" s="14" t="s">
        <v>4704</v>
      </c>
      <c r="E193" s="15" t="n">
        <v>12546</v>
      </c>
      <c r="F193" s="14" t="n">
        <v>0</v>
      </c>
      <c r="G193" s="14"/>
      <c r="H193" s="14"/>
      <c r="I193" s="14"/>
      <c r="J193" s="14" t="s">
        <v>4683</v>
      </c>
      <c r="K193" s="6"/>
      <c r="L193" s="14"/>
      <c r="M193" s="6" t="s">
        <v>4705</v>
      </c>
      <c r="N193" s="14" t="s">
        <v>4685</v>
      </c>
      <c r="O193" s="6" t="s">
        <v>4686</v>
      </c>
      <c r="P193" s="20"/>
    </row>
    <row r="194" customFormat="false" ht="45" hidden="false" customHeight="true" outlineLevel="0" collapsed="false">
      <c r="A194" s="14" t="n">
        <v>192</v>
      </c>
      <c r="B194" s="14" t="s">
        <v>220</v>
      </c>
      <c r="C194" s="14" t="s">
        <v>4706</v>
      </c>
      <c r="D194" s="14" t="s">
        <v>4707</v>
      </c>
      <c r="E194" s="15" t="n">
        <v>18153</v>
      </c>
      <c r="F194" s="14" t="n">
        <v>0</v>
      </c>
      <c r="G194" s="14"/>
      <c r="H194" s="14"/>
      <c r="I194" s="14"/>
      <c r="J194" s="14" t="s">
        <v>4683</v>
      </c>
      <c r="K194" s="6"/>
      <c r="L194" s="14"/>
      <c r="M194" s="6" t="s">
        <v>4708</v>
      </c>
      <c r="N194" s="14" t="s">
        <v>4685</v>
      </c>
      <c r="O194" s="6" t="s">
        <v>4686</v>
      </c>
      <c r="P194" s="20"/>
    </row>
    <row r="195" customFormat="false" ht="45" hidden="false" customHeight="true" outlineLevel="0" collapsed="false">
      <c r="A195" s="14" t="n">
        <v>193</v>
      </c>
      <c r="B195" s="14" t="s">
        <v>220</v>
      </c>
      <c r="C195" s="14" t="s">
        <v>4709</v>
      </c>
      <c r="D195" s="14" t="s">
        <v>4710</v>
      </c>
      <c r="E195" s="15" t="n">
        <v>34315</v>
      </c>
      <c r="F195" s="14" t="n">
        <v>0</v>
      </c>
      <c r="G195" s="14"/>
      <c r="H195" s="14"/>
      <c r="I195" s="14"/>
      <c r="J195" s="14" t="s">
        <v>4683</v>
      </c>
      <c r="K195" s="6"/>
      <c r="L195" s="14"/>
      <c r="M195" s="6" t="s">
        <v>4711</v>
      </c>
      <c r="N195" s="14" t="s">
        <v>4685</v>
      </c>
      <c r="O195" s="6" t="s">
        <v>4686</v>
      </c>
      <c r="P195" s="20"/>
    </row>
    <row r="196" customFormat="false" ht="45" hidden="false" customHeight="true" outlineLevel="0" collapsed="false">
      <c r="A196" s="14" t="n">
        <v>194</v>
      </c>
      <c r="B196" s="14" t="s">
        <v>220</v>
      </c>
      <c r="C196" s="14" t="s">
        <v>4712</v>
      </c>
      <c r="D196" s="14" t="s">
        <v>4713</v>
      </c>
      <c r="E196" s="15" t="n">
        <v>25021</v>
      </c>
      <c r="F196" s="14" t="n">
        <v>0</v>
      </c>
      <c r="G196" s="14"/>
      <c r="H196" s="14"/>
      <c r="I196" s="14"/>
      <c r="J196" s="14" t="s">
        <v>4683</v>
      </c>
      <c r="K196" s="6"/>
      <c r="L196" s="14"/>
      <c r="M196" s="6" t="s">
        <v>4714</v>
      </c>
      <c r="N196" s="14" t="s">
        <v>4685</v>
      </c>
      <c r="O196" s="6" t="s">
        <v>4686</v>
      </c>
      <c r="P196" s="20"/>
    </row>
  </sheetData>
  <autoFilter ref="A2:P196"/>
  <hyperlinks>
    <hyperlink ref="L3" r:id="rId1" display="https://x.com/fromzerotomill/status/2015743611237785804"/>
    <hyperlink ref="L4" r:id="rId2" display="https://www.instagram.com/reel/DWb9bMukmwe/"/>
    <hyperlink ref="L5" r:id="rId3" display="https://x.com/MichLieben/status/2039432665078923529"/>
    <hyperlink ref="L6" r:id="rId4" display="https://x.com/NickB2005/status/2095121648710037913"/>
    <hyperlink ref="L7" r:id="rId5" display="https://www.linkedin.com/feed/update/urn:li:activity:7421567657579196416"/>
    <hyperlink ref="L8" r:id="rId6" display="https://x.com/fin465/status/2056468083271926258"/>
    <hyperlink ref="L9" r:id="rId7" display="https://x.com/TheMattBerman/status/2027220216409723296"/>
    <hyperlink ref="L10" r:id="rId8" display="https://x.com/ecomchigga/status/1990191674086039953"/>
    <hyperlink ref="L11" r:id="rId9" display="https://x.com/marlowxbt/status/2064014528401277174"/>
    <hyperlink ref="L12" r:id="rId10" display="https://www.instagram.com/reel/Db_hVF_P5lF/"/>
    <hyperlink ref="L13" r:id="rId11" display="https://www.instagram.com/reel/DeNIahOMks5/"/>
    <hyperlink ref="L14" r:id="rId12" display="https://www.linkedin.com/feed/update/urn:li:activity:7388844603602280448"/>
    <hyperlink ref="L15" r:id="rId13" display="https://x.com/WorkflowWhisper/status/2012590119929172319"/>
    <hyperlink ref="L16" r:id="rId14" display="https://x.com/theroborourke/status/1990343987148775791"/>
    <hyperlink ref="L17" r:id="rId15" display="https://x.com/scaling_shields/status/2014306814054244421"/>
    <hyperlink ref="L18" r:id="rId16" display="https://www.instagram.com/reel/Dcy173UgAVR/"/>
    <hyperlink ref="L19" r:id="rId17" display="https://www.linkedin.com/feed/update/urn:li:activity:7455938006865297408"/>
    <hyperlink ref="L20" r:id="rId18" display="https://x.com/romanbuildsaas/status/2047825608030494758"/>
    <hyperlink ref="L21" r:id="rId19" display="https://www.instagram.com/reel/DUps_9Ak1Ld/"/>
    <hyperlink ref="L22" r:id="rId20" display="https://www.linkedin.com/feed/update/urn:li:activity:7385915021148438528"/>
    <hyperlink ref="L23" r:id="rId21" display="https://www.instagram.com/reel/DbTSnDZBQGM/"/>
    <hyperlink ref="L24" r:id="rId22" display="https://www.linkedin.com/feed/update/urn:li:activity:7389341155429117952"/>
    <hyperlink ref="L25" r:id="rId23" display="https://www.linkedin.com/feed/update/urn:li:activity:7396226068027969537"/>
    <hyperlink ref="L26" r:id="rId24" display="https://www.instagram.com/reel/DV2q3zoErC3/"/>
    <hyperlink ref="L27" r:id="rId25" display="https://www.linkedin.com/feed/update/urn:li:activity:7499200540862599183"/>
    <hyperlink ref="L28" r:id="rId26" display="https://x.com/imsehej/status/2007850577326456879"/>
    <hyperlink ref="L29" r:id="rId27" display="https://x.com/paolo_scales/status/2091961906210967746"/>
    <hyperlink ref="L30" r:id="rId28" display="https://www.instagram.com/reel/DYj-FLTxrLH/"/>
    <hyperlink ref="L31" r:id="rId29" display="https://www.instagram.com/reel/DcJW1_5OCmB/"/>
    <hyperlink ref="L32" r:id="rId30" display="https://www.linkedin.com/feed/update/urn:li:activity:7406713660355751936"/>
    <hyperlink ref="L33" r:id="rId31" display="https://www.linkedin.com/feed/update/urn:li:activity:7391096862537314305"/>
    <hyperlink ref="L34" r:id="rId32" display="https://www.linkedin.com/feed/update/urn:li:activity:7419636145778688000"/>
    <hyperlink ref="L35" r:id="rId33" display="https://www.instagram.com/reel/DdMX_byhlDb/"/>
    <hyperlink ref="L36" r:id="rId34" display="https://www.linkedin.com/feed/update/urn:li:activity:7500522995900256257"/>
    <hyperlink ref="L37" r:id="rId35" display="https://x.com/ConnorAbene/status/2101380828399882659"/>
    <hyperlink ref="L38" r:id="rId36" display="https://x.com/blvckledge/status/2023652418916135293"/>
    <hyperlink ref="L39" r:id="rId37" display="https://www.linkedin.com/feed/update/urn:li:activity:7509208477894975488"/>
    <hyperlink ref="L40" r:id="rId38" display="https://x.com/leonabboud/status/2008556160962752656"/>
    <hyperlink ref="L41" r:id="rId39" display="https://www.linkedin.com/feed/update/urn:li:activity:7503345290075250688"/>
    <hyperlink ref="L42" r:id="rId40" display="https://www.linkedin.com/feed/update/urn:li:activity:7404843326744453121"/>
    <hyperlink ref="L43" r:id="rId41" display="https://www.linkedin.com/feed/update/urn:li:activity:7422187161350840320"/>
    <hyperlink ref="L44" r:id="rId42" display="https://www.linkedin.com/feed/update/urn:li:activity:7478766175548702721"/>
    <hyperlink ref="L45" r:id="rId43" display="https://x.com/andreysuperior/status/2059992370414796888"/>
    <hyperlink ref="L46" r:id="rId44" display="https://x.com/codyschneider/status/2094893065202803014"/>
    <hyperlink ref="L47" r:id="rId45" display="https://www.linkedin.com/feed/update/urn:li:activity:7414238930080030720"/>
    <hyperlink ref="L48" r:id="rId46" display="https://www.instagram.com/reel/DeKt5O_Sz9_/"/>
    <hyperlink ref="L49" r:id="rId47" display="https://www.instagram.com/reel/DYo8Da5PPe3/"/>
    <hyperlink ref="L50" r:id="rId48" display="https://www.instagram.com/reel/DeIN6T6zB0G/"/>
    <hyperlink ref="L51" r:id="rId49" display="https://x.com/MarketingMax/status/2019410776201506904"/>
    <hyperlink ref="L52" r:id="rId50" display="https://x.com/FinancialPhys/status/2079933243650982238"/>
    <hyperlink ref="L53" r:id="rId51" display="https://www.instagram.com/reel/Db58c4nCOXN/"/>
    <hyperlink ref="L54" r:id="rId52" display="https://www.instagram.com/reel/DcGk3BOI4_r/"/>
    <hyperlink ref="L55" r:id="rId53" display="https://www.linkedin.com/feed/update/urn:li:activity:7447674013230841856"/>
    <hyperlink ref="L56" r:id="rId54" display="https://www.instagram.com/reel/DYE9F6qN8uX/"/>
    <hyperlink ref="L57" r:id="rId55" display="https://x.com/boomerrbryan/status/2105927263208570959"/>
    <hyperlink ref="L58" r:id="rId56" display="https://www.instagram.com/reel/DRbhwTODVM1/"/>
    <hyperlink ref="L59" r:id="rId57" display="https://x.com/Hartdrawss/status/2029852118723551289"/>
    <hyperlink ref="L60" r:id="rId58" display="https://www.instagram.com/reel/Db8S4BmJlfM/"/>
    <hyperlink ref="L61" r:id="rId59" display="https://x.com/theo_jil/status/2040494043713425822"/>
    <hyperlink ref="L62" r:id="rId60" display="https://www.instagram.com/reel/Ddl5gR1xz9b/"/>
    <hyperlink ref="L63" r:id="rId61" display="https://www.instagram.com/reel/DcD3bofMQF1/"/>
    <hyperlink ref="L64" r:id="rId62" display="https://www.instagram.com/reel/DW8TbCSDWOZ/"/>
    <hyperlink ref="L65" r:id="rId63" display="https://x.com/scott_bair/status/2043596395580670401"/>
    <hyperlink ref="L66" r:id="rId64" display="https://www.instagram.com/reel/DcSBJPCogrr/"/>
    <hyperlink ref="L67" r:id="rId65" display="https://www.linkedin.com/feed/update/urn:li:activity:7424882262791598080"/>
    <hyperlink ref="L68" r:id="rId66" display="https://x.com/sourfraser/status/2035454870204100810"/>
    <hyperlink ref="L69" r:id="rId67" display="https://www.linkedin.com/feed/update/urn:li:activity:7470938105974362112"/>
    <hyperlink ref="L70" r:id="rId68" display="https://x.com/CartuneNetwerk/status/2063291410049065307"/>
    <hyperlink ref="L71" r:id="rId69" display="https://x.com/om_patel5/status/2040295631793635465"/>
    <hyperlink ref="L72" r:id="rId70" display="https://www.instagram.com/reel/DbOTspij6yZ/"/>
    <hyperlink ref="L73" r:id="rId71" display="https://www.instagram.com/reel/DbpURTwRL_W/"/>
    <hyperlink ref="L74" r:id="rId72" display="https://www.instagram.com/reel/Dcbe_AuOO3L/"/>
    <hyperlink ref="L75" r:id="rId73" display="https://www.instagram.com/p/DThOGx3gZ6T/"/>
    <hyperlink ref="L76" r:id="rId74" display="https://www.instagram.com/reel/DclVkO-ym1J/"/>
    <hyperlink ref="L77" r:id="rId75" display="https://x.com/JamesEbringer/status/1993780615901003863"/>
    <hyperlink ref="L78" r:id="rId76" display="https://x.com/lochan_twt/status/2101990918002012357"/>
    <hyperlink ref="L79" r:id="rId77" display="https://x.com/TimStodz/status/2108161648506609947"/>
    <hyperlink ref="L80" r:id="rId78" display="https://x.com/RetentionAdam/status/2016190513251287229"/>
    <hyperlink ref="L81" r:id="rId79" display="https://www.linkedin.com/feed/update/urn:li:activity:7396917745914781696"/>
    <hyperlink ref="L82" r:id="rId80" display="https://x.com/TechnicalBben/status/2003721429435445579"/>
    <hyperlink ref="L83" r:id="rId81" display="https://www.instagram.com/reel/DbjoFw9xS8R/"/>
    <hyperlink ref="L84" r:id="rId82" display="https://www.instagram.com/reel/DblbBF0gJ8g/"/>
    <hyperlink ref="L85" r:id="rId83" display="https://x.com/jonnym1ller/status/2096786649149825058"/>
    <hyperlink ref="L86" r:id="rId84" display="https://www.instagram.com/reel/DdL7H1QFDHh/"/>
    <hyperlink ref="L87" r:id="rId85" display="https://x.com/ujjwalscript/status/2010221244646666335"/>
    <hyperlink ref="L88" r:id="rId86" display="https://www.instagram.com/reel/DbY84VUgCRz/"/>
    <hyperlink ref="L89" r:id="rId87" display="https://x.com/parsedpatterns/status/2006786675741962478"/>
    <hyperlink ref="L90" r:id="rId88" display="https://x.com/cailynyongyong/status/2043832596304670749"/>
    <hyperlink ref="L91" r:id="rId89" display="https://x.com/TechSalesGuy/status/2092971899659681881"/>
    <hyperlink ref="L92" r:id="rId90" display="https://www.instagram.com/reel/DbYHkLmtIBv/"/>
    <hyperlink ref="L93" r:id="rId91" display="https://x.com/mikefutia/status/2047019993439850631"/>
    <hyperlink ref="L94" r:id="rId92" display="https://www.instagram.com/reel/DWQxe0VjcyN/"/>
    <hyperlink ref="L95" r:id="rId93" display="https://x.com/ianwong_/status/2090454226011091033"/>
    <hyperlink ref="L96" r:id="rId94" display="https://www.linkedin.com/feed/update/urn:li:activity:7507787563672317953"/>
    <hyperlink ref="L97" r:id="rId95" display="https://www.instagram.com/reel/DZMEp61IK8J/"/>
    <hyperlink ref="L98" r:id="rId96" display="https://www.instagram.com/reel/DdmrqTOiOtL/"/>
    <hyperlink ref="L99" r:id="rId97" display="https://www.linkedin.com/feed/update/urn:li:activity:7507790049237897216"/>
    <hyperlink ref="L100" r:id="rId98" display="https://www.linkedin.com/feed/update/urn:li:activity:7511422825266688001"/>
    <hyperlink ref="L101" r:id="rId99" display="https://www.instagram.com/reel/DcR2EJ_Rmbp/"/>
    <hyperlink ref="L102" r:id="rId100" display="https://www.linkedin.com/feed/update/urn:li:activity:7495181952933715969"/>
    <hyperlink ref="L103" r:id="rId101" display="https://www.instagram.com/reel/Dbsxb8IhIXA/"/>
    <hyperlink ref="L104" r:id="rId102" display="https://www.instagram.com/reel/Ddr6DBaRrL7/"/>
    <hyperlink ref="L105" r:id="rId103" display="https://x.com/jasoncfox/status/2005610481969504723"/>
    <hyperlink ref="L106" r:id="rId104" display="https://www.instagram.com/reel/DbDrqpnDu9d/"/>
    <hyperlink ref="L107" r:id="rId105" display="https://www.linkedin.com/feed/update/urn:li:activity:7507859803386511361"/>
    <hyperlink ref="L108" r:id="rId106" display="https://www.instagram.com/reel/DbHIs-aSgsS/"/>
    <hyperlink ref="L109" r:id="rId107" display="https://www.linkedin.com/feed/update/urn:li:activity:7414298455659167744"/>
    <hyperlink ref="L110" r:id="rId108" display="https://www.linkedin.com/feed/update/urn:li:activity:7483506353366515712"/>
    <hyperlink ref="L111" r:id="rId109" display="https://www.instagram.com/reel/DbNU9a9BHK8/"/>
    <hyperlink ref="L112" r:id="rId110" display="https://www.instagram.com/reel/Dbrbk8Kxw4w/"/>
    <hyperlink ref="L113" r:id="rId111" display="https://x.com/VibeMarketer_/status/2010413892380373256"/>
    <hyperlink ref="L114" r:id="rId112" display="https://www.instagram.com/reel/Db_AqZjoN_r/"/>
    <hyperlink ref="L115" r:id="rId113" display="https://www.instagram.com/reel/DcriHRDS7Gt/"/>
    <hyperlink ref="L116" r:id="rId114" display="https://www.instagram.com/reel/Dc9onC7h9pS/"/>
    <hyperlink ref="L117" r:id="rId115" display="https://www.linkedin.com/feed/update/urn:li:activity:7430219623037407232"/>
    <hyperlink ref="L118" r:id="rId116" display="https://www.instagram.com/reel/DU_mBxxDPDR/"/>
    <hyperlink ref="L119" r:id="rId117" display="https://x.com/sheilatebra/status/2048980174742368547"/>
    <hyperlink ref="L120" r:id="rId118" display="https://www.instagram.com/reel/DchttGrpIa6/"/>
    <hyperlink ref="L121" r:id="rId119" display="https://x.com/frederickjames/status/2091503229146194334"/>
    <hyperlink ref="L122" r:id="rId120" display="https://www.instagram.com/reel/DcQ-uJJMWqf/"/>
    <hyperlink ref="L123" r:id="rId121" display="https://www.instagram.com/reel/DVqcT1hiKHL/"/>
    <hyperlink ref="L124" r:id="rId122" display="https://x.com/NoahEpstein_/status/2001668932495868139"/>
    <hyperlink ref="L125" r:id="rId123" display="https://www.linkedin.com/feed/update/urn:li:activity:7508299114216968193"/>
    <hyperlink ref="L126" r:id="rId124" display="https://x.com/georgeclem/status/2013251109268418603"/>
    <hyperlink ref="L127" r:id="rId125" display="https://www.linkedin.com/feed/update/urn:li:activity:7500925185454170113"/>
    <hyperlink ref="L128" r:id="rId126" display="https://www.instagram.com/reel/DWEsYaiDrsm/"/>
    <hyperlink ref="L129" r:id="rId127" display="https://www.instagram.com/reel/DbnGvDJJMIb/"/>
    <hyperlink ref="L130" r:id="rId128" display="https://www.instagram.com/reel/DQjmVyqDKPa/"/>
    <hyperlink ref="L131" r:id="rId129" display="https://www.linkedin.com/feed/update/urn:li:activity:7462731940933193728"/>
    <hyperlink ref="L132" r:id="rId130" display="https://www.instagram.com/reel/DZF1FpUvcRk/"/>
    <hyperlink ref="L133" r:id="rId131" display="https://www.instagram.com/reel/Dcgp5WGs_H9/"/>
    <hyperlink ref="L134" r:id="rId132" display="https://www.linkedin.com/feed/update/urn:li:activity:7448349913706508288"/>
    <hyperlink ref="L135" r:id="rId133" display="https://www.linkedin.com/feed/update/urn:li:activity:7422213698724724736"/>
    <hyperlink ref="L136" r:id="rId134" display="https://www.linkedin.com/feed/update/urn:li:activity:7510284697445466112"/>
    <hyperlink ref="L137" r:id="rId135" display="https://www.linkedin.com/feed/update/urn:li:activity:7433779064005562368"/>
    <hyperlink ref="L138" r:id="rId136" display="https://www.linkedin.com/feed/update/urn:li:activity:7388938270853935104"/>
    <hyperlink ref="L139" r:id="rId137" display="https://www.instagram.com/reel/Da8ZPqps4rM/"/>
    <hyperlink ref="L140" r:id="rId138" display="https://x.com/Zephyr_hg/status/2046201083916161190"/>
    <hyperlink ref="L141" r:id="rId139" display="https://x.com/TheVictorOkafor/status/2079952564271899091"/>
    <hyperlink ref="L142" r:id="rId140" display="https://www.linkedin.com/feed/update/urn:li:activity:7403793290204180480"/>
    <hyperlink ref="L143" r:id="rId141" display="https://x.com/coreyganim/status/2022689786339774481"/>
    <hyperlink ref="L144" r:id="rId142" display="https://x.com/JosephKChoi/status/2054606103778898391"/>
    <hyperlink ref="L145" r:id="rId143" display="https://www.instagram.com/reel/DT8emAViXDw/"/>
    <hyperlink ref="L146" r:id="rId144" display="https://www.instagram.com/reel/DbYt14LMoeA/"/>
    <hyperlink ref="L147" r:id="rId145" display="https://x.com/lukepierceops/status/2110899653717737517"/>
    <hyperlink ref="L148" r:id="rId146" display="https://x.com/freddiexpott/status/2108739030569361744"/>
    <hyperlink ref="L149" r:id="rId147" display="https://x.com/danielfazio/status/2092685995686666242"/>
    <hyperlink ref="L150" r:id="rId148" display="https://www.instagram.com/reel/DcC-2k8zJqP/"/>
    <hyperlink ref="L151" r:id="rId149" display="https://www.linkedin.com/feed/update/urn:li:activity:7513146223147687936"/>
    <hyperlink ref="L152" r:id="rId150" display="https://www.linkedin.com/feed/update/urn:li:activity:7445862326324572160"/>
    <hyperlink ref="L153" r:id="rId151" display="https://www.linkedin.com/feed/update/urn:li:activity:7497619778023428096"/>
    <hyperlink ref="L154" r:id="rId152" display="https://www.instagram.com/reel/DXzcVckxl22/"/>
    <hyperlink ref="L155" r:id="rId153" display="https://x.com/MediaKing/status/2097384485520024026"/>
    <hyperlink ref="L156" r:id="rId154" display="https://x.com/draprints/status/2095133643182322119"/>
    <hyperlink ref="L157" r:id="rId155" display="https://x.com/ItsMeBenChan/status/2095894359766118712"/>
    <hyperlink ref="L158" r:id="rId156" display="https://www.instagram.com/reel/DYN1ENyPIMJ/"/>
    <hyperlink ref="L159" r:id="rId157" display="https://www.linkedin.com/feed/update/urn:li:activity:7505943146720165888"/>
    <hyperlink ref="L160" r:id="rId158" display="https://www.instagram.com/reel/DdmDn6_A8wu/"/>
    <hyperlink ref="L161" r:id="rId159" display="https://www.linkedin.com/feed/update/urn:li:activity:7452393142810611712"/>
    <hyperlink ref="L162" r:id="rId160" display="https://x.com/denohawari/status/2073135200968859772"/>
    <hyperlink ref="L163" r:id="rId161" display="https://www.linkedin.com/feed/update/urn:li:activity:7448015639690129408"/>
    <hyperlink ref="L164" r:id="rId162" display="https://www.linkedin.com/feed/update/urn:li:activity:7454831538892099584"/>
    <hyperlink ref="L165" r:id="rId163" display="https://www.linkedin.com/feed/update/urn:li:activity:7499119006935617536"/>
    <hyperlink ref="L166" r:id="rId164" display="https://x.com/emilios_eth/status/2015877389411037492"/>
    <hyperlink ref="L167" r:id="rId165" display="https://www.linkedin.com/feed/update/urn:li:activity:7514652222589210624"/>
    <hyperlink ref="L168" r:id="rId166" display="https://www.instagram.com/reel/DZClftTpxeV/"/>
    <hyperlink ref="L169" r:id="rId167" display="https://www.linkedin.com/feed/update/urn:li:activity:7406591175941435392"/>
    <hyperlink ref="L170" r:id="rId168" display="https://www.linkedin.com/feed/update/urn:li:activity:7453041354718220288"/>
    <hyperlink ref="L171" r:id="rId169" display="https://www.linkedin.com/feed/update/urn:li:activity:7454205178427232257"/>
    <hyperlink ref="L172" r:id="rId170" display="https://www.linkedin.com/feed/update/urn:li:activity:7509580159440596992"/>
    <hyperlink ref="L173" r:id="rId171" display="https://www.instagram.com/reel/Ddlxo8YBwPN/"/>
    <hyperlink ref="L174" r:id="rId172" display="https://x.com/evanseech/status/2031345968122134799"/>
    <hyperlink ref="L175" r:id="rId173" display="https://www.instagram.com/reel/DZFimmrsrsc/"/>
    <hyperlink ref="L176" r:id="rId174" display="https://www.linkedin.com/feed/update/urn:li:activity:7511137849216278528"/>
    <hyperlink ref="L177" r:id="rId175" display="https://x.com/linkedin_legend/status/2097108920611307803"/>
    <hyperlink ref="L178" r:id="rId176" display="https://www.linkedin.com/feed/update/urn:li:activity:7510089893650321408"/>
    <hyperlink ref="L179" r:id="rId177" display="https://www.linkedin.com/feed/update/urn:li:activity:7458476240354660352"/>
    <hyperlink ref="L180" r:id="rId178" display="https://x.com/qwenwork/status/2054934477483471041"/>
    <hyperlink ref="L181" r:id="rId179" display="https://x.com/BrendanFoody/status/2109838645339607285"/>
    <hyperlink ref="L182" r:id="rId180" display="https://www.linkedin.com/feed/update/urn:li:activity:7448340675936550913"/>
    <hyperlink ref="L183" r:id="rId181" display="https://www.instagram.com/reel/DZ4b5KaNr-x/"/>
    <hyperlink ref="L184" r:id="rId182" display="https://x.com/vovudebosh/status/2098020150788104653"/>
    <hyperlink ref="L185" r:id="rId183" display="https://x.com/eeelistar/status/1998700772968534271"/>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8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1"/>
    <col collapsed="false" customWidth="true" hidden="false" outlineLevel="0" max="5" min="5" style="0" width="10"/>
    <col collapsed="false" customWidth="true" hidden="false" outlineLevel="0" max="8" min="6" style="0" width="13"/>
    <col collapsed="false" customWidth="true" hidden="false" outlineLevel="0" max="9" min="9" style="0" width="12"/>
    <col collapsed="false" customWidth="true" hidden="false" outlineLevel="0" max="11" min="10" style="0" width="11"/>
  </cols>
  <sheetData>
    <row r="1" customFormat="false" ht="15" hidden="false" customHeight="false" outlineLevel="0" collapsed="false">
      <c r="A1" s="25" t="s">
        <v>4715</v>
      </c>
    </row>
    <row r="2" customFormat="false" ht="15" hidden="false" customHeight="false" outlineLevel="0" collapsed="false">
      <c r="A2" s="7" t="s">
        <v>4716</v>
      </c>
      <c r="B2" s="30" t="n">
        <v>4</v>
      </c>
    </row>
    <row r="4" customFormat="false" ht="31.5" hidden="false" customHeight="true" outlineLevel="0" collapsed="false">
      <c r="A4" s="13" t="s">
        <v>3421</v>
      </c>
      <c r="B4" s="13" t="s">
        <v>4717</v>
      </c>
      <c r="C4" s="13" t="s">
        <v>4718</v>
      </c>
      <c r="D4" s="13" t="s">
        <v>4719</v>
      </c>
      <c r="E4" s="13" t="s">
        <v>4720</v>
      </c>
      <c r="F4" s="13" t="s">
        <v>4721</v>
      </c>
      <c r="G4" s="13" t="s">
        <v>4722</v>
      </c>
      <c r="H4" s="13" t="s">
        <v>4723</v>
      </c>
      <c r="I4" s="13" t="s">
        <v>4724</v>
      </c>
      <c r="J4" s="13" t="s">
        <v>4725</v>
      </c>
      <c r="K4" s="13" t="s">
        <v>4726</v>
      </c>
    </row>
    <row r="5" customFormat="false" ht="15" hidden="false" customHeight="false" outlineLevel="0" collapsed="false">
      <c r="A5" s="7" t="s">
        <v>635</v>
      </c>
      <c r="B5" s="31" t="n">
        <f aca="false">COUNTIFS('Master Database'!$I$2:$I$396,$A5,'Master Database'!$B$2:$B$396,"LinkedIn",'Master Database'!$AH$2:$AH$396,"&gt;="&amp;$B$2)</f>
        <v>8</v>
      </c>
      <c r="C5" s="31" t="n">
        <f aca="false">COUNTIFS('Master Database'!$I$2:$I$396,$A5,'Master Database'!$B$2:$B$396,"X",'Master Database'!$AH$2:$AH$396,"&gt;="&amp;$B$2)</f>
        <v>4</v>
      </c>
      <c r="D5" s="31" t="n">
        <f aca="false">COUNTIFS('Master Database'!$I$2:$I$396,$A5,'Master Database'!$B$2:$B$396,"Instagram",'Master Database'!$AH$2:$AH$396,"&gt;="&amp;$B$2)</f>
        <v>3</v>
      </c>
      <c r="E5" s="31" t="n">
        <f aca="false">SUM(B5:D5)</f>
        <v>15</v>
      </c>
      <c r="F5" s="32" t="n">
        <f aca="false">IFERROR(ROUND(AVERAGEIFS('Master Database'!$AE$2:$AE$396,'Master Database'!$I$2:$I$396,$A5,'Master Database'!$B$2:$B$396,"LinkedIn",'Master Database'!$AH$2:$AH$396,"&gt;="&amp;$B$2),1),"-")</f>
        <v>11.7</v>
      </c>
      <c r="G5" s="32" t="n">
        <f aca="false">IFERROR(ROUND(AVERAGEIFS('Master Database'!$AE$2:$AE$396,'Master Database'!$I$2:$I$396,$A5,'Master Database'!$B$2:$B$396,"X",'Master Database'!$AH$2:$AH$396,"&gt;="&amp;$B$2),1),"-")</f>
        <v>6.9</v>
      </c>
      <c r="H5" s="32" t="n">
        <f aca="false">IFERROR(ROUND(AVERAGEIFS('Master Database'!$AE$2:$AE$396,'Master Database'!$I$2:$I$396,$A5,'Master Database'!$B$2:$B$396,"Instagram",'Master Database'!$AH$2:$AH$396,"&gt;="&amp;$B$2),1),"-")</f>
        <v>73.5</v>
      </c>
      <c r="I5" s="31" t="n">
        <f aca="false">COUNTIFS('Master Database'!$I$2:$I$396,$A5,'Master Database'!$E$2:$E$396,"Hidden Gem",'Master Database'!$AH$2:$AH$396,"&gt;="&amp;$B$2)</f>
        <v>6</v>
      </c>
      <c r="J5" s="31" t="n">
        <f aca="false">COUNTIFS('Master Database'!$I$2:$I$396,$A5,'Master Database'!$E$2:$E$396,"Breakout",'Master Database'!$AH$2:$AH$396,"&gt;="&amp;$B$2)</f>
        <v>5</v>
      </c>
      <c r="K5" s="33" t="n">
        <f aca="false">IFERROR(E5/$E$14,0)</f>
        <v>0.0493421052631579</v>
      </c>
    </row>
    <row r="6" customFormat="false" ht="15" hidden="false" customHeight="false" outlineLevel="0" collapsed="false">
      <c r="A6" s="7" t="s">
        <v>338</v>
      </c>
      <c r="B6" s="31" t="n">
        <f aca="false">COUNTIFS('Master Database'!$I$2:$I$396,$A6,'Master Database'!$B$2:$B$396,"LinkedIn",'Master Database'!$AH$2:$AH$396,"&gt;="&amp;$B$2)</f>
        <v>4</v>
      </c>
      <c r="C6" s="31" t="n">
        <f aca="false">COUNTIFS('Master Database'!$I$2:$I$396,$A6,'Master Database'!$B$2:$B$396,"X",'Master Database'!$AH$2:$AH$396,"&gt;="&amp;$B$2)</f>
        <v>6</v>
      </c>
      <c r="D6" s="31" t="n">
        <f aca="false">COUNTIFS('Master Database'!$I$2:$I$396,$A6,'Master Database'!$B$2:$B$396,"Instagram",'Master Database'!$AH$2:$AH$396,"&gt;="&amp;$B$2)</f>
        <v>19</v>
      </c>
      <c r="E6" s="31" t="n">
        <f aca="false">SUM(B6:D6)</f>
        <v>29</v>
      </c>
      <c r="F6" s="32" t="n">
        <f aca="false">IFERROR(ROUND(AVERAGEIFS('Master Database'!$AE$2:$AE$396,'Master Database'!$I$2:$I$396,$A6,'Master Database'!$B$2:$B$396,"LinkedIn",'Master Database'!$AH$2:$AH$396,"&gt;="&amp;$B$2),1),"-")</f>
        <v>19.1</v>
      </c>
      <c r="G6" s="32" t="n">
        <f aca="false">IFERROR(ROUND(AVERAGEIFS('Master Database'!$AE$2:$AE$396,'Master Database'!$I$2:$I$396,$A6,'Master Database'!$B$2:$B$396,"X",'Master Database'!$AH$2:$AH$396,"&gt;="&amp;$B$2),1),"-")</f>
        <v>67.5</v>
      </c>
      <c r="H6" s="32" t="n">
        <f aca="false">IFERROR(ROUND(AVERAGEIFS('Master Database'!$AE$2:$AE$396,'Master Database'!$I$2:$I$396,$A6,'Master Database'!$B$2:$B$396,"Instagram",'Master Database'!$AH$2:$AH$396,"&gt;="&amp;$B$2),1),"-")</f>
        <v>59</v>
      </c>
      <c r="I6" s="31" t="n">
        <f aca="false">COUNTIFS('Master Database'!$I$2:$I$396,$A6,'Master Database'!$E$2:$E$396,"Hidden Gem",'Master Database'!$AH$2:$AH$396,"&gt;="&amp;$B$2)</f>
        <v>16</v>
      </c>
      <c r="J6" s="31" t="n">
        <f aca="false">COUNTIFS('Master Database'!$I$2:$I$396,$A6,'Master Database'!$E$2:$E$396,"Breakout",'Master Database'!$AH$2:$AH$396,"&gt;="&amp;$B$2)</f>
        <v>10</v>
      </c>
      <c r="K6" s="33" t="n">
        <f aca="false">IFERROR(E6/$E$14,0)</f>
        <v>0.0953947368421053</v>
      </c>
    </row>
    <row r="7" customFormat="false" ht="15" hidden="false" customHeight="false" outlineLevel="0" collapsed="false">
      <c r="A7" s="7" t="s">
        <v>308</v>
      </c>
      <c r="B7" s="31" t="n">
        <f aca="false">COUNTIFS('Master Database'!$I$2:$I$396,$A7,'Master Database'!$B$2:$B$396,"LinkedIn",'Master Database'!$AH$2:$AH$396,"&gt;="&amp;$B$2)</f>
        <v>9</v>
      </c>
      <c r="C7" s="31" t="n">
        <f aca="false">COUNTIFS('Master Database'!$I$2:$I$396,$A7,'Master Database'!$B$2:$B$396,"X",'Master Database'!$AH$2:$AH$396,"&gt;="&amp;$B$2)</f>
        <v>17</v>
      </c>
      <c r="D7" s="31" t="n">
        <f aca="false">COUNTIFS('Master Database'!$I$2:$I$396,$A7,'Master Database'!$B$2:$B$396,"Instagram",'Master Database'!$AH$2:$AH$396,"&gt;="&amp;$B$2)</f>
        <v>4</v>
      </c>
      <c r="E7" s="31" t="n">
        <f aca="false">SUM(B7:D7)</f>
        <v>30</v>
      </c>
      <c r="F7" s="32" t="n">
        <f aca="false">IFERROR(ROUND(AVERAGEIFS('Master Database'!$AE$2:$AE$396,'Master Database'!$I$2:$I$396,$A7,'Master Database'!$B$2:$B$396,"LinkedIn",'Master Database'!$AH$2:$AH$396,"&gt;="&amp;$B$2),1),"-")</f>
        <v>25.1</v>
      </c>
      <c r="G7" s="32" t="n">
        <f aca="false">IFERROR(ROUND(AVERAGEIFS('Master Database'!$AE$2:$AE$396,'Master Database'!$I$2:$I$396,$A7,'Master Database'!$B$2:$B$396,"X",'Master Database'!$AH$2:$AH$396,"&gt;="&amp;$B$2),1),"-")</f>
        <v>52</v>
      </c>
      <c r="H7" s="32" t="n">
        <f aca="false">IFERROR(ROUND(AVERAGEIFS('Master Database'!$AE$2:$AE$396,'Master Database'!$I$2:$I$396,$A7,'Master Database'!$B$2:$B$396,"Instagram",'Master Database'!$AH$2:$AH$396,"&gt;="&amp;$B$2),1),"-")</f>
        <v>26.9</v>
      </c>
      <c r="I7" s="31" t="n">
        <f aca="false">COUNTIFS('Master Database'!$I$2:$I$396,$A7,'Master Database'!$E$2:$E$396,"Hidden Gem",'Master Database'!$AH$2:$AH$396,"&gt;="&amp;$B$2)</f>
        <v>17</v>
      </c>
      <c r="J7" s="31" t="n">
        <f aca="false">COUNTIFS('Master Database'!$I$2:$I$396,$A7,'Master Database'!$E$2:$E$396,"Breakout",'Master Database'!$AH$2:$AH$396,"&gt;="&amp;$B$2)</f>
        <v>8</v>
      </c>
      <c r="K7" s="33" t="n">
        <f aca="false">IFERROR(E7/$E$14,0)</f>
        <v>0.0986842105263158</v>
      </c>
    </row>
    <row r="8" customFormat="false" ht="15" hidden="false" customHeight="false" outlineLevel="0" collapsed="false">
      <c r="A8" s="7" t="s">
        <v>586</v>
      </c>
      <c r="B8" s="31" t="n">
        <f aca="false">COUNTIFS('Master Database'!$I$2:$I$396,$A8,'Master Database'!$B$2:$B$396,"LinkedIn",'Master Database'!$AH$2:$AH$396,"&gt;="&amp;$B$2)</f>
        <v>10</v>
      </c>
      <c r="C8" s="31" t="n">
        <f aca="false">COUNTIFS('Master Database'!$I$2:$I$396,$A8,'Master Database'!$B$2:$B$396,"X",'Master Database'!$AH$2:$AH$396,"&gt;="&amp;$B$2)</f>
        <v>9</v>
      </c>
      <c r="D8" s="31" t="n">
        <f aca="false">COUNTIFS('Master Database'!$I$2:$I$396,$A8,'Master Database'!$B$2:$B$396,"Instagram",'Master Database'!$AH$2:$AH$396,"&gt;="&amp;$B$2)</f>
        <v>7</v>
      </c>
      <c r="E8" s="31" t="n">
        <f aca="false">SUM(B8:D8)</f>
        <v>26</v>
      </c>
      <c r="F8" s="32" t="n">
        <f aca="false">IFERROR(ROUND(AVERAGEIFS('Master Database'!$AE$2:$AE$396,'Master Database'!$I$2:$I$396,$A8,'Master Database'!$B$2:$B$396,"LinkedIn",'Master Database'!$AH$2:$AH$396,"&gt;="&amp;$B$2),1),"-")</f>
        <v>12.9</v>
      </c>
      <c r="G8" s="32" t="n">
        <f aca="false">IFERROR(ROUND(AVERAGEIFS('Master Database'!$AE$2:$AE$396,'Master Database'!$I$2:$I$396,$A8,'Master Database'!$B$2:$B$396,"X",'Master Database'!$AH$2:$AH$396,"&gt;="&amp;$B$2),1),"-")</f>
        <v>31.1</v>
      </c>
      <c r="H8" s="32" t="n">
        <f aca="false">IFERROR(ROUND(AVERAGEIFS('Master Database'!$AE$2:$AE$396,'Master Database'!$I$2:$I$396,$A8,'Master Database'!$B$2:$B$396,"Instagram",'Master Database'!$AH$2:$AH$396,"&gt;="&amp;$B$2),1),"-")</f>
        <v>24</v>
      </c>
      <c r="I8" s="31" t="n">
        <f aca="false">COUNTIFS('Master Database'!$I$2:$I$396,$A8,'Master Database'!$E$2:$E$396,"Hidden Gem",'Master Database'!$AH$2:$AH$396,"&gt;="&amp;$B$2)</f>
        <v>8</v>
      </c>
      <c r="J8" s="31" t="n">
        <f aca="false">COUNTIFS('Master Database'!$I$2:$I$396,$A8,'Master Database'!$E$2:$E$396,"Breakout",'Master Database'!$AH$2:$AH$396,"&gt;="&amp;$B$2)</f>
        <v>9</v>
      </c>
      <c r="K8" s="33" t="n">
        <f aca="false">IFERROR(E8/$E$14,0)</f>
        <v>0.0855263157894737</v>
      </c>
    </row>
    <row r="9" customFormat="false" ht="15" hidden="false" customHeight="false" outlineLevel="0" collapsed="false">
      <c r="A9" s="7" t="s">
        <v>375</v>
      </c>
      <c r="B9" s="31" t="n">
        <f aca="false">COUNTIFS('Master Database'!$I$2:$I$396,$A9,'Master Database'!$B$2:$B$396,"LinkedIn",'Master Database'!$AH$2:$AH$396,"&gt;="&amp;$B$2)</f>
        <v>2</v>
      </c>
      <c r="C9" s="31" t="n">
        <f aca="false">COUNTIFS('Master Database'!$I$2:$I$396,$A9,'Master Database'!$B$2:$B$396,"X",'Master Database'!$AH$2:$AH$396,"&gt;="&amp;$B$2)</f>
        <v>8</v>
      </c>
      <c r="D9" s="31" t="n">
        <f aca="false">COUNTIFS('Master Database'!$I$2:$I$396,$A9,'Master Database'!$B$2:$B$396,"Instagram",'Master Database'!$AH$2:$AH$396,"&gt;="&amp;$B$2)</f>
        <v>9</v>
      </c>
      <c r="E9" s="31" t="n">
        <f aca="false">SUM(B9:D9)</f>
        <v>19</v>
      </c>
      <c r="F9" s="32" t="n">
        <f aca="false">IFERROR(ROUND(AVERAGEIFS('Master Database'!$AE$2:$AE$396,'Master Database'!$I$2:$I$396,$A9,'Master Database'!$B$2:$B$396,"LinkedIn",'Master Database'!$AH$2:$AH$396,"&gt;="&amp;$B$2),1),"-")</f>
        <v>36.6</v>
      </c>
      <c r="G9" s="32" t="n">
        <f aca="false">IFERROR(ROUND(AVERAGEIFS('Master Database'!$AE$2:$AE$396,'Master Database'!$I$2:$I$396,$A9,'Master Database'!$B$2:$B$396,"X",'Master Database'!$AH$2:$AH$396,"&gt;="&amp;$B$2),1),"-")</f>
        <v>30</v>
      </c>
      <c r="H9" s="32" t="n">
        <f aca="false">IFERROR(ROUND(AVERAGEIFS('Master Database'!$AE$2:$AE$396,'Master Database'!$I$2:$I$396,$A9,'Master Database'!$B$2:$B$396,"Instagram",'Master Database'!$AH$2:$AH$396,"&gt;="&amp;$B$2),1),"-")</f>
        <v>38.7</v>
      </c>
      <c r="I9" s="31" t="n">
        <f aca="false">COUNTIFS('Master Database'!$I$2:$I$396,$A9,'Master Database'!$E$2:$E$396,"Hidden Gem",'Master Database'!$AH$2:$AH$396,"&gt;="&amp;$B$2)</f>
        <v>14</v>
      </c>
      <c r="J9" s="31" t="n">
        <f aca="false">COUNTIFS('Master Database'!$I$2:$I$396,$A9,'Master Database'!$E$2:$E$396,"Breakout",'Master Database'!$AH$2:$AH$396,"&gt;="&amp;$B$2)</f>
        <v>2</v>
      </c>
      <c r="K9" s="33" t="n">
        <f aca="false">IFERROR(E9/$E$14,0)</f>
        <v>0.0625</v>
      </c>
    </row>
    <row r="10" customFormat="false" ht="15" hidden="false" customHeight="false" outlineLevel="0" collapsed="false">
      <c r="A10" s="7" t="s">
        <v>322</v>
      </c>
      <c r="B10" s="31" t="n">
        <f aca="false">COUNTIFS('Master Database'!$I$2:$I$396,$A10,'Master Database'!$B$2:$B$396,"LinkedIn",'Master Database'!$AH$2:$AH$396,"&gt;="&amp;$B$2)</f>
        <v>15</v>
      </c>
      <c r="C10" s="31" t="n">
        <f aca="false">COUNTIFS('Master Database'!$I$2:$I$396,$A10,'Master Database'!$B$2:$B$396,"X",'Master Database'!$AH$2:$AH$396,"&gt;="&amp;$B$2)</f>
        <v>28</v>
      </c>
      <c r="D10" s="31" t="n">
        <f aca="false">COUNTIFS('Master Database'!$I$2:$I$396,$A10,'Master Database'!$B$2:$B$396,"Instagram",'Master Database'!$AH$2:$AH$396,"&gt;="&amp;$B$2)</f>
        <v>20</v>
      </c>
      <c r="E10" s="31" t="n">
        <f aca="false">SUM(B10:D10)</f>
        <v>63</v>
      </c>
      <c r="F10" s="32" t="n">
        <f aca="false">IFERROR(ROUND(AVERAGEIFS('Master Database'!$AE$2:$AE$396,'Master Database'!$I$2:$I$396,$A10,'Master Database'!$B$2:$B$396,"LinkedIn",'Master Database'!$AH$2:$AH$396,"&gt;="&amp;$B$2),1),"-")</f>
        <v>24.4</v>
      </c>
      <c r="G10" s="32" t="n">
        <f aca="false">IFERROR(ROUND(AVERAGEIFS('Master Database'!$AE$2:$AE$396,'Master Database'!$I$2:$I$396,$A10,'Master Database'!$B$2:$B$396,"X",'Master Database'!$AH$2:$AH$396,"&gt;="&amp;$B$2),1),"-")</f>
        <v>39.5</v>
      </c>
      <c r="H10" s="32" t="n">
        <f aca="false">IFERROR(ROUND(AVERAGEIFS('Master Database'!$AE$2:$AE$396,'Master Database'!$I$2:$I$396,$A10,'Master Database'!$B$2:$B$396,"Instagram",'Master Database'!$AH$2:$AH$396,"&gt;="&amp;$B$2),1),"-")</f>
        <v>39.4</v>
      </c>
      <c r="I10" s="31" t="n">
        <f aca="false">COUNTIFS('Master Database'!$I$2:$I$396,$A10,'Master Database'!$E$2:$E$396,"Hidden Gem",'Master Database'!$AH$2:$AH$396,"&gt;="&amp;$B$2)</f>
        <v>31</v>
      </c>
      <c r="J10" s="31" t="n">
        <f aca="false">COUNTIFS('Master Database'!$I$2:$I$396,$A10,'Master Database'!$E$2:$E$396,"Breakout",'Master Database'!$AH$2:$AH$396,"&gt;="&amp;$B$2)</f>
        <v>17</v>
      </c>
      <c r="K10" s="33" t="n">
        <f aca="false">IFERROR(E10/$E$14,0)</f>
        <v>0.207236842105263</v>
      </c>
    </row>
    <row r="11" customFormat="false" ht="15" hidden="false" customHeight="false" outlineLevel="0" collapsed="false">
      <c r="A11" s="7" t="s">
        <v>264</v>
      </c>
      <c r="B11" s="31" t="n">
        <f aca="false">COUNTIFS('Master Database'!$I$2:$I$396,$A11,'Master Database'!$B$2:$B$396,"LinkedIn",'Master Database'!$AH$2:$AH$396,"&gt;="&amp;$B$2)</f>
        <v>9</v>
      </c>
      <c r="C11" s="31" t="n">
        <f aca="false">COUNTIFS('Master Database'!$I$2:$I$396,$A11,'Master Database'!$B$2:$B$396,"X",'Master Database'!$AH$2:$AH$396,"&gt;="&amp;$B$2)</f>
        <v>2</v>
      </c>
      <c r="D11" s="31" t="n">
        <f aca="false">COUNTIFS('Master Database'!$I$2:$I$396,$A11,'Master Database'!$B$2:$B$396,"Instagram",'Master Database'!$AH$2:$AH$396,"&gt;="&amp;$B$2)</f>
        <v>5</v>
      </c>
      <c r="E11" s="31" t="n">
        <f aca="false">SUM(B11:D11)</f>
        <v>16</v>
      </c>
      <c r="F11" s="32" t="n">
        <f aca="false">IFERROR(ROUND(AVERAGEIFS('Master Database'!$AE$2:$AE$396,'Master Database'!$I$2:$I$396,$A11,'Master Database'!$B$2:$B$396,"LinkedIn",'Master Database'!$AH$2:$AH$396,"&gt;="&amp;$B$2),1),"-")</f>
        <v>6.6</v>
      </c>
      <c r="G11" s="32" t="n">
        <f aca="false">IFERROR(ROUND(AVERAGEIFS('Master Database'!$AE$2:$AE$396,'Master Database'!$I$2:$I$396,$A11,'Master Database'!$B$2:$B$396,"X",'Master Database'!$AH$2:$AH$396,"&gt;="&amp;$B$2),1),"-")</f>
        <v>9.7</v>
      </c>
      <c r="H11" s="32" t="n">
        <f aca="false">IFERROR(ROUND(AVERAGEIFS('Master Database'!$AE$2:$AE$396,'Master Database'!$I$2:$I$396,$A11,'Master Database'!$B$2:$B$396,"Instagram",'Master Database'!$AH$2:$AH$396,"&gt;="&amp;$B$2),1),"-")</f>
        <v>39</v>
      </c>
      <c r="I11" s="31" t="n">
        <f aca="false">COUNTIFS('Master Database'!$I$2:$I$396,$A11,'Master Database'!$E$2:$E$396,"Hidden Gem",'Master Database'!$AH$2:$AH$396,"&gt;="&amp;$B$2)</f>
        <v>5</v>
      </c>
      <c r="J11" s="31" t="n">
        <f aca="false">COUNTIFS('Master Database'!$I$2:$I$396,$A11,'Master Database'!$E$2:$E$396,"Breakout",'Master Database'!$AH$2:$AH$396,"&gt;="&amp;$B$2)</f>
        <v>2</v>
      </c>
      <c r="K11" s="33" t="n">
        <f aca="false">IFERROR(E11/$E$14,0)</f>
        <v>0.0526315789473684</v>
      </c>
    </row>
    <row r="12" customFormat="false" ht="15" hidden="false" customHeight="false" outlineLevel="0" collapsed="false">
      <c r="A12" s="7" t="s">
        <v>364</v>
      </c>
      <c r="B12" s="31" t="n">
        <f aca="false">COUNTIFS('Master Database'!$I$2:$I$396,$A12,'Master Database'!$B$2:$B$396,"LinkedIn",'Master Database'!$AH$2:$AH$396,"&gt;="&amp;$B$2)</f>
        <v>1</v>
      </c>
      <c r="C12" s="31" t="n">
        <f aca="false">COUNTIFS('Master Database'!$I$2:$I$396,$A12,'Master Database'!$B$2:$B$396,"X",'Master Database'!$AH$2:$AH$396,"&gt;="&amp;$B$2)</f>
        <v>4</v>
      </c>
      <c r="D12" s="31" t="n">
        <f aca="false">COUNTIFS('Master Database'!$I$2:$I$396,$A12,'Master Database'!$B$2:$B$396,"Instagram",'Master Database'!$AH$2:$AH$396,"&gt;="&amp;$B$2)</f>
        <v>6</v>
      </c>
      <c r="E12" s="31" t="n">
        <f aca="false">SUM(B12:D12)</f>
        <v>11</v>
      </c>
      <c r="F12" s="32" t="n">
        <f aca="false">IFERROR(ROUND(AVERAGEIFS('Master Database'!$AE$2:$AE$396,'Master Database'!$I$2:$I$396,$A12,'Master Database'!$B$2:$B$396,"LinkedIn",'Master Database'!$AH$2:$AH$396,"&gt;="&amp;$B$2),1),"-")</f>
        <v>18.6</v>
      </c>
      <c r="G12" s="32" t="n">
        <f aca="false">IFERROR(ROUND(AVERAGEIFS('Master Database'!$AE$2:$AE$396,'Master Database'!$I$2:$I$396,$A12,'Master Database'!$B$2:$B$396,"X",'Master Database'!$AH$2:$AH$396,"&gt;="&amp;$B$2),1),"-")</f>
        <v>74.8</v>
      </c>
      <c r="H12" s="32" t="n">
        <f aca="false">IFERROR(ROUND(AVERAGEIFS('Master Database'!$AE$2:$AE$396,'Master Database'!$I$2:$I$396,$A12,'Master Database'!$B$2:$B$396,"Instagram",'Master Database'!$AH$2:$AH$396,"&gt;="&amp;$B$2),1),"-")</f>
        <v>32.3</v>
      </c>
      <c r="I12" s="31" t="n">
        <f aca="false">COUNTIFS('Master Database'!$I$2:$I$396,$A12,'Master Database'!$E$2:$E$396,"Hidden Gem",'Master Database'!$AH$2:$AH$396,"&gt;="&amp;$B$2)</f>
        <v>7</v>
      </c>
      <c r="J12" s="31" t="n">
        <f aca="false">COUNTIFS('Master Database'!$I$2:$I$396,$A12,'Master Database'!$E$2:$E$396,"Breakout",'Master Database'!$AH$2:$AH$396,"&gt;="&amp;$B$2)</f>
        <v>2</v>
      </c>
      <c r="K12" s="33" t="n">
        <f aca="false">IFERROR(E12/$E$14,0)</f>
        <v>0.0361842105263158</v>
      </c>
    </row>
    <row r="13" customFormat="false" ht="15" hidden="false" customHeight="false" outlineLevel="0" collapsed="false">
      <c r="A13" s="7" t="s">
        <v>225</v>
      </c>
      <c r="B13" s="31" t="n">
        <f aca="false">COUNTIFS('Master Database'!$I$2:$I$396,$A13,'Master Database'!$B$2:$B$396,"LinkedIn",'Master Database'!$AH$2:$AH$396,"&gt;="&amp;$B$2)</f>
        <v>44</v>
      </c>
      <c r="C13" s="31" t="n">
        <f aca="false">COUNTIFS('Master Database'!$I$2:$I$396,$A13,'Master Database'!$B$2:$B$396,"X",'Master Database'!$AH$2:$AH$396,"&gt;="&amp;$B$2)</f>
        <v>30</v>
      </c>
      <c r="D13" s="31" t="n">
        <f aca="false">COUNTIFS('Master Database'!$I$2:$I$396,$A13,'Master Database'!$B$2:$B$396,"Instagram",'Master Database'!$AH$2:$AH$396,"&gt;="&amp;$B$2)</f>
        <v>21</v>
      </c>
      <c r="E13" s="31" t="n">
        <f aca="false">SUM(B13:D13)</f>
        <v>95</v>
      </c>
      <c r="F13" s="32" t="n">
        <f aca="false">IFERROR(ROUND(AVERAGEIFS('Master Database'!$AE$2:$AE$396,'Master Database'!$I$2:$I$396,$A13,'Master Database'!$B$2:$B$396,"LinkedIn",'Master Database'!$AH$2:$AH$396,"&gt;="&amp;$B$2),1),"-")</f>
        <v>24.2</v>
      </c>
      <c r="G13" s="32" t="n">
        <f aca="false">IFERROR(ROUND(AVERAGEIFS('Master Database'!$AE$2:$AE$396,'Master Database'!$I$2:$I$396,$A13,'Master Database'!$B$2:$B$396,"X",'Master Database'!$AH$2:$AH$396,"&gt;="&amp;$B$2),1),"-")</f>
        <v>44</v>
      </c>
      <c r="H13" s="32" t="n">
        <f aca="false">IFERROR(ROUND(AVERAGEIFS('Master Database'!$AE$2:$AE$396,'Master Database'!$I$2:$I$396,$A13,'Master Database'!$B$2:$B$396,"Instagram",'Master Database'!$AH$2:$AH$396,"&gt;="&amp;$B$2),1),"-")</f>
        <v>51.4</v>
      </c>
      <c r="I13" s="31" t="n">
        <f aca="false">COUNTIFS('Master Database'!$I$2:$I$396,$A13,'Master Database'!$E$2:$E$396,"Hidden Gem",'Master Database'!$AH$2:$AH$396,"&gt;="&amp;$B$2)</f>
        <v>38</v>
      </c>
      <c r="J13" s="31" t="n">
        <f aca="false">COUNTIFS('Master Database'!$I$2:$I$396,$A13,'Master Database'!$E$2:$E$396,"Breakout",'Master Database'!$AH$2:$AH$396,"&gt;="&amp;$B$2)</f>
        <v>37</v>
      </c>
      <c r="K13" s="33" t="n">
        <f aca="false">IFERROR(E13/$E$14,0)</f>
        <v>0.3125</v>
      </c>
    </row>
    <row r="14" customFormat="false" ht="15" hidden="false" customHeight="false" outlineLevel="0" collapsed="false">
      <c r="A14" s="7" t="s">
        <v>4727</v>
      </c>
      <c r="B14" s="7" t="n">
        <f aca="false">SUM(B5:B13)</f>
        <v>102</v>
      </c>
      <c r="C14" s="7" t="n">
        <f aca="false">SUM(C5:C13)</f>
        <v>108</v>
      </c>
      <c r="D14" s="7" t="n">
        <f aca="false">SUM(D5:D13)</f>
        <v>94</v>
      </c>
      <c r="E14" s="7" t="n">
        <f aca="false">SUM(E5:E13)</f>
        <v>304</v>
      </c>
      <c r="I14" s="7" t="n">
        <f aca="false">SUM(I5:I13)</f>
        <v>142</v>
      </c>
      <c r="J14" s="7" t="n">
        <f aca="false">SUM(J5:J13)</f>
        <v>92</v>
      </c>
    </row>
    <row r="17" customFormat="false" ht="15" hidden="false" customHeight="false" outlineLevel="0" collapsed="false">
      <c r="A17" s="25" t="s">
        <v>4728</v>
      </c>
    </row>
    <row r="18" customFormat="false" ht="31.5" hidden="false" customHeight="true" outlineLevel="0" collapsed="false">
      <c r="A18" s="13" t="s">
        <v>194</v>
      </c>
      <c r="B18" s="13" t="s">
        <v>374</v>
      </c>
      <c r="C18" s="13" t="s">
        <v>220</v>
      </c>
      <c r="D18" s="13" t="s">
        <v>247</v>
      </c>
      <c r="E18" s="13" t="s">
        <v>4729</v>
      </c>
    </row>
    <row r="19" customFormat="false" ht="15" hidden="false" customHeight="false" outlineLevel="0" collapsed="false">
      <c r="A19" s="7" t="s">
        <v>255</v>
      </c>
      <c r="B19" s="32" t="n">
        <f aca="false">IFERROR(ROUND(AVERAGEIFS('Master Database'!$AE$2:$AE$396,'Master Database'!$S$2:$S$396,$A19,'Master Database'!$B$2:$B$396,"LinkedIn",'Master Database'!$AH$2:$AH$396,"&gt;="&amp;$B$2),1),"-")</f>
        <v>15.1</v>
      </c>
      <c r="C19" s="32" t="n">
        <f aca="false">IFERROR(ROUND(AVERAGEIFS('Master Database'!$AE$2:$AE$396,'Master Database'!$S$2:$S$396,$A19,'Master Database'!$B$2:$B$396,"X",'Master Database'!$AH$2:$AH$396,"&gt;="&amp;$B$2),1),"-")</f>
        <v>46.1</v>
      </c>
      <c r="D19" s="32" t="n">
        <f aca="false">IFERROR(ROUND(AVERAGEIFS('Master Database'!$AE$2:$AE$396,'Master Database'!$S$2:$S$396,$A19,'Master Database'!$B$2:$B$396,"Instagram",'Master Database'!$AH$2:$AH$396,"&gt;="&amp;$B$2),1),"-")</f>
        <v>40.8</v>
      </c>
      <c r="E19" s="31" t="n">
        <f aca="false">COUNTIFS('Master Database'!$S$2:$S$396,$A19,'Master Database'!$AH$2:$AH$396,"&gt;="&amp;$B$2)</f>
        <v>85</v>
      </c>
    </row>
    <row r="20" customFormat="false" ht="15" hidden="false" customHeight="false" outlineLevel="0" collapsed="false">
      <c r="A20" s="7" t="s">
        <v>234</v>
      </c>
      <c r="B20" s="32" t="n">
        <f aca="false">IFERROR(ROUND(AVERAGEIFS('Master Database'!$AE$2:$AE$396,'Master Database'!$S$2:$S$396,$A20,'Master Database'!$B$2:$B$396,"LinkedIn",'Master Database'!$AH$2:$AH$396,"&gt;="&amp;$B$2),1),"-")</f>
        <v>28.3</v>
      </c>
      <c r="C20" s="32" t="n">
        <f aca="false">IFERROR(ROUND(AVERAGEIFS('Master Database'!$AE$2:$AE$396,'Master Database'!$S$2:$S$396,$A20,'Master Database'!$B$2:$B$396,"X",'Master Database'!$AH$2:$AH$396,"&gt;="&amp;$B$2),1),"-")</f>
        <v>43.3</v>
      </c>
      <c r="D20" s="32" t="n">
        <f aca="false">IFERROR(ROUND(AVERAGEIFS('Master Database'!$AE$2:$AE$396,'Master Database'!$S$2:$S$396,$A20,'Master Database'!$B$2:$B$396,"Instagram",'Master Database'!$AH$2:$AH$396,"&gt;="&amp;$B$2),1),"-")</f>
        <v>26.8</v>
      </c>
      <c r="E20" s="31" t="n">
        <f aca="false">COUNTIFS('Master Database'!$S$2:$S$396,$A20,'Master Database'!$AH$2:$AH$396,"&gt;="&amp;$B$2)</f>
        <v>61</v>
      </c>
    </row>
    <row r="21" customFormat="false" ht="15" hidden="false" customHeight="false" outlineLevel="0" collapsed="false">
      <c r="A21" s="7" t="s">
        <v>330</v>
      </c>
      <c r="B21" s="32" t="n">
        <f aca="false">IFERROR(ROUND(AVERAGEIFS('Master Database'!$AE$2:$AE$396,'Master Database'!$S$2:$S$396,$A21,'Master Database'!$B$2:$B$396,"LinkedIn",'Master Database'!$AH$2:$AH$396,"&gt;="&amp;$B$2),1),"-")</f>
        <v>20.5</v>
      </c>
      <c r="C21" s="32" t="n">
        <f aca="false">IFERROR(ROUND(AVERAGEIFS('Master Database'!$AE$2:$AE$396,'Master Database'!$S$2:$S$396,$A21,'Master Database'!$B$2:$B$396,"X",'Master Database'!$AH$2:$AH$396,"&gt;="&amp;$B$2),1),"-")</f>
        <v>46.4</v>
      </c>
      <c r="D21" s="32" t="n">
        <f aca="false">IFERROR(ROUND(AVERAGEIFS('Master Database'!$AE$2:$AE$396,'Master Database'!$S$2:$S$396,$A21,'Master Database'!$B$2:$B$396,"Instagram",'Master Database'!$AH$2:$AH$396,"&gt;="&amp;$B$2),1),"-")</f>
        <v>49.4</v>
      </c>
      <c r="E21" s="31" t="n">
        <f aca="false">COUNTIFS('Master Database'!$S$2:$S$396,$A21,'Master Database'!$AH$2:$AH$396,"&gt;="&amp;$B$2)</f>
        <v>56</v>
      </c>
    </row>
    <row r="22" customFormat="false" ht="15" hidden="false" customHeight="false" outlineLevel="0" collapsed="false">
      <c r="A22" s="7" t="s">
        <v>685</v>
      </c>
      <c r="B22" s="32" t="n">
        <f aca="false">IFERROR(ROUND(AVERAGEIFS('Master Database'!$AE$2:$AE$396,'Master Database'!$S$2:$S$396,$A22,'Master Database'!$B$2:$B$396,"LinkedIn",'Master Database'!$AH$2:$AH$396,"&gt;="&amp;$B$2),1),"-")</f>
        <v>32.1</v>
      </c>
      <c r="C22" s="32" t="n">
        <f aca="false">IFERROR(ROUND(AVERAGEIFS('Master Database'!$AE$2:$AE$396,'Master Database'!$S$2:$S$396,$A22,'Master Database'!$B$2:$B$396,"X",'Master Database'!$AH$2:$AH$396,"&gt;="&amp;$B$2),1),"-")</f>
        <v>34.3</v>
      </c>
      <c r="D22" s="32" t="n">
        <f aca="false">IFERROR(ROUND(AVERAGEIFS('Master Database'!$AE$2:$AE$396,'Master Database'!$S$2:$S$396,$A22,'Master Database'!$B$2:$B$396,"Instagram",'Master Database'!$AH$2:$AH$396,"&gt;="&amp;$B$2),1),"-")</f>
        <v>28.6</v>
      </c>
      <c r="E22" s="31" t="n">
        <f aca="false">COUNTIFS('Master Database'!$S$2:$S$396,$A22,'Master Database'!$AH$2:$AH$396,"&gt;="&amp;$B$2)</f>
        <v>26</v>
      </c>
    </row>
    <row r="23" customFormat="false" ht="15" hidden="false" customHeight="false" outlineLevel="0" collapsed="false">
      <c r="A23" s="7" t="s">
        <v>513</v>
      </c>
      <c r="B23" s="32" t="n">
        <f aca="false">IFERROR(ROUND(AVERAGEIFS('Master Database'!$AE$2:$AE$396,'Master Database'!$S$2:$S$396,$A23,'Master Database'!$B$2:$B$396,"LinkedIn",'Master Database'!$AH$2:$AH$396,"&gt;="&amp;$B$2),1),"-")</f>
        <v>24.5</v>
      </c>
      <c r="C23" s="32" t="n">
        <f aca="false">IFERROR(ROUND(AVERAGEIFS('Master Database'!$AE$2:$AE$396,'Master Database'!$S$2:$S$396,$A23,'Master Database'!$B$2:$B$396,"X",'Master Database'!$AH$2:$AH$396,"&gt;="&amp;$B$2),1),"-")</f>
        <v>50.6</v>
      </c>
      <c r="D23" s="32" t="n">
        <f aca="false">IFERROR(ROUND(AVERAGEIFS('Master Database'!$AE$2:$AE$396,'Master Database'!$S$2:$S$396,$A23,'Master Database'!$B$2:$B$396,"Instagram",'Master Database'!$AH$2:$AH$396,"&gt;="&amp;$B$2),1),"-")</f>
        <v>39</v>
      </c>
      <c r="E23" s="31" t="n">
        <f aca="false">COUNTIFS('Master Database'!$S$2:$S$396,$A23,'Master Database'!$AH$2:$AH$396,"&gt;="&amp;$B$2)</f>
        <v>21</v>
      </c>
    </row>
    <row r="24" customFormat="false" ht="15" hidden="false" customHeight="false" outlineLevel="0" collapsed="false">
      <c r="A24" s="7" t="s">
        <v>272</v>
      </c>
      <c r="B24" s="32" t="str">
        <f aca="false">IFERROR(ROUND(AVERAGEIFS('Master Database'!$AE$2:$AE$396,'Master Database'!$S$2:$S$396,$A24,'Master Database'!$B$2:$B$396,"LinkedIn",'Master Database'!$AH$2:$AH$396,"&gt;="&amp;$B$2),1),"-")</f>
        <v>-</v>
      </c>
      <c r="C24" s="32" t="str">
        <f aca="false">IFERROR(ROUND(AVERAGEIFS('Master Database'!$AE$2:$AE$396,'Master Database'!$S$2:$S$396,$A24,'Master Database'!$B$2:$B$396,"X",'Master Database'!$AH$2:$AH$396,"&gt;="&amp;$B$2),1),"-")</f>
        <v>-</v>
      </c>
      <c r="D24" s="32" t="n">
        <f aca="false">IFERROR(ROUND(AVERAGEIFS('Master Database'!$AE$2:$AE$396,'Master Database'!$S$2:$S$396,$A24,'Master Database'!$B$2:$B$396,"Instagram",'Master Database'!$AH$2:$AH$396,"&gt;="&amp;$B$2),1),"-")</f>
        <v>35</v>
      </c>
      <c r="E24" s="31" t="n">
        <f aca="false">COUNTIFS('Master Database'!$S$2:$S$396,$A24,'Master Database'!$AH$2:$AH$396,"&gt;="&amp;$B$2)</f>
        <v>13</v>
      </c>
    </row>
    <row r="25" customFormat="false" ht="15" hidden="false" customHeight="false" outlineLevel="0" collapsed="false">
      <c r="A25" s="7" t="s">
        <v>884</v>
      </c>
      <c r="B25" s="32" t="n">
        <f aca="false">IFERROR(ROUND(AVERAGEIFS('Master Database'!$AE$2:$AE$396,'Master Database'!$S$2:$S$396,$A25,'Master Database'!$B$2:$B$396,"LinkedIn",'Master Database'!$AH$2:$AH$396,"&gt;="&amp;$B$2),1),"-")</f>
        <v>16.2</v>
      </c>
      <c r="C25" s="32" t="n">
        <f aca="false">IFERROR(ROUND(AVERAGEIFS('Master Database'!$AE$2:$AE$396,'Master Database'!$S$2:$S$396,$A25,'Master Database'!$B$2:$B$396,"X",'Master Database'!$AH$2:$AH$396,"&gt;="&amp;$B$2),1),"-")</f>
        <v>39.4</v>
      </c>
      <c r="D25" s="32" t="str">
        <f aca="false">IFERROR(ROUND(AVERAGEIFS('Master Database'!$AE$2:$AE$396,'Master Database'!$S$2:$S$396,$A25,'Master Database'!$B$2:$B$396,"Instagram",'Master Database'!$AH$2:$AH$396,"&gt;="&amp;$B$2),1),"-")</f>
        <v>-</v>
      </c>
      <c r="E25" s="31" t="n">
        <f aca="false">COUNTIFS('Master Database'!$S$2:$S$396,$A25,'Master Database'!$AH$2:$AH$396,"&gt;="&amp;$B$2)</f>
        <v>10</v>
      </c>
    </row>
    <row r="26" customFormat="false" ht="15" hidden="false" customHeight="false" outlineLevel="0" collapsed="false">
      <c r="A26" s="7" t="s">
        <v>741</v>
      </c>
      <c r="B26" s="32" t="n">
        <f aca="false">IFERROR(ROUND(AVERAGEIFS('Master Database'!$AE$2:$AE$396,'Master Database'!$S$2:$S$396,$A26,'Master Database'!$B$2:$B$396,"LinkedIn",'Master Database'!$AH$2:$AH$396,"&gt;="&amp;$B$2),1),"-")</f>
        <v>15.4</v>
      </c>
      <c r="C26" s="32" t="n">
        <f aca="false">IFERROR(ROUND(AVERAGEIFS('Master Database'!$AE$2:$AE$396,'Master Database'!$S$2:$S$396,$A26,'Master Database'!$B$2:$B$396,"X",'Master Database'!$AH$2:$AH$396,"&gt;="&amp;$B$2),1),"-")</f>
        <v>14.9</v>
      </c>
      <c r="D26" s="32" t="n">
        <f aca="false">IFERROR(ROUND(AVERAGEIFS('Master Database'!$AE$2:$AE$396,'Master Database'!$S$2:$S$396,$A26,'Master Database'!$B$2:$B$396,"Instagram",'Master Database'!$AH$2:$AH$396,"&gt;="&amp;$B$2),1),"-")</f>
        <v>87</v>
      </c>
      <c r="E26" s="31" t="n">
        <f aca="false">COUNTIFS('Master Database'!$S$2:$S$396,$A26,'Master Database'!$AH$2:$AH$396,"&gt;="&amp;$B$2)</f>
        <v>9</v>
      </c>
    </row>
    <row r="27" customFormat="false" ht="15" hidden="false" customHeight="false" outlineLevel="0" collapsed="false">
      <c r="A27" s="7" t="s">
        <v>1495</v>
      </c>
      <c r="B27" s="32" t="n">
        <f aca="false">IFERROR(ROUND(AVERAGEIFS('Master Database'!$AE$2:$AE$396,'Master Database'!$S$2:$S$396,$A27,'Master Database'!$B$2:$B$396,"LinkedIn",'Master Database'!$AH$2:$AH$396,"&gt;="&amp;$B$2),1),"-")</f>
        <v>19.1</v>
      </c>
      <c r="C27" s="32" t="n">
        <f aca="false">IFERROR(ROUND(AVERAGEIFS('Master Database'!$AE$2:$AE$396,'Master Database'!$S$2:$S$396,$A27,'Master Database'!$B$2:$B$396,"X",'Master Database'!$AH$2:$AH$396,"&gt;="&amp;$B$2),1),"-")</f>
        <v>38.3</v>
      </c>
      <c r="D27" s="32" t="n">
        <f aca="false">IFERROR(ROUND(AVERAGEIFS('Master Database'!$AE$2:$AE$396,'Master Database'!$S$2:$S$396,$A27,'Master Database'!$B$2:$B$396,"Instagram",'Master Database'!$AH$2:$AH$396,"&gt;="&amp;$B$2),1),"-")</f>
        <v>98.7</v>
      </c>
      <c r="E27" s="31" t="n">
        <f aca="false">COUNTIFS('Master Database'!$S$2:$S$396,$A27,'Master Database'!$AH$2:$AH$396,"&gt;="&amp;$B$2)</f>
        <v>7</v>
      </c>
    </row>
    <row r="28" customFormat="false" ht="15" hidden="false" customHeight="false" outlineLevel="0" collapsed="false">
      <c r="A28" s="7" t="s">
        <v>916</v>
      </c>
      <c r="B28" s="32" t="str">
        <f aca="false">IFERROR(ROUND(AVERAGEIFS('Master Database'!$AE$2:$AE$396,'Master Database'!$S$2:$S$396,$A28,'Master Database'!$B$2:$B$396,"LinkedIn",'Master Database'!$AH$2:$AH$396,"&gt;="&amp;$B$2),1),"-")</f>
        <v>-</v>
      </c>
      <c r="C28" s="32" t="str">
        <f aca="false">IFERROR(ROUND(AVERAGEIFS('Master Database'!$AE$2:$AE$396,'Master Database'!$S$2:$S$396,$A28,'Master Database'!$B$2:$B$396,"X",'Master Database'!$AH$2:$AH$396,"&gt;="&amp;$B$2),1),"-")</f>
        <v>-</v>
      </c>
      <c r="D28" s="32" t="n">
        <f aca="false">IFERROR(ROUND(AVERAGEIFS('Master Database'!$AE$2:$AE$396,'Master Database'!$S$2:$S$396,$A28,'Master Database'!$B$2:$B$396,"Instagram",'Master Database'!$AH$2:$AH$396,"&gt;="&amp;$B$2),1),"-")</f>
        <v>66.7</v>
      </c>
      <c r="E28" s="31" t="n">
        <f aca="false">COUNTIFS('Master Database'!$S$2:$S$396,$A28,'Master Database'!$AH$2:$AH$396,"&gt;="&amp;$B$2)</f>
        <v>5</v>
      </c>
    </row>
    <row r="29" customFormat="false" ht="15" hidden="false" customHeight="false" outlineLevel="0" collapsed="false">
      <c r="A29" s="7" t="s">
        <v>569</v>
      </c>
      <c r="B29" s="32" t="n">
        <f aca="false">IFERROR(ROUND(AVERAGEIFS('Master Database'!$AE$2:$AE$396,'Master Database'!$S$2:$S$396,$A29,'Master Database'!$B$2:$B$396,"LinkedIn",'Master Database'!$AH$2:$AH$396,"&gt;="&amp;$B$2),1),"-")</f>
        <v>5.9</v>
      </c>
      <c r="C29" s="32" t="n">
        <f aca="false">IFERROR(ROUND(AVERAGEIFS('Master Database'!$AE$2:$AE$396,'Master Database'!$S$2:$S$396,$A29,'Master Database'!$B$2:$B$396,"X",'Master Database'!$AH$2:$AH$396,"&gt;="&amp;$B$2),1),"-")</f>
        <v>4.5</v>
      </c>
      <c r="D29" s="32" t="n">
        <f aca="false">IFERROR(ROUND(AVERAGEIFS('Master Database'!$AE$2:$AE$396,'Master Database'!$S$2:$S$396,$A29,'Master Database'!$B$2:$B$396,"Instagram",'Master Database'!$AH$2:$AH$396,"&gt;="&amp;$B$2),1),"-")</f>
        <v>100</v>
      </c>
      <c r="E29" s="31" t="n">
        <f aca="false">COUNTIFS('Master Database'!$S$2:$S$396,$A29,'Master Database'!$AH$2:$AH$396,"&gt;="&amp;$B$2)</f>
        <v>5</v>
      </c>
    </row>
    <row r="30" customFormat="false" ht="15" hidden="false" customHeight="false" outlineLevel="0" collapsed="false">
      <c r="A30" s="7" t="s">
        <v>906</v>
      </c>
      <c r="B30" s="32" t="n">
        <f aca="false">IFERROR(ROUND(AVERAGEIFS('Master Database'!$AE$2:$AE$396,'Master Database'!$S$2:$S$396,$A30,'Master Database'!$B$2:$B$396,"LinkedIn",'Master Database'!$AH$2:$AH$396,"&gt;="&amp;$B$2),1),"-")</f>
        <v>5</v>
      </c>
      <c r="C30" s="32" t="str">
        <f aca="false">IFERROR(ROUND(AVERAGEIFS('Master Database'!$AE$2:$AE$396,'Master Database'!$S$2:$S$396,$A30,'Master Database'!$B$2:$B$396,"X",'Master Database'!$AH$2:$AH$396,"&gt;="&amp;$B$2),1),"-")</f>
        <v>-</v>
      </c>
      <c r="D30" s="32" t="n">
        <f aca="false">IFERROR(ROUND(AVERAGEIFS('Master Database'!$AE$2:$AE$396,'Master Database'!$S$2:$S$396,$A30,'Master Database'!$B$2:$B$396,"Instagram",'Master Database'!$AH$2:$AH$396,"&gt;="&amp;$B$2),1),"-")</f>
        <v>74.1</v>
      </c>
      <c r="E30" s="31" t="n">
        <f aca="false">COUNTIFS('Master Database'!$S$2:$S$396,$A30,'Master Database'!$AH$2:$AH$396,"&gt;="&amp;$B$2)</f>
        <v>4</v>
      </c>
    </row>
    <row r="31" customFormat="false" ht="15" hidden="false" customHeight="false" outlineLevel="0" collapsed="false">
      <c r="A31" s="7" t="s">
        <v>1635</v>
      </c>
      <c r="B31" s="32" t="str">
        <f aca="false">IFERROR(ROUND(AVERAGEIFS('Master Database'!$AE$2:$AE$396,'Master Database'!$S$2:$S$396,$A31,'Master Database'!$B$2:$B$396,"LinkedIn",'Master Database'!$AH$2:$AH$396,"&gt;="&amp;$B$2),1),"-")</f>
        <v>-</v>
      </c>
      <c r="C31" s="32" t="str">
        <f aca="false">IFERROR(ROUND(AVERAGEIFS('Master Database'!$AE$2:$AE$396,'Master Database'!$S$2:$S$396,$A31,'Master Database'!$B$2:$B$396,"X",'Master Database'!$AH$2:$AH$396,"&gt;="&amp;$B$2),1),"-")</f>
        <v>-</v>
      </c>
      <c r="D31" s="32" t="n">
        <f aca="false">IFERROR(ROUND(AVERAGEIFS('Master Database'!$AE$2:$AE$396,'Master Database'!$S$2:$S$396,$A31,'Master Database'!$B$2:$B$396,"Instagram",'Master Database'!$AH$2:$AH$396,"&gt;="&amp;$B$2),1),"-")</f>
        <v>7.3</v>
      </c>
      <c r="E31" s="31" t="n">
        <f aca="false">COUNTIFS('Master Database'!$S$2:$S$396,$A31,'Master Database'!$AH$2:$AH$396,"&gt;="&amp;$B$2)</f>
        <v>1</v>
      </c>
    </row>
    <row r="32" customFormat="false" ht="15" hidden="false" customHeight="false" outlineLevel="0" collapsed="false">
      <c r="A32" s="7" t="s">
        <v>3017</v>
      </c>
      <c r="B32" s="32" t="n">
        <f aca="false">IFERROR(ROUND(AVERAGEIFS('Master Database'!$AE$2:$AE$396,'Master Database'!$S$2:$S$396,$A32,'Master Database'!$B$2:$B$396,"LinkedIn",'Master Database'!$AH$2:$AH$396,"&gt;="&amp;$B$2),1),"-")</f>
        <v>11.9</v>
      </c>
      <c r="C32" s="32" t="str">
        <f aca="false">IFERROR(ROUND(AVERAGEIFS('Master Database'!$AE$2:$AE$396,'Master Database'!$S$2:$S$396,$A32,'Master Database'!$B$2:$B$396,"X",'Master Database'!$AH$2:$AH$396,"&gt;="&amp;$B$2),1),"-")</f>
        <v>-</v>
      </c>
      <c r="D32" s="32" t="str">
        <f aca="false">IFERROR(ROUND(AVERAGEIFS('Master Database'!$AE$2:$AE$396,'Master Database'!$S$2:$S$396,$A32,'Master Database'!$B$2:$B$396,"Instagram",'Master Database'!$AH$2:$AH$396,"&gt;="&amp;$B$2),1),"-")</f>
        <v>-</v>
      </c>
      <c r="E32" s="31" t="n">
        <f aca="false">COUNTIFS('Master Database'!$S$2:$S$396,$A32,'Master Database'!$AH$2:$AH$396,"&gt;="&amp;$B$2)</f>
        <v>1</v>
      </c>
    </row>
    <row r="34" customFormat="false" ht="15" hidden="false" customHeight="false" outlineLevel="0" collapsed="false">
      <c r="A34" s="29" t="s">
        <v>4730</v>
      </c>
    </row>
  </sheetData>
  <conditionalFormatting sqref="F5:H13">
    <cfRule type="colorScale" priority="2">
      <colorScale>
        <cfvo type="min" val="0"/>
        <cfvo type="max" val="0"/>
        <color rgb="FFFFFFFF"/>
        <color rgb="FF63BE7B"/>
      </colorScale>
    </cfRule>
  </conditionalFormatting>
  <conditionalFormatting sqref="B5:D13">
    <cfRule type="colorScale" priority="3">
      <colorScale>
        <cfvo type="min" val="0"/>
        <cfvo type="max" val="0"/>
        <color rgb="FFFFFFFF"/>
        <color rgb="FF9BC2E6"/>
      </colorScale>
    </cfRule>
  </conditionalFormatting>
  <conditionalFormatting sqref="B19:D32">
    <cfRule type="colorScale" priority="4">
      <colorScale>
        <cfvo type="min" val="0"/>
        <cfvo type="max" val="0"/>
        <color rgb="FFFFFFFF"/>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10"/>
    <col collapsed="false" customWidth="true" hidden="false" outlineLevel="0" max="4" min="4" style="0" width="22"/>
    <col collapsed="false" customWidth="true" hidden="false" outlineLevel="0" max="5" min="5" style="0" width="60"/>
    <col collapsed="false" customWidth="true" hidden="false" outlineLevel="0" max="6" min="6" style="0" width="22"/>
    <col collapsed="false" customWidth="true" hidden="false" outlineLevel="0" max="7" min="7" style="0" width="16"/>
    <col collapsed="false" customWidth="true" hidden="false" outlineLevel="0" max="8" min="8" style="0" width="18"/>
    <col collapsed="false" customWidth="true" hidden="false" outlineLevel="0" max="9" min="9" style="0" width="32"/>
    <col collapsed="false" customWidth="true" hidden="false" outlineLevel="0" max="10" min="10" style="0" width="20"/>
    <col collapsed="false" customWidth="true" hidden="false" outlineLevel="0" max="11" min="11" style="0" width="13"/>
    <col collapsed="false" customWidth="true" hidden="false" outlineLevel="0" max="13" min="12" style="0" width="12"/>
    <col collapsed="false" customWidth="true" hidden="false" outlineLevel="0" max="14" min="14" style="0" width="26"/>
    <col collapsed="false" customWidth="true" hidden="false" outlineLevel="0" max="15" min="15" style="0" width="12"/>
  </cols>
  <sheetData>
    <row r="1" customFormat="false" ht="15" hidden="false" customHeight="false" outlineLevel="0" collapsed="false">
      <c r="A1" s="25" t="s">
        <v>4731</v>
      </c>
    </row>
    <row r="2" customFormat="false" ht="15" hidden="false" customHeight="false" outlineLevel="0" collapsed="false">
      <c r="A2" s="7" t="s">
        <v>4732</v>
      </c>
      <c r="C2" s="34" t="n">
        <v>46314</v>
      </c>
    </row>
    <row r="4" customFormat="false" ht="31.5" hidden="false" customHeight="true" outlineLevel="0" collapsed="false">
      <c r="A4" s="13" t="s">
        <v>4733</v>
      </c>
      <c r="B4" s="13" t="s">
        <v>4734</v>
      </c>
      <c r="C4" s="13" t="s">
        <v>179</v>
      </c>
      <c r="D4" s="13" t="s">
        <v>4735</v>
      </c>
      <c r="E4" s="13" t="s">
        <v>4736</v>
      </c>
      <c r="F4" s="13" t="s">
        <v>194</v>
      </c>
      <c r="G4" s="13" t="s">
        <v>197</v>
      </c>
      <c r="H4" s="13" t="s">
        <v>4737</v>
      </c>
      <c r="I4" s="13" t="s">
        <v>4738</v>
      </c>
      <c r="J4" s="13" t="s">
        <v>3422</v>
      </c>
      <c r="K4" s="13" t="s">
        <v>196</v>
      </c>
      <c r="L4" s="13" t="s">
        <v>3399</v>
      </c>
      <c r="M4" s="13" t="s">
        <v>218</v>
      </c>
      <c r="N4" s="13" t="s">
        <v>4739</v>
      </c>
      <c r="O4" s="13" t="s">
        <v>4740</v>
      </c>
    </row>
    <row r="5" customFormat="false" ht="31.5" hidden="false" customHeight="true" outlineLevel="0" collapsed="false">
      <c r="A5" s="14" t="n">
        <v>1</v>
      </c>
      <c r="B5" s="35" t="n">
        <f aca="false">$C$2+0</f>
        <v>46314</v>
      </c>
      <c r="C5" s="19" t="s">
        <v>374</v>
      </c>
      <c r="D5" s="14" t="s">
        <v>4741</v>
      </c>
      <c r="E5" s="6" t="s">
        <v>4742</v>
      </c>
      <c r="F5" s="14" t="s">
        <v>513</v>
      </c>
      <c r="G5" s="14" t="s">
        <v>4743</v>
      </c>
      <c r="H5" s="14" t="s">
        <v>711</v>
      </c>
      <c r="I5" s="16" t="s">
        <v>713</v>
      </c>
      <c r="J5" s="14" t="s">
        <v>235</v>
      </c>
      <c r="K5" s="14" t="s">
        <v>4744</v>
      </c>
      <c r="L5" s="14" t="s">
        <v>3402</v>
      </c>
      <c r="M5" s="20" t="s">
        <v>4745</v>
      </c>
      <c r="N5" s="20"/>
      <c r="O5" s="20"/>
    </row>
    <row r="6" customFormat="false" ht="31.5" hidden="false" customHeight="true" outlineLevel="0" collapsed="false">
      <c r="A6" s="14" t="n">
        <v>1</v>
      </c>
      <c r="B6" s="35" t="n">
        <f aca="false">$C$2+0</f>
        <v>46314</v>
      </c>
      <c r="C6" s="19" t="s">
        <v>220</v>
      </c>
      <c r="D6" s="14" t="s">
        <v>4741</v>
      </c>
      <c r="E6" s="6" t="s">
        <v>4746</v>
      </c>
      <c r="F6" s="14" t="s">
        <v>513</v>
      </c>
      <c r="G6" s="14" t="s">
        <v>4747</v>
      </c>
      <c r="H6" s="14" t="s">
        <v>711</v>
      </c>
      <c r="I6" s="16" t="s">
        <v>713</v>
      </c>
      <c r="J6" s="14" t="s">
        <v>235</v>
      </c>
      <c r="K6" s="14" t="s">
        <v>4744</v>
      </c>
      <c r="L6" s="14" t="s">
        <v>3402</v>
      </c>
      <c r="M6" s="20" t="s">
        <v>4745</v>
      </c>
      <c r="N6" s="20"/>
      <c r="O6" s="20"/>
    </row>
    <row r="7" customFormat="false" ht="31.5" hidden="false" customHeight="true" outlineLevel="0" collapsed="false">
      <c r="A7" s="14" t="n">
        <v>2</v>
      </c>
      <c r="B7" s="35" t="n">
        <f aca="false">$C$2+1</f>
        <v>46315</v>
      </c>
      <c r="C7" s="19" t="s">
        <v>374</v>
      </c>
      <c r="D7" s="14" t="s">
        <v>4748</v>
      </c>
      <c r="E7" s="6" t="s">
        <v>4749</v>
      </c>
      <c r="F7" s="14" t="s">
        <v>234</v>
      </c>
      <c r="G7" s="14" t="s">
        <v>4750</v>
      </c>
      <c r="H7" s="14" t="s">
        <v>461</v>
      </c>
      <c r="I7" s="16" t="s">
        <v>463</v>
      </c>
      <c r="J7" s="14" t="s">
        <v>466</v>
      </c>
      <c r="K7" s="14" t="s">
        <v>4744</v>
      </c>
      <c r="L7" s="14" t="s">
        <v>3401</v>
      </c>
      <c r="M7" s="20" t="s">
        <v>4745</v>
      </c>
      <c r="N7" s="20"/>
      <c r="O7" s="20"/>
    </row>
    <row r="8" customFormat="false" ht="31.5" hidden="false" customHeight="true" outlineLevel="0" collapsed="false">
      <c r="A8" s="14" t="n">
        <v>2</v>
      </c>
      <c r="B8" s="35" t="n">
        <f aca="false">$C$2+1</f>
        <v>46315</v>
      </c>
      <c r="C8" s="19" t="s">
        <v>220</v>
      </c>
      <c r="D8" s="14" t="s">
        <v>4748</v>
      </c>
      <c r="E8" s="6" t="s">
        <v>4751</v>
      </c>
      <c r="F8" s="14" t="s">
        <v>234</v>
      </c>
      <c r="G8" s="14" t="s">
        <v>4747</v>
      </c>
      <c r="H8" s="14" t="s">
        <v>461</v>
      </c>
      <c r="I8" s="16" t="s">
        <v>463</v>
      </c>
      <c r="J8" s="14" t="s">
        <v>466</v>
      </c>
      <c r="K8" s="14" t="s">
        <v>4744</v>
      </c>
      <c r="L8" s="14" t="s">
        <v>3401</v>
      </c>
      <c r="M8" s="20" t="s">
        <v>4745</v>
      </c>
      <c r="N8" s="20"/>
      <c r="O8" s="20"/>
    </row>
    <row r="9" customFormat="false" ht="31.5" hidden="false" customHeight="true" outlineLevel="0" collapsed="false">
      <c r="A9" s="14" t="n">
        <v>2</v>
      </c>
      <c r="B9" s="35" t="n">
        <f aca="false">$C$2+1</f>
        <v>46315</v>
      </c>
      <c r="C9" s="19" t="s">
        <v>247</v>
      </c>
      <c r="D9" s="14" t="s">
        <v>4741</v>
      </c>
      <c r="E9" s="6" t="s">
        <v>4752</v>
      </c>
      <c r="F9" s="14" t="s">
        <v>513</v>
      </c>
      <c r="G9" s="14" t="s">
        <v>4753</v>
      </c>
      <c r="H9" s="14" t="s">
        <v>711</v>
      </c>
      <c r="I9" s="16" t="s">
        <v>713</v>
      </c>
      <c r="J9" s="14" t="s">
        <v>235</v>
      </c>
      <c r="K9" s="14" t="s">
        <v>4744</v>
      </c>
      <c r="L9" s="14" t="s">
        <v>3402</v>
      </c>
      <c r="M9" s="20" t="s">
        <v>4745</v>
      </c>
      <c r="N9" s="20"/>
      <c r="O9" s="20"/>
    </row>
    <row r="10" customFormat="false" ht="31.5" hidden="false" customHeight="true" outlineLevel="0" collapsed="false">
      <c r="A10" s="14" t="n">
        <v>3</v>
      </c>
      <c r="B10" s="35" t="n">
        <f aca="false">$C$2+2</f>
        <v>46316</v>
      </c>
      <c r="C10" s="19" t="s">
        <v>374</v>
      </c>
      <c r="D10" s="14" t="s">
        <v>4754</v>
      </c>
      <c r="E10" s="6" t="s">
        <v>4755</v>
      </c>
      <c r="F10" s="14" t="s">
        <v>685</v>
      </c>
      <c r="G10" s="14" t="s">
        <v>4756</v>
      </c>
      <c r="H10" s="14" t="s">
        <v>311</v>
      </c>
      <c r="I10" s="16" t="s">
        <v>313</v>
      </c>
      <c r="J10" s="14" t="s">
        <v>917</v>
      </c>
      <c r="K10" s="14" t="s">
        <v>4757</v>
      </c>
      <c r="L10" s="14" t="s">
        <v>3402</v>
      </c>
      <c r="M10" s="20" t="s">
        <v>4745</v>
      </c>
      <c r="N10" s="20"/>
      <c r="O10" s="20"/>
    </row>
    <row r="11" customFormat="false" ht="31.5" hidden="false" customHeight="true" outlineLevel="0" collapsed="false">
      <c r="A11" s="14" t="n">
        <v>3</v>
      </c>
      <c r="B11" s="35" t="n">
        <f aca="false">$C$2+2</f>
        <v>46316</v>
      </c>
      <c r="C11" s="19" t="s">
        <v>220</v>
      </c>
      <c r="D11" s="14" t="s">
        <v>4754</v>
      </c>
      <c r="E11" s="6" t="s">
        <v>4758</v>
      </c>
      <c r="F11" s="14" t="s">
        <v>685</v>
      </c>
      <c r="G11" s="14" t="s">
        <v>4747</v>
      </c>
      <c r="H11" s="14" t="s">
        <v>311</v>
      </c>
      <c r="I11" s="16" t="s">
        <v>313</v>
      </c>
      <c r="J11" s="14" t="s">
        <v>917</v>
      </c>
      <c r="K11" s="14" t="s">
        <v>4757</v>
      </c>
      <c r="L11" s="14" t="s">
        <v>3402</v>
      </c>
      <c r="M11" s="20" t="s">
        <v>4745</v>
      </c>
      <c r="N11" s="20"/>
      <c r="O11" s="20"/>
    </row>
    <row r="12" customFormat="false" ht="31.5" hidden="false" customHeight="true" outlineLevel="0" collapsed="false">
      <c r="A12" s="14" t="n">
        <v>3</v>
      </c>
      <c r="B12" s="35" t="n">
        <f aca="false">$C$2+2</f>
        <v>46316</v>
      </c>
      <c r="C12" s="19" t="s">
        <v>247</v>
      </c>
      <c r="D12" s="14" t="s">
        <v>4748</v>
      </c>
      <c r="E12" s="6" t="s">
        <v>4759</v>
      </c>
      <c r="F12" s="14" t="s">
        <v>234</v>
      </c>
      <c r="G12" s="14" t="s">
        <v>4753</v>
      </c>
      <c r="H12" s="14" t="s">
        <v>461</v>
      </c>
      <c r="I12" s="16" t="s">
        <v>463</v>
      </c>
      <c r="J12" s="14" t="s">
        <v>466</v>
      </c>
      <c r="K12" s="14" t="s">
        <v>4744</v>
      </c>
      <c r="L12" s="14" t="s">
        <v>3401</v>
      </c>
      <c r="M12" s="20" t="s">
        <v>4745</v>
      </c>
      <c r="N12" s="20"/>
      <c r="O12" s="20"/>
    </row>
    <row r="13" customFormat="false" ht="31.5" hidden="false" customHeight="true" outlineLevel="0" collapsed="false">
      <c r="A13" s="14" t="n">
        <v>4</v>
      </c>
      <c r="B13" s="35" t="n">
        <f aca="false">$C$2+3</f>
        <v>46317</v>
      </c>
      <c r="C13" s="19" t="s">
        <v>374</v>
      </c>
      <c r="D13" s="14" t="s">
        <v>4760</v>
      </c>
      <c r="E13" s="6" t="s">
        <v>4761</v>
      </c>
      <c r="F13" s="14" t="s">
        <v>741</v>
      </c>
      <c r="G13" s="14" t="s">
        <v>4743</v>
      </c>
      <c r="H13" s="14" t="s">
        <v>1123</v>
      </c>
      <c r="I13" s="16" t="s">
        <v>1125</v>
      </c>
      <c r="J13" s="14" t="s">
        <v>235</v>
      </c>
      <c r="K13" s="14" t="s">
        <v>4757</v>
      </c>
      <c r="L13" s="14" t="s">
        <v>3401</v>
      </c>
      <c r="M13" s="20" t="s">
        <v>4745</v>
      </c>
      <c r="N13" s="20"/>
      <c r="O13" s="20"/>
    </row>
    <row r="14" customFormat="false" ht="31.5" hidden="false" customHeight="true" outlineLevel="0" collapsed="false">
      <c r="A14" s="14" t="n">
        <v>4</v>
      </c>
      <c r="B14" s="35" t="n">
        <f aca="false">$C$2+3</f>
        <v>46317</v>
      </c>
      <c r="C14" s="19" t="s">
        <v>220</v>
      </c>
      <c r="D14" s="14" t="s">
        <v>4760</v>
      </c>
      <c r="E14" s="6" t="s">
        <v>4762</v>
      </c>
      <c r="F14" s="14" t="s">
        <v>741</v>
      </c>
      <c r="G14" s="14" t="s">
        <v>4747</v>
      </c>
      <c r="H14" s="14" t="s">
        <v>1123</v>
      </c>
      <c r="I14" s="16" t="s">
        <v>1125</v>
      </c>
      <c r="J14" s="14" t="s">
        <v>235</v>
      </c>
      <c r="K14" s="14" t="s">
        <v>4757</v>
      </c>
      <c r="L14" s="14" t="s">
        <v>3401</v>
      </c>
      <c r="M14" s="20" t="s">
        <v>4745</v>
      </c>
      <c r="N14" s="20"/>
      <c r="O14" s="20"/>
    </row>
    <row r="15" customFormat="false" ht="31.5" hidden="false" customHeight="true" outlineLevel="0" collapsed="false">
      <c r="A15" s="14" t="n">
        <v>5</v>
      </c>
      <c r="B15" s="35" t="n">
        <f aca="false">$C$2+4</f>
        <v>46318</v>
      </c>
      <c r="C15" s="19" t="s">
        <v>374</v>
      </c>
      <c r="D15" s="14" t="s">
        <v>4763</v>
      </c>
      <c r="E15" s="6" t="s">
        <v>4764</v>
      </c>
      <c r="F15" s="14" t="s">
        <v>272</v>
      </c>
      <c r="G15" s="14" t="s">
        <v>4765</v>
      </c>
      <c r="H15" s="14" t="s">
        <v>378</v>
      </c>
      <c r="I15" s="16" t="s">
        <v>519</v>
      </c>
      <c r="J15" s="14" t="s">
        <v>273</v>
      </c>
      <c r="K15" s="14" t="s">
        <v>4766</v>
      </c>
      <c r="L15" s="14" t="s">
        <v>3402</v>
      </c>
      <c r="M15" s="20" t="s">
        <v>4745</v>
      </c>
      <c r="N15" s="20"/>
      <c r="O15" s="20"/>
    </row>
    <row r="16" customFormat="false" ht="31.5" hidden="false" customHeight="true" outlineLevel="0" collapsed="false">
      <c r="A16" s="14" t="n">
        <v>5</v>
      </c>
      <c r="B16" s="35" t="n">
        <f aca="false">$C$2+4</f>
        <v>46318</v>
      </c>
      <c r="C16" s="19" t="s">
        <v>247</v>
      </c>
      <c r="D16" s="14" t="s">
        <v>4760</v>
      </c>
      <c r="E16" s="6" t="s">
        <v>4767</v>
      </c>
      <c r="F16" s="14" t="s">
        <v>741</v>
      </c>
      <c r="G16" s="14" t="s">
        <v>4753</v>
      </c>
      <c r="H16" s="14" t="s">
        <v>1123</v>
      </c>
      <c r="I16" s="16" t="s">
        <v>1125</v>
      </c>
      <c r="J16" s="14" t="s">
        <v>235</v>
      </c>
      <c r="K16" s="14" t="s">
        <v>4757</v>
      </c>
      <c r="L16" s="14" t="s">
        <v>3401</v>
      </c>
      <c r="M16" s="20" t="s">
        <v>4745</v>
      </c>
      <c r="N16" s="20"/>
      <c r="O16" s="20"/>
    </row>
    <row r="17" customFormat="false" ht="31.5" hidden="false" customHeight="true" outlineLevel="0" collapsed="false">
      <c r="A17" s="14" t="n">
        <v>6</v>
      </c>
      <c r="B17" s="35" t="n">
        <f aca="false">$C$2+5</f>
        <v>46319</v>
      </c>
      <c r="C17" s="19" t="s">
        <v>220</v>
      </c>
      <c r="D17" s="14" t="s">
        <v>4763</v>
      </c>
      <c r="E17" s="6" t="s">
        <v>4768</v>
      </c>
      <c r="F17" s="14" t="s">
        <v>272</v>
      </c>
      <c r="G17" s="14" t="s">
        <v>4747</v>
      </c>
      <c r="H17" s="14" t="s">
        <v>378</v>
      </c>
      <c r="I17" s="16" t="s">
        <v>519</v>
      </c>
      <c r="J17" s="14" t="s">
        <v>273</v>
      </c>
      <c r="K17" s="14" t="s">
        <v>4766</v>
      </c>
      <c r="L17" s="14" t="s">
        <v>3402</v>
      </c>
      <c r="M17" s="20" t="s">
        <v>4745</v>
      </c>
      <c r="N17" s="20"/>
      <c r="O17" s="20"/>
    </row>
    <row r="18" customFormat="false" ht="31.5" hidden="false" customHeight="true" outlineLevel="0" collapsed="false">
      <c r="A18" s="14" t="n">
        <v>8</v>
      </c>
      <c r="B18" s="35" t="n">
        <f aca="false">$C$2+7</f>
        <v>46321</v>
      </c>
      <c r="C18" s="19" t="s">
        <v>374</v>
      </c>
      <c r="D18" s="14" t="s">
        <v>4769</v>
      </c>
      <c r="E18" s="6" t="s">
        <v>4770</v>
      </c>
      <c r="F18" s="14" t="s">
        <v>513</v>
      </c>
      <c r="G18" s="14" t="s">
        <v>4743</v>
      </c>
      <c r="H18" s="14" t="s">
        <v>1093</v>
      </c>
      <c r="I18" s="16" t="s">
        <v>2823</v>
      </c>
      <c r="J18" s="14" t="s">
        <v>235</v>
      </c>
      <c r="K18" s="14" t="s">
        <v>4744</v>
      </c>
      <c r="L18" s="14" t="s">
        <v>3402</v>
      </c>
      <c r="M18" s="20" t="s">
        <v>4745</v>
      </c>
      <c r="N18" s="20"/>
      <c r="O18" s="20"/>
    </row>
    <row r="19" customFormat="false" ht="31.5" hidden="false" customHeight="true" outlineLevel="0" collapsed="false">
      <c r="A19" s="14" t="n">
        <v>8</v>
      </c>
      <c r="B19" s="35" t="n">
        <f aca="false">$C$2+7</f>
        <v>46321</v>
      </c>
      <c r="C19" s="19" t="s">
        <v>220</v>
      </c>
      <c r="D19" s="14" t="s">
        <v>4769</v>
      </c>
      <c r="E19" s="6" t="s">
        <v>4771</v>
      </c>
      <c r="F19" s="14" t="s">
        <v>513</v>
      </c>
      <c r="G19" s="14" t="s">
        <v>4747</v>
      </c>
      <c r="H19" s="14" t="s">
        <v>1093</v>
      </c>
      <c r="I19" s="16" t="s">
        <v>2823</v>
      </c>
      <c r="J19" s="14" t="s">
        <v>235</v>
      </c>
      <c r="K19" s="14" t="s">
        <v>4744</v>
      </c>
      <c r="L19" s="14" t="s">
        <v>3402</v>
      </c>
      <c r="M19" s="20" t="s">
        <v>4745</v>
      </c>
      <c r="N19" s="20"/>
      <c r="O19" s="20"/>
    </row>
    <row r="20" customFormat="false" ht="31.5" hidden="false" customHeight="true" outlineLevel="0" collapsed="false">
      <c r="A20" s="14" t="n">
        <v>9</v>
      </c>
      <c r="B20" s="35" t="n">
        <f aca="false">$C$2+8</f>
        <v>46322</v>
      </c>
      <c r="C20" s="19" t="s">
        <v>374</v>
      </c>
      <c r="D20" s="14" t="s">
        <v>4772</v>
      </c>
      <c r="E20" s="6" t="s">
        <v>4773</v>
      </c>
      <c r="F20" s="14" t="s">
        <v>234</v>
      </c>
      <c r="G20" s="14" t="s">
        <v>4743</v>
      </c>
      <c r="H20" s="14" t="s">
        <v>541</v>
      </c>
      <c r="I20" s="16" t="s">
        <v>543</v>
      </c>
      <c r="J20" s="14" t="s">
        <v>235</v>
      </c>
      <c r="K20" s="14" t="s">
        <v>4744</v>
      </c>
      <c r="L20" s="14" t="s">
        <v>3404</v>
      </c>
      <c r="M20" s="20" t="s">
        <v>4745</v>
      </c>
      <c r="N20" s="20"/>
      <c r="O20" s="20"/>
    </row>
    <row r="21" customFormat="false" ht="31.5" hidden="false" customHeight="true" outlineLevel="0" collapsed="false">
      <c r="A21" s="14" t="n">
        <v>9</v>
      </c>
      <c r="B21" s="35" t="n">
        <f aca="false">$C$2+8</f>
        <v>46322</v>
      </c>
      <c r="C21" s="19" t="s">
        <v>220</v>
      </c>
      <c r="D21" s="14" t="s">
        <v>4772</v>
      </c>
      <c r="E21" s="6" t="s">
        <v>4774</v>
      </c>
      <c r="F21" s="14" t="s">
        <v>234</v>
      </c>
      <c r="G21" s="14" t="s">
        <v>4747</v>
      </c>
      <c r="H21" s="14" t="s">
        <v>541</v>
      </c>
      <c r="I21" s="16" t="s">
        <v>543</v>
      </c>
      <c r="J21" s="14" t="s">
        <v>235</v>
      </c>
      <c r="K21" s="14" t="s">
        <v>4744</v>
      </c>
      <c r="L21" s="14" t="s">
        <v>3404</v>
      </c>
      <c r="M21" s="20" t="s">
        <v>4745</v>
      </c>
      <c r="N21" s="20"/>
      <c r="O21" s="20"/>
    </row>
    <row r="22" customFormat="false" ht="31.5" hidden="false" customHeight="true" outlineLevel="0" collapsed="false">
      <c r="A22" s="14" t="n">
        <v>10</v>
      </c>
      <c r="B22" s="35" t="n">
        <f aca="false">$C$2+9</f>
        <v>46323</v>
      </c>
      <c r="C22" s="19" t="s">
        <v>374</v>
      </c>
      <c r="D22" s="14" t="s">
        <v>4754</v>
      </c>
      <c r="E22" s="6" t="s">
        <v>4775</v>
      </c>
      <c r="F22" s="14" t="s">
        <v>685</v>
      </c>
      <c r="G22" s="14" t="s">
        <v>4756</v>
      </c>
      <c r="H22" s="14" t="s">
        <v>422</v>
      </c>
      <c r="I22" s="16" t="s">
        <v>424</v>
      </c>
      <c r="J22" s="14" t="s">
        <v>273</v>
      </c>
      <c r="K22" s="14" t="s">
        <v>4757</v>
      </c>
      <c r="L22" s="14" t="s">
        <v>3402</v>
      </c>
      <c r="M22" s="20" t="s">
        <v>4745</v>
      </c>
      <c r="N22" s="20"/>
      <c r="O22" s="20"/>
    </row>
    <row r="23" customFormat="false" ht="31.5" hidden="false" customHeight="true" outlineLevel="0" collapsed="false">
      <c r="A23" s="14" t="n">
        <v>10</v>
      </c>
      <c r="B23" s="35" t="n">
        <f aca="false">$C$2+9</f>
        <v>46323</v>
      </c>
      <c r="C23" s="19" t="s">
        <v>220</v>
      </c>
      <c r="D23" s="14" t="s">
        <v>4754</v>
      </c>
      <c r="E23" s="6" t="s">
        <v>4776</v>
      </c>
      <c r="F23" s="14" t="s">
        <v>685</v>
      </c>
      <c r="G23" s="14" t="s">
        <v>4747</v>
      </c>
      <c r="H23" s="14" t="s">
        <v>422</v>
      </c>
      <c r="I23" s="16" t="s">
        <v>424</v>
      </c>
      <c r="J23" s="14" t="s">
        <v>273</v>
      </c>
      <c r="K23" s="14" t="s">
        <v>4757</v>
      </c>
      <c r="L23" s="14" t="s">
        <v>3402</v>
      </c>
      <c r="M23" s="20" t="s">
        <v>4745</v>
      </c>
      <c r="N23" s="20"/>
      <c r="O23" s="20"/>
    </row>
    <row r="24" customFormat="false" ht="31.5" hidden="false" customHeight="true" outlineLevel="0" collapsed="false">
      <c r="A24" s="14" t="n">
        <v>10</v>
      </c>
      <c r="B24" s="35" t="n">
        <f aca="false">$C$2+9</f>
        <v>46323</v>
      </c>
      <c r="C24" s="19" t="s">
        <v>247</v>
      </c>
      <c r="D24" s="14" t="s">
        <v>4772</v>
      </c>
      <c r="E24" s="6" t="s">
        <v>4777</v>
      </c>
      <c r="F24" s="14" t="s">
        <v>234</v>
      </c>
      <c r="G24" s="14" t="s">
        <v>4753</v>
      </c>
      <c r="H24" s="14" t="s">
        <v>541</v>
      </c>
      <c r="I24" s="16" t="s">
        <v>543</v>
      </c>
      <c r="J24" s="14" t="s">
        <v>235</v>
      </c>
      <c r="K24" s="14" t="s">
        <v>4744</v>
      </c>
      <c r="L24" s="14" t="s">
        <v>3404</v>
      </c>
      <c r="M24" s="20" t="s">
        <v>4745</v>
      </c>
      <c r="N24" s="20"/>
      <c r="O24" s="20"/>
    </row>
    <row r="25" customFormat="false" ht="31.5" hidden="false" customHeight="true" outlineLevel="0" collapsed="false">
      <c r="A25" s="14" t="n">
        <v>11</v>
      </c>
      <c r="B25" s="35" t="n">
        <f aca="false">$C$2+10</f>
        <v>46324</v>
      </c>
      <c r="C25" s="19" t="s">
        <v>374</v>
      </c>
      <c r="D25" s="14" t="s">
        <v>4760</v>
      </c>
      <c r="E25" s="6" t="s">
        <v>4778</v>
      </c>
      <c r="F25" s="14" t="s">
        <v>1635</v>
      </c>
      <c r="G25" s="14" t="s">
        <v>4743</v>
      </c>
      <c r="H25" s="14" t="s">
        <v>311</v>
      </c>
      <c r="I25" s="16" t="s">
        <v>313</v>
      </c>
      <c r="J25" s="14" t="s">
        <v>235</v>
      </c>
      <c r="K25" s="14" t="s">
        <v>4757</v>
      </c>
      <c r="L25" s="14" t="s">
        <v>3401</v>
      </c>
      <c r="M25" s="20" t="s">
        <v>4745</v>
      </c>
      <c r="N25" s="20"/>
      <c r="O25" s="20"/>
    </row>
    <row r="26" customFormat="false" ht="31.5" hidden="false" customHeight="true" outlineLevel="0" collapsed="false">
      <c r="A26" s="14" t="n">
        <v>11</v>
      </c>
      <c r="B26" s="35" t="n">
        <f aca="false">$C$2+10</f>
        <v>46324</v>
      </c>
      <c r="C26" s="19" t="s">
        <v>220</v>
      </c>
      <c r="D26" s="14" t="s">
        <v>4760</v>
      </c>
      <c r="E26" s="6" t="s">
        <v>4779</v>
      </c>
      <c r="F26" s="14" t="s">
        <v>1635</v>
      </c>
      <c r="G26" s="14" t="s">
        <v>4747</v>
      </c>
      <c r="H26" s="14" t="s">
        <v>311</v>
      </c>
      <c r="I26" s="16" t="s">
        <v>313</v>
      </c>
      <c r="J26" s="14" t="s">
        <v>235</v>
      </c>
      <c r="K26" s="14" t="s">
        <v>4757</v>
      </c>
      <c r="L26" s="14" t="s">
        <v>3401</v>
      </c>
      <c r="M26" s="20" t="s">
        <v>4745</v>
      </c>
      <c r="N26" s="20"/>
      <c r="O26" s="20"/>
    </row>
    <row r="27" customFormat="false" ht="31.5" hidden="false" customHeight="true" outlineLevel="0" collapsed="false">
      <c r="A27" s="14" t="n">
        <v>12</v>
      </c>
      <c r="B27" s="35" t="n">
        <f aca="false">$C$2+11</f>
        <v>46325</v>
      </c>
      <c r="C27" s="19" t="s">
        <v>374</v>
      </c>
      <c r="D27" s="14" t="s">
        <v>4780</v>
      </c>
      <c r="E27" s="6" t="s">
        <v>4599</v>
      </c>
      <c r="F27" s="14" t="s">
        <v>255</v>
      </c>
      <c r="G27" s="14" t="s">
        <v>4781</v>
      </c>
      <c r="H27" s="14" t="s">
        <v>853</v>
      </c>
      <c r="I27" s="16" t="s">
        <v>855</v>
      </c>
      <c r="J27" s="14" t="s">
        <v>917</v>
      </c>
      <c r="K27" s="14" t="s">
        <v>4744</v>
      </c>
      <c r="L27" s="14" t="s">
        <v>3401</v>
      </c>
      <c r="M27" s="20" t="s">
        <v>4745</v>
      </c>
      <c r="N27" s="20"/>
      <c r="O27" s="20"/>
    </row>
    <row r="28" customFormat="false" ht="31.5" hidden="false" customHeight="true" outlineLevel="0" collapsed="false">
      <c r="A28" s="14" t="n">
        <v>12</v>
      </c>
      <c r="B28" s="35" t="n">
        <f aca="false">$C$2+11</f>
        <v>46325</v>
      </c>
      <c r="C28" s="19" t="s">
        <v>247</v>
      </c>
      <c r="D28" s="14" t="s">
        <v>4760</v>
      </c>
      <c r="E28" s="6" t="s">
        <v>4782</v>
      </c>
      <c r="F28" s="14" t="s">
        <v>1635</v>
      </c>
      <c r="G28" s="14" t="s">
        <v>4753</v>
      </c>
      <c r="H28" s="14" t="s">
        <v>311</v>
      </c>
      <c r="I28" s="16" t="s">
        <v>313</v>
      </c>
      <c r="J28" s="14" t="s">
        <v>235</v>
      </c>
      <c r="K28" s="14" t="s">
        <v>4757</v>
      </c>
      <c r="L28" s="14" t="s">
        <v>3401</v>
      </c>
      <c r="M28" s="20" t="s">
        <v>4745</v>
      </c>
      <c r="N28" s="20"/>
      <c r="O28" s="20"/>
    </row>
    <row r="29" customFormat="false" ht="31.5" hidden="false" customHeight="true" outlineLevel="0" collapsed="false">
      <c r="A29" s="14" t="n">
        <v>13</v>
      </c>
      <c r="B29" s="35" t="n">
        <f aca="false">$C$2+12</f>
        <v>46326</v>
      </c>
      <c r="C29" s="19" t="s">
        <v>220</v>
      </c>
      <c r="D29" s="14" t="s">
        <v>4780</v>
      </c>
      <c r="E29" s="6" t="s">
        <v>4783</v>
      </c>
      <c r="F29" s="14" t="s">
        <v>255</v>
      </c>
      <c r="G29" s="14" t="s">
        <v>4747</v>
      </c>
      <c r="H29" s="14" t="s">
        <v>853</v>
      </c>
      <c r="I29" s="16" t="s">
        <v>855</v>
      </c>
      <c r="J29" s="14" t="s">
        <v>917</v>
      </c>
      <c r="K29" s="14" t="s">
        <v>4744</v>
      </c>
      <c r="L29" s="14" t="s">
        <v>3401</v>
      </c>
      <c r="M29" s="20" t="s">
        <v>4745</v>
      </c>
      <c r="N29" s="20"/>
      <c r="O29" s="20"/>
    </row>
    <row r="30" customFormat="false" ht="31.5" hidden="false" customHeight="true" outlineLevel="0" collapsed="false">
      <c r="A30" s="14" t="n">
        <v>13</v>
      </c>
      <c r="B30" s="35" t="n">
        <f aca="false">$C$2+12</f>
        <v>46326</v>
      </c>
      <c r="C30" s="19" t="s">
        <v>247</v>
      </c>
      <c r="D30" s="14" t="s">
        <v>4780</v>
      </c>
      <c r="E30" s="6" t="s">
        <v>4784</v>
      </c>
      <c r="F30" s="14" t="s">
        <v>255</v>
      </c>
      <c r="G30" s="14" t="s">
        <v>4753</v>
      </c>
      <c r="H30" s="14" t="s">
        <v>853</v>
      </c>
      <c r="I30" s="16" t="s">
        <v>855</v>
      </c>
      <c r="J30" s="14" t="s">
        <v>917</v>
      </c>
      <c r="K30" s="14" t="s">
        <v>4744</v>
      </c>
      <c r="L30" s="14" t="s">
        <v>3401</v>
      </c>
      <c r="M30" s="20" t="s">
        <v>4745</v>
      </c>
      <c r="N30" s="20"/>
      <c r="O30" s="20"/>
    </row>
    <row r="31" customFormat="false" ht="31.5" hidden="false" customHeight="true" outlineLevel="0" collapsed="false">
      <c r="A31" s="14" t="n">
        <v>15</v>
      </c>
      <c r="B31" s="35" t="n">
        <f aca="false">$C$2+14</f>
        <v>46328</v>
      </c>
      <c r="C31" s="19" t="s">
        <v>374</v>
      </c>
      <c r="D31" s="14" t="s">
        <v>4754</v>
      </c>
      <c r="E31" s="6" t="s">
        <v>4785</v>
      </c>
      <c r="F31" s="14" t="s">
        <v>234</v>
      </c>
      <c r="G31" s="14" t="s">
        <v>4743</v>
      </c>
      <c r="H31" s="14" t="s">
        <v>341</v>
      </c>
      <c r="I31" s="16" t="s">
        <v>343</v>
      </c>
      <c r="J31" s="14" t="s">
        <v>235</v>
      </c>
      <c r="K31" s="14" t="s">
        <v>4744</v>
      </c>
      <c r="L31" s="14" t="s">
        <v>3402</v>
      </c>
      <c r="M31" s="20" t="s">
        <v>4745</v>
      </c>
      <c r="N31" s="20"/>
      <c r="O31" s="20"/>
    </row>
    <row r="32" customFormat="false" ht="31.5" hidden="false" customHeight="true" outlineLevel="0" collapsed="false">
      <c r="A32" s="14" t="n">
        <v>15</v>
      </c>
      <c r="B32" s="35" t="n">
        <f aca="false">$C$2+14</f>
        <v>46328</v>
      </c>
      <c r="C32" s="19" t="s">
        <v>220</v>
      </c>
      <c r="D32" s="14" t="s">
        <v>4754</v>
      </c>
      <c r="E32" s="6" t="s">
        <v>4786</v>
      </c>
      <c r="F32" s="14" t="s">
        <v>234</v>
      </c>
      <c r="G32" s="14" t="s">
        <v>4747</v>
      </c>
      <c r="H32" s="14" t="s">
        <v>341</v>
      </c>
      <c r="I32" s="16" t="s">
        <v>343</v>
      </c>
      <c r="J32" s="14" t="s">
        <v>235</v>
      </c>
      <c r="K32" s="14" t="s">
        <v>4744</v>
      </c>
      <c r="L32" s="14" t="s">
        <v>3402</v>
      </c>
      <c r="M32" s="20" t="s">
        <v>4745</v>
      </c>
      <c r="N32" s="20"/>
      <c r="O32" s="20"/>
    </row>
    <row r="33" customFormat="false" ht="31.5" hidden="false" customHeight="true" outlineLevel="0" collapsed="false">
      <c r="A33" s="14" t="n">
        <v>16</v>
      </c>
      <c r="B33" s="35" t="n">
        <f aca="false">$C$2+15</f>
        <v>46329</v>
      </c>
      <c r="C33" s="19" t="s">
        <v>374</v>
      </c>
      <c r="D33" s="14" t="s">
        <v>4787</v>
      </c>
      <c r="E33" s="6" t="s">
        <v>4788</v>
      </c>
      <c r="F33" s="14" t="s">
        <v>513</v>
      </c>
      <c r="G33" s="14" t="s">
        <v>4743</v>
      </c>
      <c r="H33" s="14" t="s">
        <v>1433</v>
      </c>
      <c r="I33" s="16" t="s">
        <v>1434</v>
      </c>
      <c r="J33" s="14" t="s">
        <v>235</v>
      </c>
      <c r="K33" s="14" t="s">
        <v>4744</v>
      </c>
      <c r="L33" s="14" t="s">
        <v>3401</v>
      </c>
      <c r="M33" s="20" t="s">
        <v>4745</v>
      </c>
      <c r="N33" s="20"/>
      <c r="O33" s="20"/>
    </row>
    <row r="34" customFormat="false" ht="31.5" hidden="false" customHeight="true" outlineLevel="0" collapsed="false">
      <c r="A34" s="14" t="n">
        <v>16</v>
      </c>
      <c r="B34" s="35" t="n">
        <f aca="false">$C$2+15</f>
        <v>46329</v>
      </c>
      <c r="C34" s="19" t="s">
        <v>220</v>
      </c>
      <c r="D34" s="14" t="s">
        <v>4787</v>
      </c>
      <c r="E34" s="6" t="s">
        <v>4789</v>
      </c>
      <c r="F34" s="14" t="s">
        <v>513</v>
      </c>
      <c r="G34" s="14" t="s">
        <v>4747</v>
      </c>
      <c r="H34" s="14" t="s">
        <v>1433</v>
      </c>
      <c r="I34" s="16" t="s">
        <v>1434</v>
      </c>
      <c r="J34" s="14" t="s">
        <v>235</v>
      </c>
      <c r="K34" s="14" t="s">
        <v>4744</v>
      </c>
      <c r="L34" s="14" t="s">
        <v>3401</v>
      </c>
      <c r="M34" s="20" t="s">
        <v>4745</v>
      </c>
      <c r="N34" s="20"/>
      <c r="O34" s="20"/>
    </row>
    <row r="35" customFormat="false" ht="31.5" hidden="false" customHeight="true" outlineLevel="0" collapsed="false">
      <c r="A35" s="14" t="n">
        <v>17</v>
      </c>
      <c r="B35" s="35" t="n">
        <f aca="false">$C$2+16</f>
        <v>46330</v>
      </c>
      <c r="C35" s="19" t="s">
        <v>374</v>
      </c>
      <c r="D35" s="14" t="s">
        <v>4787</v>
      </c>
      <c r="E35" s="6" t="s">
        <v>4790</v>
      </c>
      <c r="F35" s="14" t="s">
        <v>884</v>
      </c>
      <c r="G35" s="14" t="s">
        <v>4791</v>
      </c>
      <c r="H35" s="14" t="s">
        <v>1523</v>
      </c>
      <c r="I35" s="16" t="s">
        <v>1524</v>
      </c>
      <c r="J35" s="14" t="s">
        <v>316</v>
      </c>
      <c r="K35" s="14" t="s">
        <v>4792</v>
      </c>
      <c r="L35" s="14" t="s">
        <v>3402</v>
      </c>
      <c r="M35" s="20" t="s">
        <v>4745</v>
      </c>
      <c r="N35" s="20"/>
      <c r="O35" s="20"/>
    </row>
    <row r="36" customFormat="false" ht="31.5" hidden="false" customHeight="true" outlineLevel="0" collapsed="false">
      <c r="A36" s="14" t="n">
        <v>17</v>
      </c>
      <c r="B36" s="35" t="n">
        <f aca="false">$C$2+16</f>
        <v>46330</v>
      </c>
      <c r="C36" s="19" t="s">
        <v>220</v>
      </c>
      <c r="D36" s="14" t="s">
        <v>4787</v>
      </c>
      <c r="E36" s="6" t="s">
        <v>4793</v>
      </c>
      <c r="F36" s="14" t="s">
        <v>884</v>
      </c>
      <c r="G36" s="14" t="s">
        <v>4747</v>
      </c>
      <c r="H36" s="14" t="s">
        <v>1523</v>
      </c>
      <c r="I36" s="16" t="s">
        <v>1524</v>
      </c>
      <c r="J36" s="14" t="s">
        <v>316</v>
      </c>
      <c r="K36" s="14" t="s">
        <v>4792</v>
      </c>
      <c r="L36" s="14" t="s">
        <v>3402</v>
      </c>
      <c r="M36" s="20" t="s">
        <v>4745</v>
      </c>
      <c r="N36" s="20"/>
      <c r="O36" s="20"/>
    </row>
    <row r="37" customFormat="false" ht="31.5" hidden="false" customHeight="true" outlineLevel="0" collapsed="false">
      <c r="A37" s="14" t="n">
        <v>17</v>
      </c>
      <c r="B37" s="35" t="n">
        <f aca="false">$C$2+16</f>
        <v>46330</v>
      </c>
      <c r="C37" s="19" t="s">
        <v>247</v>
      </c>
      <c r="D37" s="14" t="s">
        <v>4787</v>
      </c>
      <c r="E37" s="6" t="s">
        <v>4794</v>
      </c>
      <c r="F37" s="14" t="s">
        <v>513</v>
      </c>
      <c r="G37" s="14" t="s">
        <v>4753</v>
      </c>
      <c r="H37" s="14" t="s">
        <v>1433</v>
      </c>
      <c r="I37" s="16" t="s">
        <v>1434</v>
      </c>
      <c r="J37" s="14" t="s">
        <v>235</v>
      </c>
      <c r="K37" s="14" t="s">
        <v>4744</v>
      </c>
      <c r="L37" s="14" t="s">
        <v>3401</v>
      </c>
      <c r="M37" s="20" t="s">
        <v>4745</v>
      </c>
      <c r="N37" s="20"/>
      <c r="O37" s="20"/>
    </row>
    <row r="38" customFormat="false" ht="31.5" hidden="false" customHeight="true" outlineLevel="0" collapsed="false">
      <c r="A38" s="14" t="n">
        <v>18</v>
      </c>
      <c r="B38" s="35" t="n">
        <f aca="false">$C$2+17</f>
        <v>46331</v>
      </c>
      <c r="C38" s="19" t="s">
        <v>374</v>
      </c>
      <c r="D38" s="14" t="s">
        <v>4769</v>
      </c>
      <c r="E38" s="6" t="s">
        <v>4795</v>
      </c>
      <c r="F38" s="14" t="s">
        <v>330</v>
      </c>
      <c r="G38" s="14" t="s">
        <v>4743</v>
      </c>
      <c r="H38" s="14" t="s">
        <v>311</v>
      </c>
      <c r="I38" s="16" t="s">
        <v>313</v>
      </c>
      <c r="J38" s="14" t="s">
        <v>235</v>
      </c>
      <c r="K38" s="14" t="s">
        <v>4792</v>
      </c>
      <c r="L38" s="14" t="s">
        <v>3402</v>
      </c>
      <c r="M38" s="20" t="s">
        <v>4745</v>
      </c>
      <c r="N38" s="20"/>
      <c r="O38" s="20"/>
    </row>
    <row r="39" customFormat="false" ht="31.5" hidden="false" customHeight="true" outlineLevel="0" collapsed="false">
      <c r="A39" s="14" t="n">
        <v>18</v>
      </c>
      <c r="B39" s="35" t="n">
        <f aca="false">$C$2+17</f>
        <v>46331</v>
      </c>
      <c r="C39" s="19" t="s">
        <v>220</v>
      </c>
      <c r="D39" s="14" t="s">
        <v>4769</v>
      </c>
      <c r="E39" s="6" t="s">
        <v>4796</v>
      </c>
      <c r="F39" s="14" t="s">
        <v>330</v>
      </c>
      <c r="G39" s="14" t="s">
        <v>4747</v>
      </c>
      <c r="H39" s="14" t="s">
        <v>311</v>
      </c>
      <c r="I39" s="16" t="s">
        <v>313</v>
      </c>
      <c r="J39" s="14" t="s">
        <v>235</v>
      </c>
      <c r="K39" s="14" t="s">
        <v>4792</v>
      </c>
      <c r="L39" s="14" t="s">
        <v>3402</v>
      </c>
      <c r="M39" s="20" t="s">
        <v>4745</v>
      </c>
      <c r="N39" s="20"/>
      <c r="O39" s="20"/>
    </row>
    <row r="40" customFormat="false" ht="31.5" hidden="false" customHeight="true" outlineLevel="0" collapsed="false">
      <c r="A40" s="14" t="n">
        <v>18</v>
      </c>
      <c r="B40" s="35" t="n">
        <f aca="false">$C$2+17</f>
        <v>46331</v>
      </c>
      <c r="C40" s="19" t="s">
        <v>247</v>
      </c>
      <c r="D40" s="14" t="s">
        <v>4787</v>
      </c>
      <c r="E40" s="6" t="s">
        <v>4797</v>
      </c>
      <c r="F40" s="14" t="s">
        <v>884</v>
      </c>
      <c r="G40" s="14" t="s">
        <v>4753</v>
      </c>
      <c r="H40" s="14" t="s">
        <v>1523</v>
      </c>
      <c r="I40" s="16" t="s">
        <v>1524</v>
      </c>
      <c r="J40" s="14" t="s">
        <v>316</v>
      </c>
      <c r="K40" s="14" t="s">
        <v>4792</v>
      </c>
      <c r="L40" s="14" t="s">
        <v>3402</v>
      </c>
      <c r="M40" s="20" t="s">
        <v>4745</v>
      </c>
      <c r="N40" s="20"/>
      <c r="O40" s="20"/>
    </row>
    <row r="41" customFormat="false" ht="31.5" hidden="false" customHeight="true" outlineLevel="0" collapsed="false">
      <c r="A41" s="14" t="n">
        <v>19</v>
      </c>
      <c r="B41" s="35" t="n">
        <f aca="false">$C$2+18</f>
        <v>46332</v>
      </c>
      <c r="C41" s="19" t="s">
        <v>374</v>
      </c>
      <c r="D41" s="14" t="s">
        <v>4754</v>
      </c>
      <c r="E41" s="6" t="s">
        <v>4798</v>
      </c>
      <c r="F41" s="14" t="s">
        <v>685</v>
      </c>
      <c r="G41" s="14" t="s">
        <v>4756</v>
      </c>
      <c r="H41" s="14" t="s">
        <v>1809</v>
      </c>
      <c r="I41" s="16" t="s">
        <v>1811</v>
      </c>
      <c r="J41" s="14" t="s">
        <v>273</v>
      </c>
      <c r="K41" s="14" t="s">
        <v>4757</v>
      </c>
      <c r="L41" s="14" t="s">
        <v>3401</v>
      </c>
      <c r="M41" s="20" t="s">
        <v>4745</v>
      </c>
      <c r="N41" s="20"/>
      <c r="O41" s="20"/>
    </row>
    <row r="42" customFormat="false" ht="31.5" hidden="false" customHeight="true" outlineLevel="0" collapsed="false">
      <c r="A42" s="14" t="n">
        <v>20</v>
      </c>
      <c r="B42" s="35" t="n">
        <f aca="false">$C$2+19</f>
        <v>46333</v>
      </c>
      <c r="C42" s="19" t="s">
        <v>220</v>
      </c>
      <c r="D42" s="14" t="s">
        <v>4754</v>
      </c>
      <c r="E42" s="6" t="s">
        <v>4799</v>
      </c>
      <c r="F42" s="14" t="s">
        <v>685</v>
      </c>
      <c r="G42" s="14" t="s">
        <v>4747</v>
      </c>
      <c r="H42" s="14" t="s">
        <v>1809</v>
      </c>
      <c r="I42" s="16" t="s">
        <v>1811</v>
      </c>
      <c r="J42" s="14" t="s">
        <v>273</v>
      </c>
      <c r="K42" s="14" t="s">
        <v>4757</v>
      </c>
      <c r="L42" s="14" t="s">
        <v>3401</v>
      </c>
      <c r="M42" s="20" t="s">
        <v>4745</v>
      </c>
      <c r="N42" s="20"/>
      <c r="O42" s="20"/>
    </row>
    <row r="43" customFormat="false" ht="31.5" hidden="false" customHeight="true" outlineLevel="0" collapsed="false">
      <c r="A43" s="14" t="n">
        <v>20</v>
      </c>
      <c r="B43" s="35" t="n">
        <f aca="false">$C$2+19</f>
        <v>46333</v>
      </c>
      <c r="C43" s="19" t="s">
        <v>247</v>
      </c>
      <c r="D43" s="14" t="s">
        <v>4754</v>
      </c>
      <c r="E43" s="6" t="s">
        <v>4800</v>
      </c>
      <c r="F43" s="14" t="s">
        <v>685</v>
      </c>
      <c r="G43" s="14" t="s">
        <v>4753</v>
      </c>
      <c r="H43" s="14" t="s">
        <v>1809</v>
      </c>
      <c r="I43" s="16" t="s">
        <v>1811</v>
      </c>
      <c r="J43" s="14" t="s">
        <v>273</v>
      </c>
      <c r="K43" s="14" t="s">
        <v>4757</v>
      </c>
      <c r="L43" s="14" t="s">
        <v>3401</v>
      </c>
      <c r="M43" s="20" t="s">
        <v>4745</v>
      </c>
      <c r="N43" s="20"/>
      <c r="O43" s="20"/>
    </row>
    <row r="44" customFormat="false" ht="31.5" hidden="false" customHeight="true" outlineLevel="0" collapsed="false">
      <c r="A44" s="14" t="n">
        <v>22</v>
      </c>
      <c r="B44" s="35" t="n">
        <f aca="false">$C$2+21</f>
        <v>46335</v>
      </c>
      <c r="C44" s="19" t="s">
        <v>374</v>
      </c>
      <c r="D44" s="14" t="s">
        <v>4772</v>
      </c>
      <c r="E44" s="6" t="s">
        <v>4801</v>
      </c>
      <c r="F44" s="14" t="s">
        <v>234</v>
      </c>
      <c r="G44" s="14" t="s">
        <v>4743</v>
      </c>
      <c r="H44" s="14" t="s">
        <v>311</v>
      </c>
      <c r="I44" s="16" t="s">
        <v>313</v>
      </c>
      <c r="J44" s="14" t="s">
        <v>235</v>
      </c>
      <c r="K44" s="14" t="s">
        <v>4744</v>
      </c>
      <c r="L44" s="14" t="s">
        <v>3404</v>
      </c>
      <c r="M44" s="20" t="s">
        <v>4745</v>
      </c>
      <c r="N44" s="20"/>
      <c r="O44" s="20"/>
    </row>
    <row r="45" customFormat="false" ht="31.5" hidden="false" customHeight="true" outlineLevel="0" collapsed="false">
      <c r="A45" s="14" t="n">
        <v>22</v>
      </c>
      <c r="B45" s="35" t="n">
        <f aca="false">$C$2+21</f>
        <v>46335</v>
      </c>
      <c r="C45" s="19" t="s">
        <v>220</v>
      </c>
      <c r="D45" s="14" t="s">
        <v>4772</v>
      </c>
      <c r="E45" s="6" t="s">
        <v>4786</v>
      </c>
      <c r="F45" s="14" t="s">
        <v>234</v>
      </c>
      <c r="G45" s="14" t="s">
        <v>4747</v>
      </c>
      <c r="H45" s="14" t="s">
        <v>311</v>
      </c>
      <c r="I45" s="16" t="s">
        <v>313</v>
      </c>
      <c r="J45" s="14" t="s">
        <v>235</v>
      </c>
      <c r="K45" s="14" t="s">
        <v>4744</v>
      </c>
      <c r="L45" s="14" t="s">
        <v>3404</v>
      </c>
      <c r="M45" s="20" t="s">
        <v>4745</v>
      </c>
      <c r="N45" s="20"/>
      <c r="O45" s="20"/>
    </row>
    <row r="46" customFormat="false" ht="31.5" hidden="false" customHeight="true" outlineLevel="0" collapsed="false">
      <c r="A46" s="14" t="n">
        <v>23</v>
      </c>
      <c r="B46" s="35" t="n">
        <f aca="false">$C$2+22</f>
        <v>46336</v>
      </c>
      <c r="C46" s="19" t="s">
        <v>374</v>
      </c>
      <c r="D46" s="14" t="s">
        <v>4802</v>
      </c>
      <c r="E46" s="6" t="s">
        <v>4803</v>
      </c>
      <c r="F46" s="14" t="s">
        <v>330</v>
      </c>
      <c r="G46" s="14" t="s">
        <v>4804</v>
      </c>
      <c r="H46" s="14" t="s">
        <v>311</v>
      </c>
      <c r="I46" s="16" t="s">
        <v>313</v>
      </c>
      <c r="J46" s="14" t="s">
        <v>235</v>
      </c>
      <c r="K46" s="14" t="s">
        <v>4792</v>
      </c>
      <c r="L46" s="14" t="s">
        <v>3401</v>
      </c>
      <c r="M46" s="20" t="s">
        <v>4745</v>
      </c>
      <c r="N46" s="20"/>
      <c r="O46" s="20"/>
    </row>
    <row r="47" customFormat="false" ht="31.5" hidden="false" customHeight="true" outlineLevel="0" collapsed="false">
      <c r="A47" s="14" t="n">
        <v>23</v>
      </c>
      <c r="B47" s="35" t="n">
        <f aca="false">$C$2+22</f>
        <v>46336</v>
      </c>
      <c r="C47" s="19" t="s">
        <v>220</v>
      </c>
      <c r="D47" s="14" t="s">
        <v>4802</v>
      </c>
      <c r="E47" s="6" t="s">
        <v>4805</v>
      </c>
      <c r="F47" s="14" t="s">
        <v>330</v>
      </c>
      <c r="G47" s="14" t="s">
        <v>4747</v>
      </c>
      <c r="H47" s="14" t="s">
        <v>311</v>
      </c>
      <c r="I47" s="16" t="s">
        <v>313</v>
      </c>
      <c r="J47" s="14" t="s">
        <v>235</v>
      </c>
      <c r="K47" s="14" t="s">
        <v>4792</v>
      </c>
      <c r="L47" s="14" t="s">
        <v>3401</v>
      </c>
      <c r="M47" s="20" t="s">
        <v>4745</v>
      </c>
      <c r="N47" s="20"/>
      <c r="O47" s="20"/>
    </row>
    <row r="48" customFormat="false" ht="31.5" hidden="false" customHeight="true" outlineLevel="0" collapsed="false">
      <c r="A48" s="14" t="n">
        <v>23</v>
      </c>
      <c r="B48" s="35" t="n">
        <f aca="false">$C$2+22</f>
        <v>46336</v>
      </c>
      <c r="C48" s="19" t="s">
        <v>247</v>
      </c>
      <c r="D48" s="14" t="s">
        <v>4772</v>
      </c>
      <c r="E48" s="6" t="s">
        <v>4806</v>
      </c>
      <c r="F48" s="14" t="s">
        <v>234</v>
      </c>
      <c r="G48" s="14" t="s">
        <v>4753</v>
      </c>
      <c r="H48" s="14" t="s">
        <v>311</v>
      </c>
      <c r="I48" s="16" t="s">
        <v>313</v>
      </c>
      <c r="J48" s="14" t="s">
        <v>235</v>
      </c>
      <c r="K48" s="14" t="s">
        <v>4744</v>
      </c>
      <c r="L48" s="14" t="s">
        <v>3404</v>
      </c>
      <c r="M48" s="20" t="s">
        <v>4745</v>
      </c>
      <c r="N48" s="20"/>
      <c r="O48" s="20"/>
    </row>
    <row r="49" customFormat="false" ht="31.5" hidden="false" customHeight="true" outlineLevel="0" collapsed="false">
      <c r="A49" s="14" t="n">
        <v>24</v>
      </c>
      <c r="B49" s="35" t="n">
        <f aca="false">$C$2+23</f>
        <v>46337</v>
      </c>
      <c r="C49" s="19" t="s">
        <v>374</v>
      </c>
      <c r="D49" s="14" t="s">
        <v>4787</v>
      </c>
      <c r="E49" s="6" t="s">
        <v>4807</v>
      </c>
      <c r="F49" s="14" t="s">
        <v>513</v>
      </c>
      <c r="G49" s="14" t="s">
        <v>4743</v>
      </c>
      <c r="H49" s="14" t="s">
        <v>422</v>
      </c>
      <c r="I49" s="16" t="s">
        <v>424</v>
      </c>
      <c r="J49" s="14" t="s">
        <v>235</v>
      </c>
      <c r="K49" s="14" t="s">
        <v>4744</v>
      </c>
      <c r="L49" s="14" t="s">
        <v>3402</v>
      </c>
      <c r="M49" s="20" t="s">
        <v>4745</v>
      </c>
      <c r="N49" s="20"/>
      <c r="O49" s="20"/>
    </row>
    <row r="50" customFormat="false" ht="31.5" hidden="false" customHeight="true" outlineLevel="0" collapsed="false">
      <c r="A50" s="14" t="n">
        <v>24</v>
      </c>
      <c r="B50" s="35" t="n">
        <f aca="false">$C$2+23</f>
        <v>46337</v>
      </c>
      <c r="C50" s="19" t="s">
        <v>220</v>
      </c>
      <c r="D50" s="14" t="s">
        <v>4787</v>
      </c>
      <c r="E50" s="6" t="s">
        <v>4808</v>
      </c>
      <c r="F50" s="14" t="s">
        <v>513</v>
      </c>
      <c r="G50" s="14" t="s">
        <v>4747</v>
      </c>
      <c r="H50" s="14" t="s">
        <v>422</v>
      </c>
      <c r="I50" s="16" t="s">
        <v>424</v>
      </c>
      <c r="J50" s="14" t="s">
        <v>235</v>
      </c>
      <c r="K50" s="14" t="s">
        <v>4744</v>
      </c>
      <c r="L50" s="14" t="s">
        <v>3402</v>
      </c>
      <c r="M50" s="20" t="s">
        <v>4745</v>
      </c>
      <c r="N50" s="20"/>
      <c r="O50" s="20"/>
    </row>
    <row r="51" customFormat="false" ht="31.5" hidden="false" customHeight="true" outlineLevel="0" collapsed="false">
      <c r="A51" s="14" t="n">
        <v>25</v>
      </c>
      <c r="B51" s="35" t="n">
        <f aca="false">$C$2+24</f>
        <v>46338</v>
      </c>
      <c r="C51" s="19" t="s">
        <v>374</v>
      </c>
      <c r="D51" s="14" t="s">
        <v>4760</v>
      </c>
      <c r="E51" s="6" t="s">
        <v>4643</v>
      </c>
      <c r="F51" s="14" t="s">
        <v>906</v>
      </c>
      <c r="G51" s="14" t="s">
        <v>4756</v>
      </c>
      <c r="H51" s="14" t="s">
        <v>902</v>
      </c>
      <c r="I51" s="16" t="s">
        <v>903</v>
      </c>
      <c r="J51" s="14" t="s">
        <v>235</v>
      </c>
      <c r="K51" s="14" t="s">
        <v>4744</v>
      </c>
      <c r="L51" s="14" t="s">
        <v>3401</v>
      </c>
      <c r="M51" s="20" t="s">
        <v>4745</v>
      </c>
      <c r="N51" s="20"/>
      <c r="O51" s="20"/>
    </row>
    <row r="52" customFormat="false" ht="31.5" hidden="false" customHeight="true" outlineLevel="0" collapsed="false">
      <c r="A52" s="14" t="n">
        <v>25</v>
      </c>
      <c r="B52" s="35" t="n">
        <f aca="false">$C$2+24</f>
        <v>46338</v>
      </c>
      <c r="C52" s="19" t="s">
        <v>220</v>
      </c>
      <c r="D52" s="14" t="s">
        <v>4760</v>
      </c>
      <c r="E52" s="6" t="s">
        <v>4809</v>
      </c>
      <c r="F52" s="14" t="s">
        <v>906</v>
      </c>
      <c r="G52" s="14" t="s">
        <v>4747</v>
      </c>
      <c r="H52" s="14" t="s">
        <v>902</v>
      </c>
      <c r="I52" s="16" t="s">
        <v>903</v>
      </c>
      <c r="J52" s="14" t="s">
        <v>235</v>
      </c>
      <c r="K52" s="14" t="s">
        <v>4744</v>
      </c>
      <c r="L52" s="14" t="s">
        <v>3401</v>
      </c>
      <c r="M52" s="20" t="s">
        <v>4745</v>
      </c>
      <c r="N52" s="20"/>
      <c r="O52" s="20"/>
    </row>
    <row r="53" customFormat="false" ht="31.5" hidden="false" customHeight="true" outlineLevel="0" collapsed="false">
      <c r="A53" s="14" t="n">
        <v>26</v>
      </c>
      <c r="B53" s="35" t="n">
        <f aca="false">$C$2+25</f>
        <v>46339</v>
      </c>
      <c r="C53" s="19" t="s">
        <v>374</v>
      </c>
      <c r="D53" s="14" t="s">
        <v>4760</v>
      </c>
      <c r="E53" s="6" t="s">
        <v>4810</v>
      </c>
      <c r="F53" s="14" t="s">
        <v>685</v>
      </c>
      <c r="G53" s="14" t="s">
        <v>4743</v>
      </c>
      <c r="H53" s="14" t="s">
        <v>399</v>
      </c>
      <c r="I53" s="16" t="s">
        <v>402</v>
      </c>
      <c r="J53" s="14" t="s">
        <v>273</v>
      </c>
      <c r="K53" s="14" t="s">
        <v>4757</v>
      </c>
      <c r="L53" s="14" t="s">
        <v>3401</v>
      </c>
      <c r="M53" s="20" t="s">
        <v>4745</v>
      </c>
      <c r="N53" s="20"/>
      <c r="O53" s="20"/>
    </row>
    <row r="54" customFormat="false" ht="31.5" hidden="false" customHeight="true" outlineLevel="0" collapsed="false">
      <c r="A54" s="14" t="n">
        <v>26</v>
      </c>
      <c r="B54" s="35" t="n">
        <f aca="false">$C$2+25</f>
        <v>46339</v>
      </c>
      <c r="C54" s="19" t="s">
        <v>247</v>
      </c>
      <c r="D54" s="14" t="s">
        <v>4760</v>
      </c>
      <c r="E54" s="6" t="s">
        <v>4811</v>
      </c>
      <c r="F54" s="14" t="s">
        <v>906</v>
      </c>
      <c r="G54" s="14" t="s">
        <v>4753</v>
      </c>
      <c r="H54" s="14" t="s">
        <v>902</v>
      </c>
      <c r="I54" s="16" t="s">
        <v>903</v>
      </c>
      <c r="J54" s="14" t="s">
        <v>235</v>
      </c>
      <c r="K54" s="14" t="s">
        <v>4744</v>
      </c>
      <c r="L54" s="14" t="s">
        <v>3401</v>
      </c>
      <c r="M54" s="20" t="s">
        <v>4745</v>
      </c>
      <c r="N54" s="20"/>
      <c r="O54" s="20"/>
    </row>
    <row r="55" customFormat="false" ht="31.5" hidden="false" customHeight="true" outlineLevel="0" collapsed="false">
      <c r="A55" s="14" t="n">
        <v>27</v>
      </c>
      <c r="B55" s="35" t="n">
        <f aca="false">$C$2+26</f>
        <v>46340</v>
      </c>
      <c r="C55" s="19" t="s">
        <v>220</v>
      </c>
      <c r="D55" s="14" t="s">
        <v>4760</v>
      </c>
      <c r="E55" s="6" t="s">
        <v>4812</v>
      </c>
      <c r="F55" s="14" t="s">
        <v>685</v>
      </c>
      <c r="G55" s="14" t="s">
        <v>4747</v>
      </c>
      <c r="H55" s="14" t="s">
        <v>399</v>
      </c>
      <c r="I55" s="16" t="s">
        <v>402</v>
      </c>
      <c r="J55" s="14" t="s">
        <v>273</v>
      </c>
      <c r="K55" s="14" t="s">
        <v>4757</v>
      </c>
      <c r="L55" s="14" t="s">
        <v>3401</v>
      </c>
      <c r="M55" s="20" t="s">
        <v>4745</v>
      </c>
      <c r="N55" s="20"/>
      <c r="O55" s="20"/>
    </row>
    <row r="56" customFormat="false" ht="31.5" hidden="false" customHeight="true" outlineLevel="0" collapsed="false">
      <c r="A56" s="14" t="n">
        <v>27</v>
      </c>
      <c r="B56" s="35" t="n">
        <f aca="false">$C$2+26</f>
        <v>46340</v>
      </c>
      <c r="C56" s="19" t="s">
        <v>247</v>
      </c>
      <c r="D56" s="14" t="s">
        <v>4760</v>
      </c>
      <c r="E56" s="6" t="s">
        <v>4813</v>
      </c>
      <c r="F56" s="14" t="s">
        <v>685</v>
      </c>
      <c r="G56" s="14" t="s">
        <v>4753</v>
      </c>
      <c r="H56" s="14" t="s">
        <v>399</v>
      </c>
      <c r="I56" s="16" t="s">
        <v>402</v>
      </c>
      <c r="J56" s="14" t="s">
        <v>273</v>
      </c>
      <c r="K56" s="14" t="s">
        <v>4757</v>
      </c>
      <c r="L56" s="14" t="s">
        <v>3401</v>
      </c>
      <c r="M56" s="20" t="s">
        <v>4745</v>
      </c>
      <c r="N56" s="20"/>
      <c r="O56" s="20"/>
    </row>
    <row r="58" customFormat="false" ht="15" hidden="false" customHeight="false" outlineLevel="0" collapsed="false">
      <c r="A58" s="25" t="s">
        <v>4814</v>
      </c>
    </row>
    <row r="59" customFormat="false" ht="15" hidden="false" customHeight="false" outlineLevel="0" collapsed="false">
      <c r="A59" s="7" t="s">
        <v>374</v>
      </c>
      <c r="B59" s="31" t="n">
        <f aca="false">COUNTIF(C5:C56,"LinkedIn")</f>
        <v>20</v>
      </c>
    </row>
    <row r="60" customFormat="false" ht="15" hidden="false" customHeight="false" outlineLevel="0" collapsed="false">
      <c r="A60" s="7" t="s">
        <v>220</v>
      </c>
      <c r="B60" s="31" t="n">
        <f aca="false">COUNTIF(C5:C56,"X")</f>
        <v>20</v>
      </c>
    </row>
    <row r="61" customFormat="false" ht="15" hidden="false" customHeight="false" outlineLevel="0" collapsed="false">
      <c r="A61" s="7" t="s">
        <v>247</v>
      </c>
      <c r="B61" s="31" t="n">
        <f aca="false">COUNTIF(C5:C56,"Instagram")</f>
        <v>12</v>
      </c>
    </row>
    <row r="62" customFormat="false" ht="15" hidden="false" customHeight="false" outlineLevel="0" collapsed="false">
      <c r="A62" s="7" t="s">
        <v>190</v>
      </c>
      <c r="B62" s="31" t="n">
        <f aca="false">COUNTIF(M5:M56,"Published")</f>
        <v>0</v>
      </c>
    </row>
    <row r="63" customFormat="false" ht="15" hidden="false" customHeight="false" outlineLevel="0" collapsed="false">
      <c r="A63" s="7" t="s">
        <v>4815</v>
      </c>
      <c r="B63" s="31" t="n">
        <f aca="false">SUM(O5:O56)</f>
        <v>0</v>
      </c>
    </row>
  </sheetData>
  <autoFilter ref="A4:O56"/>
  <conditionalFormatting sqref="C5:C56">
    <cfRule type="cellIs" priority="2" operator="equal" aboveAverage="0" equalAverage="0" bottom="0" percent="0" rank="0" text="" dxfId="199">
      <formula>"LinkedIn"</formula>
    </cfRule>
    <cfRule type="cellIs" priority="3" operator="equal" aboveAverage="0" equalAverage="0" bottom="0" percent="0" rank="0" text="" dxfId="200">
      <formula>"X"</formula>
    </cfRule>
    <cfRule type="cellIs" priority="4" operator="equal" aboveAverage="0" equalAverage="0" bottom="0" percent="0" rank="0" text="" dxfId="119">
      <formula>"Instagram"</formula>
    </cfRule>
  </conditionalFormatting>
  <dataValidations count="1">
    <dataValidation allowBlank="false" errorStyle="stop" operator="between" showDropDown="false" showErrorMessage="false" showInputMessage="false" sqref="M5:M56" type="list">
      <formula1>"Planned,Drafting,Ready,Published,Skipped"</formula1>
      <formula2>0</formula2>
    </dataValidation>
  </dataValidations>
  <hyperlinks>
    <hyperlink ref="I5" r:id="rId1" display="https://www.linkedin.com/feed/update/urn:li:activity:7447674013230841856"/>
    <hyperlink ref="I6" r:id="rId2" display="https://www.linkedin.com/feed/update/urn:li:activity:7447674013230841856"/>
    <hyperlink ref="I7" r:id="rId3" display="https://www.instagram.com/reel/Dcy173UgAVR/"/>
    <hyperlink ref="I8" r:id="rId4" display="https://www.instagram.com/reel/Dcy173UgAVR/"/>
    <hyperlink ref="I9" r:id="rId5" display="https://www.linkedin.com/feed/update/urn:li:activity:7447674013230841856"/>
    <hyperlink ref="I10" r:id="rId6" display="https://x.com/theroborourke/status/1990343987148775791"/>
    <hyperlink ref="I11" r:id="rId7" display="https://x.com/theroborourke/status/1990343987148775791"/>
    <hyperlink ref="I12" r:id="rId8" display="https://www.instagram.com/reel/Dcy173UgAVR/"/>
    <hyperlink ref="I13" r:id="rId9" display="https://www.linkedin.com/feed/update/urn:li:activity:7505943146720165888"/>
    <hyperlink ref="I14" r:id="rId10" display="https://www.linkedin.com/feed/update/urn:li:activity:7505943146720165888"/>
    <hyperlink ref="I15" r:id="rId11" display="https://www.linkedin.com/feed/update/urn:li:activity:7421567657579196416"/>
    <hyperlink ref="I16" r:id="rId12" display="https://www.linkedin.com/feed/update/urn:li:activity:7505943146720165888"/>
    <hyperlink ref="I17" r:id="rId13" display="https://www.linkedin.com/feed/update/urn:li:activity:7421567657579196416"/>
    <hyperlink ref="I18" r:id="rId14" display="https://x.com/paolo_scales/status/2091961906210967746"/>
    <hyperlink ref="I19" r:id="rId15" display="https://x.com/paolo_scales/status/2091961906210967746"/>
    <hyperlink ref="I20" r:id="rId16" display="https://x.com/Hartdrawss/status/2029852118723551289"/>
    <hyperlink ref="I21" r:id="rId17" display="https://x.com/Hartdrawss/status/2029852118723551289"/>
    <hyperlink ref="I22" r:id="rId18" display="https://x.com/MichLieben/status/2039432665078923529"/>
    <hyperlink ref="I23" r:id="rId19" display="https://x.com/MichLieben/status/2039432665078923529"/>
    <hyperlink ref="I24" r:id="rId20" display="https://x.com/Hartdrawss/status/2029852118723551289"/>
    <hyperlink ref="I25" r:id="rId21" display="https://x.com/theroborourke/status/1990343987148775791"/>
    <hyperlink ref="I26" r:id="rId22" display="https://x.com/theroborourke/status/1990343987148775791"/>
    <hyperlink ref="I27" r:id="rId23" display="https://x.com/theo_jil/status/2040494043713425822"/>
    <hyperlink ref="I28" r:id="rId24" display="https://x.com/theroborourke/status/1990343987148775791"/>
    <hyperlink ref="I29" r:id="rId25" display="https://x.com/theo_jil/status/2040494043713425822"/>
    <hyperlink ref="I30" r:id="rId26" display="https://x.com/theo_jil/status/2040494043713425822"/>
    <hyperlink ref="I31" r:id="rId27" display="https://x.com/NickB2005/status/2095121648710037913"/>
    <hyperlink ref="I32" r:id="rId28" display="https://x.com/NickB2005/status/2095121648710037913"/>
    <hyperlink ref="I33" r:id="rId29" display="https://www.linkedin.com/feed/update/urn:li:activity:7507859803386511361"/>
    <hyperlink ref="I34" r:id="rId30" display="https://www.linkedin.com/feed/update/urn:li:activity:7507859803386511361"/>
    <hyperlink ref="I35" r:id="rId31" display="https://www.instagram.com/reel/DctXXS8DjnA/"/>
    <hyperlink ref="I36" r:id="rId32" display="https://www.instagram.com/reel/DctXXS8DjnA/"/>
    <hyperlink ref="I37" r:id="rId33" display="https://www.linkedin.com/feed/update/urn:li:activity:7507859803386511361"/>
    <hyperlink ref="I38" r:id="rId34" display="https://x.com/theroborourke/status/1990343987148775791"/>
    <hyperlink ref="I39" r:id="rId35" display="https://x.com/theroborourke/status/1990343987148775791"/>
    <hyperlink ref="I40" r:id="rId36" display="https://www.instagram.com/reel/DctXXS8DjnA/"/>
    <hyperlink ref="I41" r:id="rId37" display="https://www.linkedin.com/feed/update/urn:li:activity:7454831538892099584"/>
    <hyperlink ref="I42" r:id="rId38" display="https://www.linkedin.com/feed/update/urn:li:activity:7454831538892099584"/>
    <hyperlink ref="I43" r:id="rId39" display="https://www.linkedin.com/feed/update/urn:li:activity:7454831538892099584"/>
    <hyperlink ref="I44" r:id="rId40" display="https://x.com/theroborourke/status/1990343987148775791"/>
    <hyperlink ref="I45" r:id="rId41" display="https://x.com/theroborourke/status/1990343987148775791"/>
    <hyperlink ref="I46" r:id="rId42" display="https://x.com/theroborourke/status/1990343987148775791"/>
    <hyperlink ref="I47" r:id="rId43" display="https://x.com/theroborourke/status/1990343987148775791"/>
    <hyperlink ref="I48" r:id="rId44" display="https://x.com/theroborourke/status/1990343987148775791"/>
    <hyperlink ref="I49" r:id="rId45" display="https://x.com/MichLieben/status/2039432665078923529"/>
    <hyperlink ref="I50" r:id="rId46" display="https://x.com/MichLieben/status/2039432665078923529"/>
    <hyperlink ref="I51" r:id="rId47" display="https://www.instagram.com/reel/Ddl5gR1xz9b/"/>
    <hyperlink ref="I52" r:id="rId48" display="https://www.instagram.com/reel/Ddl5gR1xz9b/"/>
    <hyperlink ref="I53" r:id="rId49" display="https://www.instagram.com/reel/DWb9bMukmwe/"/>
    <hyperlink ref="I54" r:id="rId50" display="https://www.instagram.com/reel/Ddl5gR1xz9b/"/>
    <hyperlink ref="I55" r:id="rId51" display="https://www.instagram.com/reel/DWb9bMukmwe/"/>
    <hyperlink ref="I56" r:id="rId52" display="https://www.instagram.com/reel/DWb9bMukmw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
    <col collapsed="false" customWidth="true" hidden="false" outlineLevel="0" max="3" min="3" style="0" width="9"/>
    <col collapsed="false" customWidth="true" hidden="false" outlineLevel="0" max="4" min="4" style="0" width="22"/>
    <col collapsed="false" customWidth="true" hidden="false" outlineLevel="0" max="5" min="5" style="0" width="10"/>
    <col collapsed="false" customWidth="true" hidden="false" outlineLevel="0" max="6" min="6" style="0" width="9"/>
    <col collapsed="false" customWidth="true" hidden="false" outlineLevel="0" max="7" min="7" style="0" width="8"/>
    <col collapsed="false" customWidth="true" hidden="false" outlineLevel="0" max="8" min="8" style="0" width="50"/>
    <col collapsed="false" customWidth="true" hidden="false" outlineLevel="0" max="9" min="9" style="0" width="32"/>
    <col collapsed="false" customWidth="true" hidden="false" outlineLevel="0" max="10" min="10" style="0" width="60"/>
  </cols>
  <sheetData>
    <row r="1" customFormat="false" ht="19.7" hidden="false" customHeight="false" outlineLevel="0" collapsed="false">
      <c r="A1" s="1" t="s">
        <v>4816</v>
      </c>
    </row>
    <row r="2" customFormat="false" ht="27.75" hidden="false" customHeight="true" outlineLevel="0" collapsed="false">
      <c r="A2" s="5" t="s">
        <v>4817</v>
      </c>
      <c r="B2" s="6" t="s">
        <v>4818</v>
      </c>
    </row>
    <row r="3" customFormat="false" ht="27.75" hidden="false" customHeight="true" outlineLevel="0" collapsed="false">
      <c r="A3" s="5" t="s">
        <v>4819</v>
      </c>
      <c r="B3" s="6" t="s">
        <v>4820</v>
      </c>
    </row>
    <row r="4" customFormat="false" ht="27.75" hidden="false" customHeight="true" outlineLevel="0" collapsed="false">
      <c r="A4" s="5" t="s">
        <v>4821</v>
      </c>
      <c r="B4" s="6" t="s">
        <v>4822</v>
      </c>
    </row>
    <row r="5" customFormat="false" ht="42" hidden="false" customHeight="true" outlineLevel="0" collapsed="false">
      <c r="A5" s="5" t="s">
        <v>4823</v>
      </c>
      <c r="B5" s="6" t="s">
        <v>4824</v>
      </c>
    </row>
    <row r="6" customFormat="false" ht="42" hidden="false" customHeight="true" outlineLevel="0" collapsed="false">
      <c r="A6" s="5" t="s">
        <v>4825</v>
      </c>
      <c r="B6" s="6" t="s">
        <v>4826</v>
      </c>
    </row>
    <row r="7" customFormat="false" ht="55.5" hidden="false" customHeight="true" outlineLevel="0" collapsed="false">
      <c r="A7" s="5" t="s">
        <v>4827</v>
      </c>
      <c r="B7" s="6" t="s">
        <v>4828</v>
      </c>
    </row>
    <row r="8" customFormat="false" ht="42" hidden="false" customHeight="true" outlineLevel="0" collapsed="false">
      <c r="A8" s="5" t="s">
        <v>4829</v>
      </c>
      <c r="B8" s="6" t="s">
        <v>4830</v>
      </c>
    </row>
    <row r="10" customFormat="false" ht="15" hidden="false" customHeight="false" outlineLevel="0" collapsed="false">
      <c r="A10" s="3" t="s">
        <v>4831</v>
      </c>
      <c r="B10" s="4"/>
    </row>
    <row r="11" customFormat="false" ht="31.5" hidden="false" customHeight="true" outlineLevel="0" collapsed="false">
      <c r="A11" s="13" t="s">
        <v>4832</v>
      </c>
      <c r="B11" s="13" t="s">
        <v>179</v>
      </c>
      <c r="C11" s="13" t="s">
        <v>3419</v>
      </c>
      <c r="D11" s="13" t="s">
        <v>186</v>
      </c>
      <c r="E11" s="13" t="s">
        <v>188</v>
      </c>
      <c r="F11" s="13" t="s">
        <v>40</v>
      </c>
      <c r="G11" s="13" t="s">
        <v>3420</v>
      </c>
      <c r="H11" s="13" t="s">
        <v>4833</v>
      </c>
      <c r="I11" s="13" t="s">
        <v>191</v>
      </c>
      <c r="J11" s="13" t="s">
        <v>4814</v>
      </c>
    </row>
    <row r="12" customFormat="false" ht="39.75" hidden="false" customHeight="true" outlineLevel="0" collapsed="false">
      <c r="A12" s="14" t="s">
        <v>4834</v>
      </c>
      <c r="B12" s="14" t="s">
        <v>247</v>
      </c>
      <c r="C12" s="14" t="s">
        <v>221</v>
      </c>
      <c r="D12" s="14" t="s">
        <v>759</v>
      </c>
      <c r="E12" s="15" t="n">
        <v>29839</v>
      </c>
      <c r="F12" s="14" t="n">
        <v>14.4</v>
      </c>
      <c r="G12" s="14" t="n">
        <v>10</v>
      </c>
      <c r="H12" s="6" t="s">
        <v>762</v>
      </c>
      <c r="I12" s="16" t="s">
        <v>761</v>
      </c>
      <c r="J12" s="6" t="s">
        <v>766</v>
      </c>
    </row>
    <row r="13" customFormat="false" ht="39.75" hidden="false" customHeight="true" outlineLevel="0" collapsed="false">
      <c r="A13" s="14" t="s">
        <v>4834</v>
      </c>
      <c r="B13" s="14" t="s">
        <v>247</v>
      </c>
      <c r="C13" s="14" t="s">
        <v>221</v>
      </c>
      <c r="D13" s="14" t="s">
        <v>759</v>
      </c>
      <c r="E13" s="15" t="n">
        <v>29839</v>
      </c>
      <c r="F13" s="14" t="n">
        <v>12</v>
      </c>
      <c r="G13" s="14" t="n">
        <v>10</v>
      </c>
      <c r="H13" s="6" t="s">
        <v>771</v>
      </c>
      <c r="I13" s="16" t="s">
        <v>770</v>
      </c>
      <c r="J13" s="6" t="s">
        <v>774</v>
      </c>
    </row>
    <row r="14" customFormat="false" ht="39.75" hidden="false" customHeight="true" outlineLevel="0" collapsed="false">
      <c r="A14" s="14" t="s">
        <v>4835</v>
      </c>
      <c r="B14" s="14" t="s">
        <v>247</v>
      </c>
      <c r="C14" s="14" t="s">
        <v>442</v>
      </c>
      <c r="D14" s="14" t="s">
        <v>446</v>
      </c>
      <c r="E14" s="15" t="n">
        <v>6300</v>
      </c>
      <c r="F14" s="14" t="n">
        <v>106.3</v>
      </c>
      <c r="G14" s="14" t="n">
        <v>8</v>
      </c>
      <c r="H14" s="6" t="s">
        <v>449</v>
      </c>
      <c r="I14" s="16" t="s">
        <v>448</v>
      </c>
      <c r="J14" s="6" t="s">
        <v>456</v>
      </c>
    </row>
    <row r="15" customFormat="false" ht="39.75" hidden="false" customHeight="true" outlineLevel="0" collapsed="false">
      <c r="A15" s="14" t="s">
        <v>4834</v>
      </c>
      <c r="B15" s="14" t="s">
        <v>220</v>
      </c>
      <c r="C15" s="14" t="s">
        <v>221</v>
      </c>
      <c r="D15" s="14" t="s">
        <v>311</v>
      </c>
      <c r="E15" s="15" t="n">
        <v>10660</v>
      </c>
      <c r="F15" s="14" t="n">
        <v>40.7</v>
      </c>
      <c r="G15" s="14" t="n">
        <v>8</v>
      </c>
      <c r="H15" s="6" t="s">
        <v>600</v>
      </c>
      <c r="I15" s="16" t="s">
        <v>599</v>
      </c>
      <c r="J15" s="6" t="s">
        <v>604</v>
      </c>
    </row>
    <row r="16" customFormat="false" ht="39.75" hidden="false" customHeight="true" outlineLevel="0" collapsed="false">
      <c r="A16" s="14" t="s">
        <v>4834</v>
      </c>
      <c r="B16" s="14" t="s">
        <v>247</v>
      </c>
      <c r="C16" s="14" t="s">
        <v>442</v>
      </c>
      <c r="D16" s="14" t="s">
        <v>2920</v>
      </c>
      <c r="E16" s="15" t="n">
        <v>85000</v>
      </c>
      <c r="F16" s="14" t="n">
        <v>7.2</v>
      </c>
      <c r="G16" s="14" t="n">
        <v>8</v>
      </c>
      <c r="H16" s="6" t="s">
        <v>2922</v>
      </c>
      <c r="I16" s="16" t="s">
        <v>2921</v>
      </c>
      <c r="J16" s="6" t="s">
        <v>2926</v>
      </c>
    </row>
    <row r="17" customFormat="false" ht="39.75" hidden="false" customHeight="true" outlineLevel="0" collapsed="false">
      <c r="A17" s="14" t="s">
        <v>4834</v>
      </c>
      <c r="B17" s="14" t="s">
        <v>220</v>
      </c>
      <c r="C17" s="14" t="s">
        <v>221</v>
      </c>
      <c r="D17" s="14" t="s">
        <v>541</v>
      </c>
      <c r="E17" s="15" t="n">
        <v>22067</v>
      </c>
      <c r="F17" s="14" t="n">
        <v>221.1</v>
      </c>
      <c r="G17" s="14" t="n">
        <v>7</v>
      </c>
      <c r="H17" s="6" t="s">
        <v>544</v>
      </c>
      <c r="I17" s="16" t="s">
        <v>543</v>
      </c>
      <c r="J17" s="6" t="s">
        <v>549</v>
      </c>
    </row>
    <row r="18" customFormat="false" ht="39.75" hidden="false" customHeight="true" outlineLevel="0" collapsed="false">
      <c r="A18" s="14" t="s">
        <v>4835</v>
      </c>
      <c r="B18" s="14" t="s">
        <v>374</v>
      </c>
      <c r="C18" s="14" t="s">
        <v>221</v>
      </c>
      <c r="D18" s="14" t="s">
        <v>2765</v>
      </c>
      <c r="E18" s="15" t="n">
        <v>56288</v>
      </c>
      <c r="F18" s="14" t="n">
        <v>3.7</v>
      </c>
      <c r="G18" s="14" t="n">
        <v>7</v>
      </c>
      <c r="H18" s="6" t="s">
        <v>2767</v>
      </c>
      <c r="I18" s="16" t="s">
        <v>2766</v>
      </c>
      <c r="J18" s="6" t="s">
        <v>2770</v>
      </c>
    </row>
    <row r="19" customFormat="false" ht="39.75" hidden="false" customHeight="true" outlineLevel="0" collapsed="false">
      <c r="A19" s="14" t="s">
        <v>4836</v>
      </c>
      <c r="B19" s="14" t="s">
        <v>247</v>
      </c>
      <c r="C19" s="14" t="s">
        <v>221</v>
      </c>
      <c r="D19" s="14" t="s">
        <v>1850</v>
      </c>
      <c r="E19" s="15" t="n">
        <v>82006</v>
      </c>
      <c r="F19" s="14" t="n">
        <v>78</v>
      </c>
      <c r="G19" s="14" t="n">
        <v>6</v>
      </c>
      <c r="H19" s="6" t="s">
        <v>1852</v>
      </c>
      <c r="I19" s="16" t="s">
        <v>1851</v>
      </c>
      <c r="J19" s="6"/>
    </row>
    <row r="20" customFormat="false" ht="39.75" hidden="false" customHeight="true" outlineLevel="0" collapsed="false">
      <c r="A20" s="14" t="s">
        <v>4834</v>
      </c>
      <c r="B20" s="14" t="s">
        <v>247</v>
      </c>
      <c r="C20" s="14" t="s">
        <v>442</v>
      </c>
      <c r="D20" s="14" t="s">
        <v>926</v>
      </c>
      <c r="E20" s="15" t="n">
        <v>18900</v>
      </c>
      <c r="F20" s="14" t="n">
        <v>92.8</v>
      </c>
      <c r="G20" s="14" t="n">
        <v>5</v>
      </c>
      <c r="H20" s="6" t="s">
        <v>928</v>
      </c>
      <c r="I20" s="16" t="s">
        <v>927</v>
      </c>
      <c r="J20" s="6" t="s">
        <v>933</v>
      </c>
    </row>
    <row r="21" customFormat="false" ht="39.75" hidden="false" customHeight="true" outlineLevel="0" collapsed="false">
      <c r="A21" s="14" t="s">
        <v>4837</v>
      </c>
      <c r="B21" s="14" t="s">
        <v>247</v>
      </c>
      <c r="C21" s="14" t="s">
        <v>442</v>
      </c>
      <c r="D21" s="14" t="s">
        <v>945</v>
      </c>
      <c r="E21" s="15" t="n">
        <v>5600</v>
      </c>
      <c r="F21" s="14" t="n">
        <v>52.6</v>
      </c>
      <c r="G21" s="14" t="n">
        <v>5</v>
      </c>
      <c r="H21" s="6" t="s">
        <v>947</v>
      </c>
      <c r="I21" s="16" t="s">
        <v>946</v>
      </c>
      <c r="J21" s="6" t="s">
        <v>951</v>
      </c>
    </row>
    <row r="22" customFormat="false" ht="39.75" hidden="false" customHeight="true" outlineLevel="0" collapsed="false">
      <c r="A22" s="14" t="s">
        <v>4834</v>
      </c>
      <c r="B22" s="14" t="s">
        <v>247</v>
      </c>
      <c r="C22" s="14" t="s">
        <v>442</v>
      </c>
      <c r="D22" s="14" t="s">
        <v>2386</v>
      </c>
      <c r="E22" s="15" t="n">
        <v>11000</v>
      </c>
      <c r="F22" s="14" t="n">
        <v>13.6</v>
      </c>
      <c r="G22" s="14" t="n">
        <v>5</v>
      </c>
      <c r="H22" s="6" t="s">
        <v>2388</v>
      </c>
      <c r="I22" s="16" t="s">
        <v>2387</v>
      </c>
      <c r="J22" s="6" t="s">
        <v>2391</v>
      </c>
    </row>
    <row r="23" customFormat="false" ht="39.75" hidden="false" customHeight="true" outlineLevel="0" collapsed="false">
      <c r="A23" s="14" t="s">
        <v>4836</v>
      </c>
      <c r="B23" s="14" t="s">
        <v>247</v>
      </c>
      <c r="C23" s="14" t="s">
        <v>1194</v>
      </c>
      <c r="D23" s="14" t="s">
        <v>1196</v>
      </c>
      <c r="E23" s="15" t="n">
        <v>15982</v>
      </c>
      <c r="F23" s="14" t="n">
        <v>80</v>
      </c>
      <c r="G23" s="14" t="n">
        <v>4</v>
      </c>
      <c r="H23" s="6" t="s">
        <v>1198</v>
      </c>
      <c r="I23" s="16" t="s">
        <v>1197</v>
      </c>
      <c r="J23" s="6" t="s">
        <v>1201</v>
      </c>
    </row>
    <row r="24" customFormat="false" ht="39.75" hidden="false" customHeight="true" outlineLevel="0" collapsed="false">
      <c r="A24" s="14" t="s">
        <v>4837</v>
      </c>
      <c r="B24" s="14" t="s">
        <v>247</v>
      </c>
      <c r="C24" s="14" t="s">
        <v>442</v>
      </c>
      <c r="D24" s="14" t="s">
        <v>1252</v>
      </c>
      <c r="E24" s="15" t="n">
        <v>14300</v>
      </c>
      <c r="F24" s="14" t="n">
        <v>71.9</v>
      </c>
      <c r="G24" s="14" t="n">
        <v>4</v>
      </c>
      <c r="H24" s="6" t="s">
        <v>1254</v>
      </c>
      <c r="I24" s="16" t="s">
        <v>1253</v>
      </c>
      <c r="J24" s="6" t="s">
        <v>1259</v>
      </c>
    </row>
    <row r="25" customFormat="false" ht="39.75" hidden="false" customHeight="true" outlineLevel="0" collapsed="false">
      <c r="A25" s="14" t="s">
        <v>4836</v>
      </c>
      <c r="B25" s="14" t="s">
        <v>374</v>
      </c>
      <c r="C25" s="14" t="s">
        <v>221</v>
      </c>
      <c r="D25" s="14" t="s">
        <v>2718</v>
      </c>
      <c r="E25" s="15" t="n">
        <v>98816</v>
      </c>
      <c r="F25" s="14" t="n">
        <v>46.9</v>
      </c>
      <c r="G25" s="14" t="n">
        <v>4</v>
      </c>
      <c r="H25" s="6" t="s">
        <v>2720</v>
      </c>
      <c r="I25" s="16" t="s">
        <v>2719</v>
      </c>
      <c r="J25" s="6"/>
    </row>
    <row r="26" customFormat="false" ht="39.75" hidden="false" customHeight="true" outlineLevel="0" collapsed="false">
      <c r="A26" s="14" t="s">
        <v>4836</v>
      </c>
      <c r="B26" s="14" t="s">
        <v>220</v>
      </c>
      <c r="C26" s="14" t="s">
        <v>221</v>
      </c>
      <c r="D26" s="14" t="s">
        <v>1991</v>
      </c>
      <c r="E26" s="15" t="n">
        <v>9464</v>
      </c>
      <c r="F26" s="14" t="n">
        <v>29.9</v>
      </c>
      <c r="G26" s="14" t="n">
        <v>4</v>
      </c>
      <c r="H26" s="6" t="s">
        <v>1993</v>
      </c>
      <c r="I26" s="16" t="s">
        <v>1992</v>
      </c>
      <c r="J26" s="6" t="s">
        <v>1996</v>
      </c>
    </row>
    <row r="27" customFormat="false" ht="39.75" hidden="false" customHeight="true" outlineLevel="0" collapsed="false">
      <c r="A27" s="14" t="s">
        <v>4835</v>
      </c>
      <c r="B27" s="14" t="s">
        <v>220</v>
      </c>
      <c r="C27" s="14" t="s">
        <v>221</v>
      </c>
      <c r="D27" s="14" t="s">
        <v>2805</v>
      </c>
      <c r="E27" s="15" t="n">
        <v>40138</v>
      </c>
      <c r="F27" s="14" t="n">
        <v>27.3</v>
      </c>
      <c r="G27" s="14" t="n">
        <v>4</v>
      </c>
      <c r="H27" s="6" t="s">
        <v>2808</v>
      </c>
      <c r="I27" s="16" t="s">
        <v>2807</v>
      </c>
      <c r="J27" s="6" t="s">
        <v>2810</v>
      </c>
    </row>
    <row r="28" customFormat="false" ht="39.75" hidden="false" customHeight="true" outlineLevel="0" collapsed="false">
      <c r="A28" s="14" t="s">
        <v>4834</v>
      </c>
      <c r="B28" s="14" t="s">
        <v>247</v>
      </c>
      <c r="C28" s="14" t="s">
        <v>442</v>
      </c>
      <c r="D28" s="14" t="s">
        <v>2231</v>
      </c>
      <c r="E28" s="15" t="n">
        <v>5100</v>
      </c>
      <c r="F28" s="14" t="n">
        <v>24.5</v>
      </c>
      <c r="G28" s="14" t="n">
        <v>4</v>
      </c>
      <c r="H28" s="6" t="s">
        <v>2233</v>
      </c>
      <c r="I28" s="16" t="s">
        <v>2232</v>
      </c>
      <c r="J28" s="6" t="s">
        <v>2238</v>
      </c>
    </row>
    <row r="29" customFormat="false" ht="39.75" hidden="false" customHeight="true" outlineLevel="0" collapsed="false">
      <c r="A29" s="14" t="s">
        <v>4837</v>
      </c>
      <c r="B29" s="14" t="s">
        <v>247</v>
      </c>
      <c r="C29" s="14" t="s">
        <v>442</v>
      </c>
      <c r="D29" s="14" t="s">
        <v>3008</v>
      </c>
      <c r="E29" s="15" t="n">
        <v>47300</v>
      </c>
      <c r="F29" s="14" t="n">
        <v>20.7</v>
      </c>
      <c r="G29" s="14" t="n">
        <v>4</v>
      </c>
      <c r="H29" s="6" t="s">
        <v>3010</v>
      </c>
      <c r="I29" s="16" t="s">
        <v>3009</v>
      </c>
      <c r="J29" s="6" t="s">
        <v>3013</v>
      </c>
    </row>
    <row r="30" customFormat="false" ht="39.75" hidden="false" customHeight="true" outlineLevel="0" collapsed="false">
      <c r="A30" s="14" t="s">
        <v>4837</v>
      </c>
      <c r="B30" s="14" t="s">
        <v>247</v>
      </c>
      <c r="C30" s="14" t="s">
        <v>221</v>
      </c>
      <c r="D30" s="14" t="s">
        <v>2818</v>
      </c>
      <c r="E30" s="15" t="n">
        <v>33656</v>
      </c>
      <c r="F30" s="14" t="n">
        <v>7.8</v>
      </c>
      <c r="G30" s="14" t="n">
        <v>4</v>
      </c>
      <c r="H30" s="6" t="s">
        <v>3255</v>
      </c>
      <c r="I30" s="16" t="s">
        <v>3254</v>
      </c>
      <c r="J30" s="6" t="s">
        <v>3257</v>
      </c>
    </row>
    <row r="31" customFormat="false" ht="39.75" hidden="false" customHeight="true" outlineLevel="0" collapsed="false">
      <c r="A31" s="14" t="s">
        <v>4834</v>
      </c>
      <c r="B31" s="14" t="s">
        <v>247</v>
      </c>
      <c r="C31" s="14" t="s">
        <v>442</v>
      </c>
      <c r="D31" s="14" t="s">
        <v>1585</v>
      </c>
      <c r="E31" s="15" t="n">
        <v>8600</v>
      </c>
      <c r="F31" s="14" t="n">
        <v>169.9</v>
      </c>
      <c r="G31" s="14" t="n">
        <v>3</v>
      </c>
      <c r="H31" s="6" t="s">
        <v>1587</v>
      </c>
      <c r="I31" s="16" t="s">
        <v>1586</v>
      </c>
      <c r="J31" s="6" t="s">
        <v>1591</v>
      </c>
    </row>
    <row r="32" customFormat="false" ht="39.75" hidden="false" customHeight="true" outlineLevel="0" collapsed="false">
      <c r="A32" s="14" t="s">
        <v>4836</v>
      </c>
      <c r="B32" s="14" t="s">
        <v>247</v>
      </c>
      <c r="C32" s="14" t="s">
        <v>442</v>
      </c>
      <c r="D32" s="14" t="s">
        <v>1467</v>
      </c>
      <c r="E32" s="15" t="n">
        <v>27447</v>
      </c>
      <c r="F32" s="14" t="n">
        <v>122.1</v>
      </c>
      <c r="G32" s="14" t="n">
        <v>3</v>
      </c>
      <c r="H32" s="6" t="s">
        <v>1470</v>
      </c>
      <c r="I32" s="16" t="s">
        <v>1469</v>
      </c>
      <c r="J32" s="6" t="s">
        <v>1472</v>
      </c>
    </row>
    <row r="33" customFormat="false" ht="39.75" hidden="false" customHeight="true" outlineLevel="0" collapsed="false">
      <c r="A33" s="14" t="s">
        <v>4834</v>
      </c>
      <c r="B33" s="14" t="s">
        <v>247</v>
      </c>
      <c r="C33" s="14" t="s">
        <v>442</v>
      </c>
      <c r="D33" s="14" t="s">
        <v>2894</v>
      </c>
      <c r="E33" s="15" t="n">
        <v>68600</v>
      </c>
      <c r="F33" s="14" t="n">
        <v>113</v>
      </c>
      <c r="G33" s="14" t="n">
        <v>3</v>
      </c>
      <c r="H33" s="6" t="s">
        <v>2896</v>
      </c>
      <c r="I33" s="16" t="s">
        <v>2895</v>
      </c>
      <c r="J33" s="6" t="s">
        <v>2901</v>
      </c>
    </row>
    <row r="34" customFormat="false" ht="39.75" hidden="false" customHeight="true" outlineLevel="0" collapsed="false">
      <c r="A34" s="14" t="s">
        <v>4836</v>
      </c>
      <c r="B34" s="14" t="s">
        <v>247</v>
      </c>
      <c r="C34" s="14" t="s">
        <v>442</v>
      </c>
      <c r="D34" s="14" t="s">
        <v>1595</v>
      </c>
      <c r="E34" s="15" t="n">
        <v>5400</v>
      </c>
      <c r="F34" s="14" t="n">
        <v>81.8</v>
      </c>
      <c r="G34" s="14" t="n">
        <v>3</v>
      </c>
      <c r="H34" s="6" t="s">
        <v>1597</v>
      </c>
      <c r="I34" s="16" t="s">
        <v>1596</v>
      </c>
      <c r="J34" s="6" t="s">
        <v>1603</v>
      </c>
    </row>
    <row r="35" customFormat="false" ht="39.75" hidden="false" customHeight="true" outlineLevel="0" collapsed="false">
      <c r="A35" s="14" t="s">
        <v>4834</v>
      </c>
      <c r="B35" s="14" t="s">
        <v>220</v>
      </c>
      <c r="C35" s="14" t="s">
        <v>221</v>
      </c>
      <c r="D35" s="14" t="s">
        <v>1475</v>
      </c>
      <c r="E35" s="15" t="n">
        <v>18320</v>
      </c>
      <c r="F35" s="14" t="n">
        <v>78.1</v>
      </c>
      <c r="G35" s="14" t="n">
        <v>3</v>
      </c>
      <c r="H35" s="6" t="s">
        <v>1478</v>
      </c>
      <c r="I35" s="16" t="s">
        <v>1477</v>
      </c>
      <c r="J35" s="6" t="s">
        <v>1481</v>
      </c>
    </row>
    <row r="36" customFormat="false" ht="39.75" hidden="false" customHeight="true" outlineLevel="0" collapsed="false">
      <c r="A36" s="14" t="s">
        <v>4836</v>
      </c>
      <c r="B36" s="14" t="s">
        <v>220</v>
      </c>
      <c r="C36" s="14" t="s">
        <v>221</v>
      </c>
      <c r="D36" s="14" t="s">
        <v>1475</v>
      </c>
      <c r="E36" s="15" t="n">
        <v>18320</v>
      </c>
      <c r="F36" s="14" t="n">
        <v>57.6</v>
      </c>
      <c r="G36" s="14" t="n">
        <v>3</v>
      </c>
      <c r="H36" s="6" t="s">
        <v>1485</v>
      </c>
      <c r="I36" s="16" t="s">
        <v>1484</v>
      </c>
      <c r="J36" s="6" t="s">
        <v>1489</v>
      </c>
    </row>
    <row r="37" customFormat="false" ht="39.75" hidden="false" customHeight="true" outlineLevel="0" collapsed="false">
      <c r="A37" s="14" t="s">
        <v>4837</v>
      </c>
      <c r="B37" s="14" t="s">
        <v>247</v>
      </c>
      <c r="C37" s="14" t="s">
        <v>221</v>
      </c>
      <c r="D37" s="14" t="s">
        <v>2818</v>
      </c>
      <c r="E37" s="15" t="n">
        <v>33656</v>
      </c>
      <c r="F37" s="14" t="n">
        <v>35.5</v>
      </c>
      <c r="G37" s="14" t="n">
        <v>3</v>
      </c>
      <c r="H37" s="6" t="s">
        <v>2820</v>
      </c>
      <c r="I37" s="16" t="s">
        <v>2819</v>
      </c>
      <c r="J37" s="6"/>
    </row>
    <row r="38" customFormat="false" ht="39.75" hidden="false" customHeight="true" outlineLevel="0" collapsed="false">
      <c r="A38" s="14" t="s">
        <v>4835</v>
      </c>
      <c r="B38" s="14" t="s">
        <v>247</v>
      </c>
      <c r="C38" s="14" t="s">
        <v>442</v>
      </c>
      <c r="D38" s="14" t="s">
        <v>2303</v>
      </c>
      <c r="E38" s="15" t="n">
        <v>11600</v>
      </c>
      <c r="F38" s="14" t="n">
        <v>31.4</v>
      </c>
      <c r="G38" s="14" t="n">
        <v>3</v>
      </c>
      <c r="H38" s="6" t="s">
        <v>2305</v>
      </c>
      <c r="I38" s="16" t="s">
        <v>2304</v>
      </c>
      <c r="J38" s="6" t="s">
        <v>2308</v>
      </c>
    </row>
    <row r="39" customFormat="false" ht="39.75" hidden="false" customHeight="true" outlineLevel="0" collapsed="false">
      <c r="A39" s="14" t="s">
        <v>4835</v>
      </c>
      <c r="B39" s="14" t="s">
        <v>247</v>
      </c>
      <c r="C39" s="14" t="s">
        <v>442</v>
      </c>
      <c r="D39" s="14" t="s">
        <v>1585</v>
      </c>
      <c r="E39" s="15" t="n">
        <v>8600</v>
      </c>
      <c r="F39" s="14" t="n">
        <v>25.8</v>
      </c>
      <c r="G39" s="14" t="n">
        <v>3</v>
      </c>
      <c r="H39" s="6" t="s">
        <v>2550</v>
      </c>
      <c r="I39" s="16" t="s">
        <v>2549</v>
      </c>
      <c r="J39" s="6" t="s">
        <v>2554</v>
      </c>
    </row>
    <row r="40" customFormat="false" ht="39.75" hidden="false" customHeight="true" outlineLevel="0" collapsed="false">
      <c r="A40" s="14" t="s">
        <v>4836</v>
      </c>
      <c r="B40" s="14" t="s">
        <v>247</v>
      </c>
      <c r="C40" s="14" t="s">
        <v>442</v>
      </c>
      <c r="D40" s="14" t="s">
        <v>3131</v>
      </c>
      <c r="E40" s="15" t="n">
        <v>9700</v>
      </c>
      <c r="F40" s="14" t="n">
        <v>3.8</v>
      </c>
      <c r="G40" s="14" t="n">
        <v>3</v>
      </c>
      <c r="H40" s="6" t="s">
        <v>3133</v>
      </c>
      <c r="I40" s="16" t="s">
        <v>3132</v>
      </c>
      <c r="J40" s="6" t="s">
        <v>3138</v>
      </c>
    </row>
    <row r="41" customFormat="false" ht="39.75" hidden="false" customHeight="true" outlineLevel="0" collapsed="false">
      <c r="A41" s="14" t="s">
        <v>4836</v>
      </c>
      <c r="B41" s="14" t="s">
        <v>247</v>
      </c>
      <c r="C41" s="14" t="s">
        <v>442</v>
      </c>
      <c r="D41" s="14" t="s">
        <v>3683</v>
      </c>
      <c r="E41" s="15" t="n">
        <v>13200</v>
      </c>
      <c r="F41" s="14" t="n">
        <v>408.1</v>
      </c>
      <c r="G41" s="14" t="n">
        <v>2</v>
      </c>
      <c r="H41" s="6" t="s">
        <v>3684</v>
      </c>
      <c r="I41" s="16" t="s">
        <v>3690</v>
      </c>
      <c r="J41" s="6" t="s">
        <v>3687</v>
      </c>
    </row>
    <row r="42" customFormat="false" ht="39.75" hidden="false" customHeight="true" outlineLevel="0" collapsed="false">
      <c r="A42" s="14" t="s">
        <v>4836</v>
      </c>
      <c r="B42" s="14" t="s">
        <v>247</v>
      </c>
      <c r="C42" s="14" t="s">
        <v>442</v>
      </c>
      <c r="D42" s="14" t="s">
        <v>3708</v>
      </c>
      <c r="E42" s="15" t="n">
        <v>36000</v>
      </c>
      <c r="F42" s="14" t="n">
        <v>356.8</v>
      </c>
      <c r="G42" s="14" t="n">
        <v>2</v>
      </c>
      <c r="H42" s="6" t="s">
        <v>3709</v>
      </c>
      <c r="I42" s="16" t="s">
        <v>3714</v>
      </c>
      <c r="J42" s="6" t="s">
        <v>3712</v>
      </c>
    </row>
    <row r="43" customFormat="false" ht="39.75" hidden="false" customHeight="true" outlineLevel="0" collapsed="false">
      <c r="A43" s="14" t="s">
        <v>4835</v>
      </c>
      <c r="B43" s="14" t="s">
        <v>247</v>
      </c>
      <c r="C43" s="14" t="s">
        <v>442</v>
      </c>
      <c r="D43" s="14" t="s">
        <v>3748</v>
      </c>
      <c r="E43" s="15" t="n">
        <v>9700</v>
      </c>
      <c r="F43" s="14" t="n">
        <v>309.5</v>
      </c>
      <c r="G43" s="14" t="n">
        <v>2</v>
      </c>
      <c r="H43" s="6" t="s">
        <v>3750</v>
      </c>
      <c r="I43" s="16" t="s">
        <v>3756</v>
      </c>
      <c r="J43" s="6" t="s">
        <v>3753</v>
      </c>
    </row>
    <row r="44" customFormat="false" ht="39.75" hidden="false" customHeight="true" outlineLevel="0" collapsed="false">
      <c r="A44" s="14" t="s">
        <v>4837</v>
      </c>
      <c r="B44" s="14" t="s">
        <v>247</v>
      </c>
      <c r="C44" s="14" t="s">
        <v>442</v>
      </c>
      <c r="D44" s="14" t="s">
        <v>4243</v>
      </c>
      <c r="E44" s="15" t="n">
        <v>88000</v>
      </c>
      <c r="F44" s="14" t="n">
        <v>39.4</v>
      </c>
      <c r="G44" s="14" t="n">
        <v>2</v>
      </c>
      <c r="H44" s="6" t="s">
        <v>4245</v>
      </c>
      <c r="I44" s="16" t="s">
        <v>4251</v>
      </c>
      <c r="J44" s="6" t="s">
        <v>4248</v>
      </c>
    </row>
    <row r="45" customFormat="false" ht="39.75" hidden="false" customHeight="true" outlineLevel="0" collapsed="false">
      <c r="A45" s="14" t="s">
        <v>4836</v>
      </c>
      <c r="B45" s="14" t="s">
        <v>374</v>
      </c>
      <c r="C45" s="14" t="s">
        <v>221</v>
      </c>
      <c r="D45" s="14" t="s">
        <v>4838</v>
      </c>
      <c r="E45" s="15" t="n">
        <v>56889</v>
      </c>
      <c r="F45" s="14" t="n">
        <v>38.1</v>
      </c>
      <c r="G45" s="14" t="n">
        <v>2</v>
      </c>
      <c r="H45" s="6" t="s">
        <v>4839</v>
      </c>
      <c r="I45" s="16" t="s">
        <v>4840</v>
      </c>
      <c r="J45" s="6"/>
    </row>
    <row r="46" customFormat="false" ht="39.75" hidden="false" customHeight="true" outlineLevel="0" collapsed="false">
      <c r="A46" s="14" t="s">
        <v>4836</v>
      </c>
      <c r="B46" s="14" t="s">
        <v>374</v>
      </c>
      <c r="C46" s="14" t="s">
        <v>221</v>
      </c>
      <c r="D46" s="14" t="s">
        <v>4838</v>
      </c>
      <c r="E46" s="15" t="n">
        <v>56889</v>
      </c>
      <c r="F46" s="14" t="n">
        <v>38.1</v>
      </c>
      <c r="G46" s="14" t="n">
        <v>2</v>
      </c>
      <c r="H46" s="6" t="s">
        <v>4839</v>
      </c>
      <c r="I46" s="16" t="s">
        <v>4841</v>
      </c>
      <c r="J46" s="6"/>
    </row>
    <row r="47" customFormat="false" ht="39.75" hidden="false" customHeight="true" outlineLevel="0" collapsed="false">
      <c r="A47" s="14" t="s">
        <v>4834</v>
      </c>
      <c r="B47" s="14" t="s">
        <v>247</v>
      </c>
      <c r="C47" s="14" t="s">
        <v>442</v>
      </c>
      <c r="D47" s="14" t="s">
        <v>4257</v>
      </c>
      <c r="E47" s="15" t="n">
        <v>15900</v>
      </c>
      <c r="F47" s="14" t="n">
        <v>38</v>
      </c>
      <c r="G47" s="14" t="n">
        <v>2</v>
      </c>
      <c r="H47" s="6" t="s">
        <v>4258</v>
      </c>
      <c r="I47" s="16" t="s">
        <v>4262</v>
      </c>
      <c r="J47" s="6" t="s">
        <v>4261</v>
      </c>
    </row>
    <row r="48" customFormat="false" ht="39.75" hidden="false" customHeight="true" outlineLevel="0" collapsed="false">
      <c r="A48" s="14" t="s">
        <v>4836</v>
      </c>
      <c r="B48" s="14" t="s">
        <v>220</v>
      </c>
      <c r="C48" s="14" t="s">
        <v>221</v>
      </c>
      <c r="D48" s="14" t="s">
        <v>4842</v>
      </c>
      <c r="E48" s="15" t="n">
        <v>39940</v>
      </c>
      <c r="F48" s="14" t="n">
        <v>24.3</v>
      </c>
      <c r="G48" s="14" t="n">
        <v>2</v>
      </c>
      <c r="H48" s="6" t="s">
        <v>4843</v>
      </c>
      <c r="I48" s="16" t="s">
        <v>4844</v>
      </c>
      <c r="J48" s="6" t="s">
        <v>4845</v>
      </c>
    </row>
    <row r="49" customFormat="false" ht="39.75" hidden="false" customHeight="true" outlineLevel="0" collapsed="false">
      <c r="A49" s="14" t="s">
        <v>4836</v>
      </c>
      <c r="B49" s="14" t="s">
        <v>374</v>
      </c>
      <c r="C49" s="14" t="s">
        <v>221</v>
      </c>
      <c r="D49" s="14" t="s">
        <v>4846</v>
      </c>
      <c r="E49" s="15" t="n">
        <v>42721</v>
      </c>
      <c r="F49" s="14" t="n">
        <v>14.1</v>
      </c>
      <c r="G49" s="14" t="n">
        <v>2</v>
      </c>
      <c r="H49" s="6" t="s">
        <v>4847</v>
      </c>
      <c r="I49" s="16" t="s">
        <v>4848</v>
      </c>
      <c r="J49" s="6"/>
    </row>
    <row r="50" customFormat="false" ht="39.75" hidden="false" customHeight="true" outlineLevel="0" collapsed="false">
      <c r="A50" s="14" t="s">
        <v>4835</v>
      </c>
      <c r="B50" s="14" t="s">
        <v>374</v>
      </c>
      <c r="C50" s="14" t="s">
        <v>221</v>
      </c>
      <c r="D50" s="14" t="s">
        <v>4849</v>
      </c>
      <c r="E50" s="15" t="n">
        <v>38968</v>
      </c>
      <c r="F50" s="14" t="n">
        <v>8.5</v>
      </c>
      <c r="G50" s="14" t="n">
        <v>2</v>
      </c>
      <c r="H50" s="6" t="s">
        <v>4850</v>
      </c>
      <c r="I50" s="16" t="s">
        <v>4851</v>
      </c>
      <c r="J50" s="6"/>
    </row>
    <row r="51" customFormat="false" ht="39.75" hidden="false" customHeight="true" outlineLevel="0" collapsed="false">
      <c r="A51" s="14" t="s">
        <v>4836</v>
      </c>
      <c r="B51" s="14" t="s">
        <v>374</v>
      </c>
      <c r="C51" s="14" t="s">
        <v>221</v>
      </c>
      <c r="D51" s="14" t="s">
        <v>4849</v>
      </c>
      <c r="E51" s="15" t="n">
        <v>38968</v>
      </c>
      <c r="F51" s="14" t="n">
        <v>5.1</v>
      </c>
      <c r="G51" s="14" t="n">
        <v>2</v>
      </c>
      <c r="H51" s="6" t="s">
        <v>4852</v>
      </c>
      <c r="I51" s="16" t="s">
        <v>4853</v>
      </c>
      <c r="J51" s="6"/>
    </row>
    <row r="52" customFormat="false" ht="39.75" hidden="false" customHeight="true" outlineLevel="0" collapsed="false">
      <c r="A52" s="14" t="s">
        <v>4834</v>
      </c>
      <c r="B52" s="14" t="s">
        <v>247</v>
      </c>
      <c r="C52" s="14" t="s">
        <v>442</v>
      </c>
      <c r="D52" s="14" t="s">
        <v>3854</v>
      </c>
      <c r="E52" s="15" t="n">
        <v>10100</v>
      </c>
      <c r="F52" s="14" t="n">
        <v>161.9</v>
      </c>
      <c r="G52" s="14" t="n">
        <v>1.5</v>
      </c>
      <c r="H52" s="6" t="s">
        <v>3855</v>
      </c>
      <c r="I52" s="16" t="s">
        <v>3860</v>
      </c>
      <c r="J52" s="6" t="s">
        <v>3858</v>
      </c>
    </row>
    <row r="53" customFormat="false" ht="39.75" hidden="false" customHeight="true" outlineLevel="0" collapsed="false">
      <c r="A53" s="14" t="s">
        <v>4834</v>
      </c>
      <c r="B53" s="14" t="s">
        <v>247</v>
      </c>
      <c r="C53" s="14" t="s">
        <v>442</v>
      </c>
      <c r="D53" s="14" t="s">
        <v>4018</v>
      </c>
      <c r="E53" s="15" t="n">
        <v>78500</v>
      </c>
      <c r="F53" s="14" t="n">
        <v>63.8</v>
      </c>
      <c r="G53" s="14" t="n">
        <v>1.5</v>
      </c>
      <c r="H53" s="6" t="s">
        <v>4020</v>
      </c>
      <c r="I53" s="16" t="s">
        <v>4025</v>
      </c>
      <c r="J53" s="6" t="s">
        <v>4023</v>
      </c>
    </row>
    <row r="54" customFormat="false" ht="39.75" hidden="false" customHeight="true" outlineLevel="0" collapsed="false">
      <c r="A54" s="14" t="s">
        <v>4834</v>
      </c>
      <c r="B54" s="14" t="s">
        <v>247</v>
      </c>
      <c r="C54" s="14" t="s">
        <v>442</v>
      </c>
      <c r="D54" s="14" t="s">
        <v>4085</v>
      </c>
      <c r="E54" s="15" t="n">
        <v>32000</v>
      </c>
      <c r="F54" s="14" t="n">
        <v>57.4</v>
      </c>
      <c r="G54" s="14" t="n">
        <v>1.5</v>
      </c>
      <c r="H54" s="6" t="s">
        <v>4087</v>
      </c>
      <c r="I54" s="16" t="s">
        <v>4092</v>
      </c>
      <c r="J54" s="6" t="s">
        <v>4090</v>
      </c>
    </row>
    <row r="55" customFormat="false" ht="39.75" hidden="false" customHeight="true" outlineLevel="0" collapsed="false">
      <c r="A55" s="14" t="s">
        <v>4854</v>
      </c>
      <c r="B55" s="14" t="s">
        <v>247</v>
      </c>
      <c r="C55" s="14" t="s">
        <v>221</v>
      </c>
      <c r="D55" s="14" t="s">
        <v>4855</v>
      </c>
      <c r="E55" s="15" t="n">
        <v>10554</v>
      </c>
      <c r="F55" s="14" t="n">
        <v>2069.2</v>
      </c>
      <c r="G55" s="14" t="n">
        <v>1</v>
      </c>
      <c r="H55" s="6" t="s">
        <v>4856</v>
      </c>
      <c r="I55" s="16" t="s">
        <v>4857</v>
      </c>
      <c r="J55" s="6" t="s">
        <v>4858</v>
      </c>
    </row>
    <row r="56" customFormat="false" ht="39.75" hidden="false" customHeight="true" outlineLevel="0" collapsed="false">
      <c r="A56" s="14" t="s">
        <v>4836</v>
      </c>
      <c r="B56" s="14" t="s">
        <v>247</v>
      </c>
      <c r="C56" s="14" t="s">
        <v>442</v>
      </c>
      <c r="D56" s="14" t="s">
        <v>3632</v>
      </c>
      <c r="E56" s="15" t="n">
        <v>14100</v>
      </c>
      <c r="F56" s="14" t="n">
        <v>1661.2</v>
      </c>
      <c r="G56" s="14" t="n">
        <v>1</v>
      </c>
      <c r="H56" s="6" t="s">
        <v>4859</v>
      </c>
      <c r="I56" s="16" t="s">
        <v>3636</v>
      </c>
      <c r="J56" s="6" t="s">
        <v>3633</v>
      </c>
    </row>
    <row r="57" customFormat="false" ht="39.75" hidden="false" customHeight="true" outlineLevel="0" collapsed="false">
      <c r="A57" s="14" t="s">
        <v>4835</v>
      </c>
      <c r="B57" s="14" t="s">
        <v>247</v>
      </c>
      <c r="C57" s="14" t="s">
        <v>442</v>
      </c>
      <c r="D57" s="14" t="s">
        <v>3637</v>
      </c>
      <c r="E57" s="15" t="n">
        <v>27000</v>
      </c>
      <c r="F57" s="14" t="n">
        <v>1008.9</v>
      </c>
      <c r="G57" s="14" t="n">
        <v>1</v>
      </c>
      <c r="H57" s="6" t="s">
        <v>3639</v>
      </c>
      <c r="I57" s="16" t="s">
        <v>3645</v>
      </c>
      <c r="J57" s="6" t="s">
        <v>3642</v>
      </c>
    </row>
    <row r="58" customFormat="false" ht="39.75" hidden="false" customHeight="true" outlineLevel="0" collapsed="false">
      <c r="A58" s="14" t="s">
        <v>4837</v>
      </c>
      <c r="B58" s="14" t="s">
        <v>247</v>
      </c>
      <c r="C58" s="14" t="s">
        <v>442</v>
      </c>
      <c r="D58" s="14" t="s">
        <v>3669</v>
      </c>
      <c r="E58" s="15" t="n">
        <v>75000</v>
      </c>
      <c r="F58" s="14" t="n">
        <v>511.4</v>
      </c>
      <c r="G58" s="14" t="n">
        <v>1</v>
      </c>
      <c r="H58" s="6" t="s">
        <v>3671</v>
      </c>
      <c r="I58" s="16" t="s">
        <v>3677</v>
      </c>
      <c r="J58" s="6" t="s">
        <v>3674</v>
      </c>
    </row>
    <row r="59" customFormat="false" ht="39.75" hidden="false" customHeight="true" outlineLevel="0" collapsed="false">
      <c r="A59" s="14" t="s">
        <v>4835</v>
      </c>
      <c r="B59" s="14" t="s">
        <v>247</v>
      </c>
      <c r="C59" s="14" t="s">
        <v>442</v>
      </c>
      <c r="D59" s="14" t="s">
        <v>3724</v>
      </c>
      <c r="E59" s="15" t="n">
        <v>9000</v>
      </c>
      <c r="F59" s="14" t="n">
        <v>338.3</v>
      </c>
      <c r="G59" s="14" t="n">
        <v>1</v>
      </c>
      <c r="H59" s="6" t="s">
        <v>3725</v>
      </c>
      <c r="I59" s="16" t="s">
        <v>3731</v>
      </c>
      <c r="J59" s="6" t="s">
        <v>3728</v>
      </c>
    </row>
    <row r="60" customFormat="false" ht="39.75" hidden="false" customHeight="true" outlineLevel="0" collapsed="false">
      <c r="A60" s="14" t="s">
        <v>4837</v>
      </c>
      <c r="B60" s="14" t="s">
        <v>247</v>
      </c>
      <c r="C60" s="14" t="s">
        <v>442</v>
      </c>
      <c r="D60" s="14" t="s">
        <v>3740</v>
      </c>
      <c r="E60" s="15" t="n">
        <v>24500</v>
      </c>
      <c r="F60" s="14" t="n">
        <v>318.2</v>
      </c>
      <c r="G60" s="14" t="n">
        <v>1</v>
      </c>
      <c r="H60" s="6" t="s">
        <v>3741</v>
      </c>
      <c r="I60" s="16" t="s">
        <v>3747</v>
      </c>
      <c r="J60" s="6" t="s">
        <v>3744</v>
      </c>
    </row>
    <row r="61" customFormat="false" ht="39.75" hidden="false" customHeight="true" outlineLevel="0" collapsed="false">
      <c r="A61" s="14" t="s">
        <v>4834</v>
      </c>
      <c r="B61" s="14" t="s">
        <v>247</v>
      </c>
      <c r="C61" s="14" t="s">
        <v>442</v>
      </c>
      <c r="D61" s="14" t="s">
        <v>3791</v>
      </c>
      <c r="E61" s="15" t="n">
        <v>6500</v>
      </c>
      <c r="F61" s="14" t="n">
        <v>229.6</v>
      </c>
      <c r="G61" s="14" t="n">
        <v>1</v>
      </c>
      <c r="H61" s="6" t="s">
        <v>3792</v>
      </c>
      <c r="I61" s="16" t="s">
        <v>3798</v>
      </c>
      <c r="J61" s="6" t="s">
        <v>3795</v>
      </c>
    </row>
    <row r="62" customFormat="false" ht="39.75" hidden="false" customHeight="true" outlineLevel="0" collapsed="false">
      <c r="A62" s="14" t="s">
        <v>4834</v>
      </c>
      <c r="B62" s="14" t="s">
        <v>247</v>
      </c>
      <c r="C62" s="14" t="s">
        <v>442</v>
      </c>
      <c r="D62" s="14" t="s">
        <v>3829</v>
      </c>
      <c r="E62" s="15" t="n">
        <v>9400</v>
      </c>
      <c r="F62" s="14" t="n">
        <v>185.7</v>
      </c>
      <c r="G62" s="14" t="n">
        <v>1</v>
      </c>
      <c r="H62" s="6" t="s">
        <v>3830</v>
      </c>
      <c r="I62" s="16" t="s">
        <v>3836</v>
      </c>
      <c r="J62" s="6" t="s">
        <v>3833</v>
      </c>
    </row>
    <row r="63" customFormat="false" ht="39.75" hidden="false" customHeight="true" outlineLevel="0" collapsed="false">
      <c r="A63" s="14" t="s">
        <v>4854</v>
      </c>
      <c r="B63" s="14" t="s">
        <v>220</v>
      </c>
      <c r="C63" s="14" t="s">
        <v>221</v>
      </c>
      <c r="D63" s="14" t="s">
        <v>1475</v>
      </c>
      <c r="E63" s="15" t="n">
        <v>18320</v>
      </c>
      <c r="F63" s="14" t="n">
        <v>122.6</v>
      </c>
      <c r="G63" s="14" t="n">
        <v>1</v>
      </c>
      <c r="H63" s="6" t="s">
        <v>4860</v>
      </c>
      <c r="I63" s="16" t="s">
        <v>4861</v>
      </c>
      <c r="J63" s="6" t="s">
        <v>4862</v>
      </c>
    </row>
    <row r="64" customFormat="false" ht="39.75" hidden="false" customHeight="true" outlineLevel="0" collapsed="false">
      <c r="A64" s="14" t="s">
        <v>4836</v>
      </c>
      <c r="B64" s="14" t="s">
        <v>220</v>
      </c>
      <c r="C64" s="14" t="s">
        <v>221</v>
      </c>
      <c r="D64" s="14" t="s">
        <v>4863</v>
      </c>
      <c r="E64" s="15" t="n">
        <v>14456</v>
      </c>
      <c r="F64" s="14" t="n">
        <v>118.4</v>
      </c>
      <c r="G64" s="14" t="n">
        <v>1</v>
      </c>
      <c r="H64" s="6" t="s">
        <v>4864</v>
      </c>
      <c r="I64" s="16" t="s">
        <v>4865</v>
      </c>
      <c r="J64" s="6"/>
    </row>
    <row r="65" customFormat="false" ht="39.75" hidden="false" customHeight="true" outlineLevel="0" collapsed="false">
      <c r="A65" s="14" t="s">
        <v>4836</v>
      </c>
      <c r="B65" s="14" t="s">
        <v>247</v>
      </c>
      <c r="C65" s="14" t="s">
        <v>442</v>
      </c>
      <c r="D65" s="14" t="s">
        <v>3892</v>
      </c>
      <c r="E65" s="15" t="n">
        <v>9400</v>
      </c>
      <c r="F65" s="14" t="n">
        <v>115.6</v>
      </c>
      <c r="G65" s="14" t="n">
        <v>1</v>
      </c>
      <c r="H65" s="6" t="s">
        <v>3893</v>
      </c>
      <c r="I65" s="16" t="s">
        <v>3899</v>
      </c>
      <c r="J65" s="6" t="s">
        <v>3896</v>
      </c>
    </row>
    <row r="66" customFormat="false" ht="39.75" hidden="false" customHeight="true" outlineLevel="0" collapsed="false">
      <c r="A66" s="14" t="s">
        <v>4836</v>
      </c>
      <c r="B66" s="14" t="s">
        <v>247</v>
      </c>
      <c r="C66" s="14" t="s">
        <v>442</v>
      </c>
      <c r="D66" s="14" t="s">
        <v>3920</v>
      </c>
      <c r="E66" s="15" t="n">
        <v>77000</v>
      </c>
      <c r="F66" s="14" t="n">
        <v>94.1</v>
      </c>
      <c r="G66" s="14" t="n">
        <v>1</v>
      </c>
      <c r="H66" s="6" t="s">
        <v>3922</v>
      </c>
      <c r="I66" s="16" t="s">
        <v>3928</v>
      </c>
      <c r="J66" s="6" t="s">
        <v>3925</v>
      </c>
    </row>
    <row r="67" customFormat="false" ht="39.75" hidden="false" customHeight="true" outlineLevel="0" collapsed="false">
      <c r="A67" s="14" t="s">
        <v>4837</v>
      </c>
      <c r="B67" s="14" t="s">
        <v>247</v>
      </c>
      <c r="C67" s="14" t="s">
        <v>221</v>
      </c>
      <c r="D67" s="14" t="s">
        <v>4866</v>
      </c>
      <c r="E67" s="15" t="n">
        <v>25128</v>
      </c>
      <c r="F67" s="14" t="n">
        <v>88.4</v>
      </c>
      <c r="G67" s="14" t="n">
        <v>1</v>
      </c>
      <c r="H67" s="6" t="s">
        <v>4867</v>
      </c>
      <c r="I67" s="16" t="s">
        <v>4868</v>
      </c>
      <c r="J67" s="6"/>
    </row>
    <row r="68" customFormat="false" ht="39.75" hidden="false" customHeight="true" outlineLevel="0" collapsed="false">
      <c r="A68" s="14" t="s">
        <v>4835</v>
      </c>
      <c r="B68" s="14" t="s">
        <v>247</v>
      </c>
      <c r="C68" s="14" t="s">
        <v>221</v>
      </c>
      <c r="D68" s="14" t="s">
        <v>4869</v>
      </c>
      <c r="E68" s="15" t="n">
        <v>68945</v>
      </c>
      <c r="F68" s="14" t="n">
        <v>86.3</v>
      </c>
      <c r="G68" s="14" t="n">
        <v>1</v>
      </c>
      <c r="H68" s="6" t="s">
        <v>4870</v>
      </c>
      <c r="I68" s="16" t="s">
        <v>4871</v>
      </c>
      <c r="J68" s="6"/>
    </row>
    <row r="69" customFormat="false" ht="39.75" hidden="false" customHeight="true" outlineLevel="0" collapsed="false">
      <c r="A69" s="14" t="s">
        <v>4836</v>
      </c>
      <c r="B69" s="14" t="s">
        <v>247</v>
      </c>
      <c r="C69" s="14" t="s">
        <v>442</v>
      </c>
      <c r="D69" s="14" t="s">
        <v>3943</v>
      </c>
      <c r="E69" s="15" t="n">
        <v>8700</v>
      </c>
      <c r="F69" s="14" t="n">
        <v>81.3</v>
      </c>
      <c r="G69" s="14" t="n">
        <v>1</v>
      </c>
      <c r="H69" s="6" t="s">
        <v>4872</v>
      </c>
      <c r="I69" s="16" t="s">
        <v>3947</v>
      </c>
      <c r="J69" s="6" t="s">
        <v>3944</v>
      </c>
    </row>
    <row r="70" customFormat="false" ht="39.75" hidden="false" customHeight="true" outlineLevel="0" collapsed="false">
      <c r="A70" s="14" t="s">
        <v>4837</v>
      </c>
      <c r="B70" s="14" t="s">
        <v>247</v>
      </c>
      <c r="C70" s="14" t="s">
        <v>442</v>
      </c>
      <c r="D70" s="14" t="s">
        <v>3965</v>
      </c>
      <c r="E70" s="15" t="n">
        <v>10900</v>
      </c>
      <c r="F70" s="14" t="n">
        <v>77.3</v>
      </c>
      <c r="G70" s="14" t="n">
        <v>1</v>
      </c>
      <c r="H70" s="6" t="s">
        <v>4873</v>
      </c>
      <c r="I70" s="16" t="s">
        <v>3970</v>
      </c>
      <c r="J70" s="6" t="s">
        <v>3967</v>
      </c>
    </row>
    <row r="71" customFormat="false" ht="39.75" hidden="false" customHeight="true" outlineLevel="0" collapsed="false">
      <c r="A71" s="14" t="s">
        <v>4854</v>
      </c>
      <c r="B71" s="14" t="s">
        <v>247</v>
      </c>
      <c r="C71" s="14" t="s">
        <v>221</v>
      </c>
      <c r="D71" s="14" t="s">
        <v>4874</v>
      </c>
      <c r="E71" s="15" t="n">
        <v>36226</v>
      </c>
      <c r="F71" s="14" t="n">
        <v>74.3</v>
      </c>
      <c r="G71" s="14" t="n">
        <v>1</v>
      </c>
      <c r="H71" s="6" t="s">
        <v>4875</v>
      </c>
      <c r="I71" s="16" t="s">
        <v>4876</v>
      </c>
      <c r="J71" s="6"/>
    </row>
    <row r="72" customFormat="false" ht="39.75" hidden="false" customHeight="true" outlineLevel="0" collapsed="false">
      <c r="A72" s="14" t="s">
        <v>4836</v>
      </c>
      <c r="B72" s="14" t="s">
        <v>220</v>
      </c>
      <c r="C72" s="14" t="s">
        <v>221</v>
      </c>
      <c r="D72" s="14" t="s">
        <v>4877</v>
      </c>
      <c r="E72" s="15" t="n">
        <v>38140</v>
      </c>
      <c r="F72" s="14" t="n">
        <v>72</v>
      </c>
      <c r="G72" s="14" t="n">
        <v>1</v>
      </c>
      <c r="H72" s="6" t="s">
        <v>4878</v>
      </c>
      <c r="I72" s="16" t="s">
        <v>4879</v>
      </c>
      <c r="J72" s="6"/>
    </row>
    <row r="73" customFormat="false" ht="39.75" hidden="false" customHeight="true" outlineLevel="0" collapsed="false">
      <c r="A73" s="14" t="s">
        <v>4834</v>
      </c>
      <c r="B73" s="14" t="s">
        <v>247</v>
      </c>
      <c r="C73" s="14" t="s">
        <v>442</v>
      </c>
      <c r="D73" s="14" t="s">
        <v>3988</v>
      </c>
      <c r="E73" s="15" t="n">
        <v>87000</v>
      </c>
      <c r="F73" s="14" t="n">
        <v>70</v>
      </c>
      <c r="G73" s="14" t="n">
        <v>1</v>
      </c>
      <c r="H73" s="6" t="s">
        <v>3990</v>
      </c>
      <c r="I73" s="16" t="s">
        <v>3995</v>
      </c>
      <c r="J73" s="6" t="s">
        <v>3993</v>
      </c>
    </row>
    <row r="74" customFormat="false" ht="39.75" hidden="false" customHeight="true" outlineLevel="0" collapsed="false">
      <c r="A74" s="14" t="s">
        <v>4837</v>
      </c>
      <c r="B74" s="14" t="s">
        <v>247</v>
      </c>
      <c r="C74" s="14" t="s">
        <v>442</v>
      </c>
      <c r="D74" s="14" t="s">
        <v>4005</v>
      </c>
      <c r="E74" s="15" t="n">
        <v>36000</v>
      </c>
      <c r="F74" s="14" t="n">
        <v>65.4</v>
      </c>
      <c r="G74" s="14" t="n">
        <v>1</v>
      </c>
      <c r="H74" s="6" t="s">
        <v>4006</v>
      </c>
      <c r="I74" s="16" t="s">
        <v>4012</v>
      </c>
      <c r="J74" s="6" t="s">
        <v>4009</v>
      </c>
    </row>
    <row r="75" customFormat="false" ht="39.75" hidden="false" customHeight="true" outlineLevel="0" collapsed="false">
      <c r="A75" s="14" t="s">
        <v>4836</v>
      </c>
      <c r="B75" s="14" t="s">
        <v>220</v>
      </c>
      <c r="C75" s="14" t="s">
        <v>221</v>
      </c>
      <c r="D75" s="14" t="s">
        <v>4880</v>
      </c>
      <c r="E75" s="15" t="n">
        <v>29236</v>
      </c>
      <c r="F75" s="14" t="n">
        <v>59.6</v>
      </c>
      <c r="G75" s="14" t="n">
        <v>1</v>
      </c>
      <c r="H75" s="6" t="s">
        <v>4881</v>
      </c>
      <c r="I75" s="16" t="s">
        <v>4882</v>
      </c>
      <c r="J75" s="6" t="s">
        <v>4883</v>
      </c>
    </row>
    <row r="76" customFormat="false" ht="39.75" hidden="false" customHeight="true" outlineLevel="0" collapsed="false">
      <c r="A76" s="14" t="s">
        <v>4854</v>
      </c>
      <c r="B76" s="14" t="s">
        <v>247</v>
      </c>
      <c r="C76" s="14" t="s">
        <v>442</v>
      </c>
      <c r="D76" s="14" t="s">
        <v>4064</v>
      </c>
      <c r="E76" s="15" t="n">
        <v>12200</v>
      </c>
      <c r="F76" s="14" t="n">
        <v>58.7</v>
      </c>
      <c r="G76" s="14" t="n">
        <v>1</v>
      </c>
      <c r="H76" s="6" t="s">
        <v>4066</v>
      </c>
      <c r="I76" s="16" t="s">
        <v>4071</v>
      </c>
      <c r="J76" s="6" t="s">
        <v>4069</v>
      </c>
    </row>
    <row r="77" customFormat="false" ht="39.75" hidden="false" customHeight="true" outlineLevel="0" collapsed="false">
      <c r="A77" s="14" t="s">
        <v>4834</v>
      </c>
      <c r="B77" s="14" t="s">
        <v>247</v>
      </c>
      <c r="C77" s="14" t="s">
        <v>442</v>
      </c>
      <c r="D77" s="14" t="s">
        <v>4109</v>
      </c>
      <c r="E77" s="15" t="n">
        <v>53500</v>
      </c>
      <c r="F77" s="14" t="n">
        <v>54.2</v>
      </c>
      <c r="G77" s="14" t="n">
        <v>1</v>
      </c>
      <c r="H77" s="6" t="s">
        <v>4111</v>
      </c>
      <c r="I77" s="16" t="s">
        <v>4116</v>
      </c>
      <c r="J77" s="6" t="s">
        <v>4114</v>
      </c>
    </row>
    <row r="78" customFormat="false" ht="39.75" hidden="false" customHeight="true" outlineLevel="0" collapsed="false">
      <c r="A78" s="14" t="s">
        <v>4836</v>
      </c>
      <c r="B78" s="14" t="s">
        <v>247</v>
      </c>
      <c r="C78" s="14" t="s">
        <v>442</v>
      </c>
      <c r="D78" s="14" t="s">
        <v>4156</v>
      </c>
      <c r="E78" s="15" t="n">
        <v>27500</v>
      </c>
      <c r="F78" s="14" t="n">
        <v>49</v>
      </c>
      <c r="G78" s="14" t="n">
        <v>1</v>
      </c>
      <c r="H78" s="6" t="s">
        <v>4158</v>
      </c>
      <c r="I78" s="16" t="s">
        <v>4163</v>
      </c>
      <c r="J78" s="6" t="s">
        <v>4160</v>
      </c>
    </row>
    <row r="79" customFormat="false" ht="39.75" hidden="false" customHeight="true" outlineLevel="0" collapsed="false">
      <c r="A79" s="14" t="s">
        <v>4835</v>
      </c>
      <c r="B79" s="14" t="s">
        <v>247</v>
      </c>
      <c r="C79" s="14" t="s">
        <v>442</v>
      </c>
      <c r="D79" s="14" t="s">
        <v>4189</v>
      </c>
      <c r="E79" s="15" t="n">
        <v>6300</v>
      </c>
      <c r="F79" s="14" t="n">
        <v>45.7</v>
      </c>
      <c r="G79" s="14" t="n">
        <v>1</v>
      </c>
      <c r="H79" s="6" t="s">
        <v>4884</v>
      </c>
      <c r="I79" s="16" t="s">
        <v>4193</v>
      </c>
      <c r="J79" s="6" t="s">
        <v>4191</v>
      </c>
    </row>
    <row r="80" customFormat="false" ht="39.75" hidden="false" customHeight="true" outlineLevel="0" collapsed="false">
      <c r="A80" s="14" t="s">
        <v>4834</v>
      </c>
      <c r="B80" s="14" t="s">
        <v>247</v>
      </c>
      <c r="C80" s="14" t="s">
        <v>442</v>
      </c>
      <c r="D80" s="14" t="s">
        <v>4194</v>
      </c>
      <c r="E80" s="15" t="n">
        <v>71700</v>
      </c>
      <c r="F80" s="14" t="n">
        <v>44.8</v>
      </c>
      <c r="G80" s="14" t="n">
        <v>1</v>
      </c>
      <c r="H80" s="6" t="s">
        <v>4195</v>
      </c>
      <c r="I80" s="16" t="s">
        <v>4201</v>
      </c>
      <c r="J80" s="6" t="s">
        <v>4198</v>
      </c>
    </row>
    <row r="81" customFormat="false" ht="39.75" hidden="false" customHeight="true" outlineLevel="0" collapsed="false">
      <c r="A81" s="14" t="s">
        <v>4835</v>
      </c>
      <c r="B81" s="14" t="s">
        <v>247</v>
      </c>
      <c r="C81" s="14" t="s">
        <v>442</v>
      </c>
      <c r="D81" s="14" t="s">
        <v>4221</v>
      </c>
      <c r="E81" s="15" t="n">
        <v>8800</v>
      </c>
      <c r="F81" s="14" t="n">
        <v>42.8</v>
      </c>
      <c r="G81" s="14" t="n">
        <v>1</v>
      </c>
      <c r="H81" s="6" t="s">
        <v>4222</v>
      </c>
      <c r="I81" s="16" t="s">
        <v>4227</v>
      </c>
      <c r="J81" s="6" t="s">
        <v>4225</v>
      </c>
    </row>
    <row r="82" customFormat="false" ht="39.75" hidden="false" customHeight="true" outlineLevel="0" collapsed="false">
      <c r="A82" s="14" t="s">
        <v>4834</v>
      </c>
      <c r="B82" s="14" t="s">
        <v>247</v>
      </c>
      <c r="C82" s="14" t="s">
        <v>442</v>
      </c>
      <c r="D82" s="14" t="s">
        <v>4233</v>
      </c>
      <c r="E82" s="15" t="n">
        <v>44000</v>
      </c>
      <c r="F82" s="14" t="n">
        <v>40.7</v>
      </c>
      <c r="G82" s="14" t="n">
        <v>1</v>
      </c>
      <c r="H82" s="6" t="s">
        <v>4235</v>
      </c>
      <c r="I82" s="16" t="s">
        <v>4240</v>
      </c>
      <c r="J82" s="6" t="s">
        <v>4238</v>
      </c>
    </row>
    <row r="83" customFormat="false" ht="39.75" hidden="false" customHeight="true" outlineLevel="0" collapsed="false">
      <c r="A83" s="14" t="s">
        <v>4834</v>
      </c>
      <c r="B83" s="14" t="s">
        <v>247</v>
      </c>
      <c r="C83" s="14" t="s">
        <v>442</v>
      </c>
      <c r="D83" s="14" t="s">
        <v>4277</v>
      </c>
      <c r="E83" s="15" t="n">
        <v>14800</v>
      </c>
      <c r="F83" s="14" t="n">
        <v>37.4</v>
      </c>
      <c r="G83" s="14" t="n">
        <v>1</v>
      </c>
      <c r="H83" s="6" t="s">
        <v>4278</v>
      </c>
      <c r="I83" s="16" t="s">
        <v>4284</v>
      </c>
      <c r="J83" s="6" t="s">
        <v>4281</v>
      </c>
    </row>
    <row r="84" customFormat="false" ht="39.75" hidden="false" customHeight="true" outlineLevel="0" collapsed="false">
      <c r="A84" s="14" t="s">
        <v>4834</v>
      </c>
      <c r="B84" s="14" t="s">
        <v>247</v>
      </c>
      <c r="C84" s="14" t="s">
        <v>442</v>
      </c>
      <c r="D84" s="14" t="s">
        <v>4300</v>
      </c>
      <c r="E84" s="15" t="n">
        <v>5600</v>
      </c>
      <c r="F84" s="14" t="n">
        <v>34.6</v>
      </c>
      <c r="G84" s="14" t="n">
        <v>1</v>
      </c>
      <c r="H84" s="6" t="s">
        <v>4301</v>
      </c>
      <c r="I84" s="16" t="s">
        <v>4307</v>
      </c>
      <c r="J84" s="6" t="s">
        <v>4304</v>
      </c>
    </row>
    <row r="85" customFormat="false" ht="39.75" hidden="false" customHeight="true" outlineLevel="0" collapsed="false">
      <c r="A85" s="14" t="s">
        <v>4834</v>
      </c>
      <c r="B85" s="14" t="s">
        <v>247</v>
      </c>
      <c r="C85" s="14" t="s">
        <v>442</v>
      </c>
      <c r="D85" s="14" t="s">
        <v>4325</v>
      </c>
      <c r="E85" s="15" t="n">
        <v>42600</v>
      </c>
      <c r="F85" s="14" t="n">
        <v>33.4</v>
      </c>
      <c r="G85" s="14" t="n">
        <v>1</v>
      </c>
      <c r="H85" s="6" t="s">
        <v>4326</v>
      </c>
      <c r="I85" s="16" t="s">
        <v>4332</v>
      </c>
      <c r="J85" s="6" t="s">
        <v>4329</v>
      </c>
    </row>
    <row r="86" customFormat="false" ht="39.75" hidden="false" customHeight="true" outlineLevel="0" collapsed="false">
      <c r="A86" s="14" t="s">
        <v>4834</v>
      </c>
      <c r="B86" s="14" t="s">
        <v>374</v>
      </c>
      <c r="C86" s="14" t="s">
        <v>221</v>
      </c>
      <c r="D86" s="14" t="s">
        <v>4838</v>
      </c>
      <c r="E86" s="15" t="n">
        <v>56889</v>
      </c>
      <c r="F86" s="14" t="n">
        <v>29.9</v>
      </c>
      <c r="G86" s="14" t="n">
        <v>1</v>
      </c>
      <c r="H86" s="6" t="s">
        <v>4885</v>
      </c>
      <c r="I86" s="16" t="s">
        <v>4886</v>
      </c>
      <c r="J86" s="6"/>
    </row>
    <row r="87" customFormat="false" ht="39.75" hidden="false" customHeight="true" outlineLevel="0" collapsed="false">
      <c r="A87" s="14" t="s">
        <v>4836</v>
      </c>
      <c r="B87" s="14" t="s">
        <v>247</v>
      </c>
      <c r="C87" s="14" t="s">
        <v>442</v>
      </c>
      <c r="D87" s="14" t="s">
        <v>4388</v>
      </c>
      <c r="E87" s="15" t="n">
        <v>8400</v>
      </c>
      <c r="F87" s="14" t="n">
        <v>29</v>
      </c>
      <c r="G87" s="14" t="n">
        <v>1</v>
      </c>
      <c r="H87" s="6" t="s">
        <v>4389</v>
      </c>
      <c r="I87" s="16" t="s">
        <v>4395</v>
      </c>
      <c r="J87" s="6" t="s">
        <v>4392</v>
      </c>
    </row>
    <row r="88" customFormat="false" ht="39.75" hidden="false" customHeight="true" outlineLevel="0" collapsed="false">
      <c r="A88" s="14" t="s">
        <v>4836</v>
      </c>
      <c r="B88" s="14" t="s">
        <v>247</v>
      </c>
      <c r="C88" s="14" t="s">
        <v>221</v>
      </c>
      <c r="D88" s="14" t="s">
        <v>4887</v>
      </c>
      <c r="E88" s="15" t="n">
        <v>76684</v>
      </c>
      <c r="F88" s="14" t="n">
        <v>28.8</v>
      </c>
      <c r="G88" s="14" t="n">
        <v>1</v>
      </c>
      <c r="H88" s="6" t="s">
        <v>4888</v>
      </c>
      <c r="I88" s="16" t="s">
        <v>4889</v>
      </c>
      <c r="J88" s="6"/>
    </row>
    <row r="89" customFormat="false" ht="39.75" hidden="false" customHeight="true" outlineLevel="0" collapsed="false">
      <c r="A89" s="14" t="s">
        <v>4835</v>
      </c>
      <c r="B89" s="14" t="s">
        <v>247</v>
      </c>
      <c r="C89" s="14" t="s">
        <v>442</v>
      </c>
      <c r="D89" s="14" t="s">
        <v>4396</v>
      </c>
      <c r="E89" s="15" t="n">
        <v>50000</v>
      </c>
      <c r="F89" s="14" t="n">
        <v>28.2</v>
      </c>
      <c r="G89" s="14" t="n">
        <v>1</v>
      </c>
      <c r="H89" s="6" t="s">
        <v>4398</v>
      </c>
      <c r="I89" s="16" t="s">
        <v>4404</v>
      </c>
      <c r="J89" s="6" t="s">
        <v>4401</v>
      </c>
    </row>
    <row r="90" customFormat="false" ht="39.75" hidden="false" customHeight="true" outlineLevel="0" collapsed="false">
      <c r="A90" s="14" t="s">
        <v>4836</v>
      </c>
      <c r="B90" s="14" t="s">
        <v>374</v>
      </c>
      <c r="C90" s="14" t="s">
        <v>221</v>
      </c>
      <c r="D90" s="14" t="s">
        <v>4890</v>
      </c>
      <c r="E90" s="15" t="n">
        <v>92685</v>
      </c>
      <c r="F90" s="14" t="n">
        <v>27.3</v>
      </c>
      <c r="G90" s="14" t="n">
        <v>1</v>
      </c>
      <c r="H90" s="6" t="s">
        <v>4891</v>
      </c>
      <c r="I90" s="16" t="s">
        <v>4892</v>
      </c>
      <c r="J90" s="6" t="s">
        <v>4893</v>
      </c>
    </row>
    <row r="91" customFormat="false" ht="39.75" hidden="false" customHeight="true" outlineLevel="0" collapsed="false">
      <c r="A91" s="14" t="s">
        <v>4834</v>
      </c>
      <c r="B91" s="14" t="s">
        <v>247</v>
      </c>
      <c r="C91" s="14" t="s">
        <v>442</v>
      </c>
      <c r="D91" s="14" t="s">
        <v>4405</v>
      </c>
      <c r="E91" s="15" t="n">
        <v>31000</v>
      </c>
      <c r="F91" s="14" t="n">
        <v>27</v>
      </c>
      <c r="G91" s="14" t="n">
        <v>1</v>
      </c>
      <c r="H91" s="6" t="s">
        <v>4406</v>
      </c>
      <c r="I91" s="16" t="s">
        <v>4412</v>
      </c>
      <c r="J91" s="6" t="s">
        <v>4409</v>
      </c>
    </row>
    <row r="92" customFormat="false" ht="39.75" hidden="false" customHeight="true" outlineLevel="0" collapsed="false">
      <c r="A92" s="14" t="s">
        <v>4836</v>
      </c>
      <c r="B92" s="14" t="s">
        <v>374</v>
      </c>
      <c r="C92" s="14" t="s">
        <v>221</v>
      </c>
      <c r="D92" s="14" t="s">
        <v>4838</v>
      </c>
      <c r="E92" s="15" t="n">
        <v>56889</v>
      </c>
      <c r="F92" s="14" t="n">
        <v>26.3</v>
      </c>
      <c r="G92" s="14" t="n">
        <v>1</v>
      </c>
      <c r="H92" s="6" t="s">
        <v>4894</v>
      </c>
      <c r="I92" s="16" t="s">
        <v>4895</v>
      </c>
      <c r="J92" s="6"/>
    </row>
    <row r="93" customFormat="false" ht="39.75" hidden="false" customHeight="true" outlineLevel="0" collapsed="false">
      <c r="A93" s="14" t="s">
        <v>4836</v>
      </c>
      <c r="B93" s="14" t="s">
        <v>374</v>
      </c>
      <c r="C93" s="14" t="s">
        <v>221</v>
      </c>
      <c r="D93" s="14" t="s">
        <v>4838</v>
      </c>
      <c r="E93" s="15" t="n">
        <v>56889</v>
      </c>
      <c r="F93" s="14" t="n">
        <v>26.3</v>
      </c>
      <c r="G93" s="14" t="n">
        <v>1</v>
      </c>
      <c r="H93" s="6" t="s">
        <v>4894</v>
      </c>
      <c r="I93" s="16" t="s">
        <v>4896</v>
      </c>
      <c r="J93" s="6"/>
    </row>
    <row r="94" customFormat="false" ht="39.75" hidden="false" customHeight="true" outlineLevel="0" collapsed="false">
      <c r="A94" s="14" t="s">
        <v>4837</v>
      </c>
      <c r="B94" s="14" t="s">
        <v>247</v>
      </c>
      <c r="C94" s="14" t="s">
        <v>442</v>
      </c>
      <c r="D94" s="14" t="s">
        <v>4431</v>
      </c>
      <c r="E94" s="15" t="n">
        <v>81000</v>
      </c>
      <c r="F94" s="14" t="n">
        <v>24.4</v>
      </c>
      <c r="G94" s="14" t="n">
        <v>1</v>
      </c>
      <c r="H94" s="6" t="s">
        <v>4433</v>
      </c>
      <c r="I94" s="16" t="s">
        <v>4439</v>
      </c>
      <c r="J94" s="6" t="s">
        <v>4436</v>
      </c>
    </row>
    <row r="95" customFormat="false" ht="39.75" hidden="false" customHeight="true" outlineLevel="0" collapsed="false">
      <c r="A95" s="14" t="s">
        <v>4837</v>
      </c>
      <c r="B95" s="14" t="s">
        <v>247</v>
      </c>
      <c r="C95" s="14" t="s">
        <v>442</v>
      </c>
      <c r="D95" s="14" t="s">
        <v>4453</v>
      </c>
      <c r="E95" s="15" t="n">
        <v>8600</v>
      </c>
      <c r="F95" s="14" t="n">
        <v>22.8</v>
      </c>
      <c r="G95" s="14" t="n">
        <v>1</v>
      </c>
      <c r="H95" s="6" t="s">
        <v>4455</v>
      </c>
      <c r="I95" s="16" t="s">
        <v>4461</v>
      </c>
      <c r="J95" s="6" t="s">
        <v>4458</v>
      </c>
    </row>
    <row r="96" customFormat="false" ht="39.75" hidden="false" customHeight="true" outlineLevel="0" collapsed="false">
      <c r="A96" s="14" t="s">
        <v>4834</v>
      </c>
      <c r="B96" s="14" t="s">
        <v>247</v>
      </c>
      <c r="C96" s="14" t="s">
        <v>442</v>
      </c>
      <c r="D96" s="14" t="s">
        <v>4462</v>
      </c>
      <c r="E96" s="15" t="n">
        <v>25200</v>
      </c>
      <c r="F96" s="14" t="n">
        <v>22.5</v>
      </c>
      <c r="G96" s="14" t="n">
        <v>1</v>
      </c>
      <c r="H96" s="6" t="s">
        <v>4464</v>
      </c>
      <c r="I96" s="16" t="s">
        <v>4469</v>
      </c>
      <c r="J96" s="6" t="s">
        <v>4466</v>
      </c>
    </row>
    <row r="97" customFormat="false" ht="39.75" hidden="false" customHeight="true" outlineLevel="0" collapsed="false">
      <c r="A97" s="14" t="s">
        <v>4854</v>
      </c>
      <c r="B97" s="14" t="s">
        <v>247</v>
      </c>
      <c r="C97" s="14" t="s">
        <v>221</v>
      </c>
      <c r="D97" s="14" t="s">
        <v>2818</v>
      </c>
      <c r="E97" s="15" t="n">
        <v>33656</v>
      </c>
      <c r="F97" s="14" t="n">
        <v>22.1</v>
      </c>
      <c r="G97" s="14" t="n">
        <v>1</v>
      </c>
      <c r="H97" s="6" t="s">
        <v>4897</v>
      </c>
      <c r="I97" s="16" t="s">
        <v>4898</v>
      </c>
      <c r="J97" s="6"/>
    </row>
    <row r="98" customFormat="false" ht="39.75" hidden="false" customHeight="true" outlineLevel="0" collapsed="false">
      <c r="A98" s="14" t="s">
        <v>4837</v>
      </c>
      <c r="B98" s="14" t="s">
        <v>247</v>
      </c>
      <c r="C98" s="14" t="s">
        <v>442</v>
      </c>
      <c r="D98" s="14" t="s">
        <v>4470</v>
      </c>
      <c r="E98" s="15" t="n">
        <v>23100</v>
      </c>
      <c r="F98" s="14" t="n">
        <v>21.2</v>
      </c>
      <c r="G98" s="14" t="n">
        <v>1</v>
      </c>
      <c r="H98" s="6" t="s">
        <v>4472</v>
      </c>
      <c r="I98" s="16" t="s">
        <v>4478</v>
      </c>
      <c r="J98" s="6" t="s">
        <v>4475</v>
      </c>
    </row>
    <row r="99" customFormat="false" ht="39.75" hidden="false" customHeight="true" outlineLevel="0" collapsed="false">
      <c r="A99" s="14" t="s">
        <v>4836</v>
      </c>
      <c r="B99" s="14" t="s">
        <v>247</v>
      </c>
      <c r="C99" s="14" t="s">
        <v>442</v>
      </c>
      <c r="D99" s="14" t="s">
        <v>4503</v>
      </c>
      <c r="E99" s="15" t="n">
        <v>44000</v>
      </c>
      <c r="F99" s="14" t="n">
        <v>15.8</v>
      </c>
      <c r="G99" s="14" t="n">
        <v>1</v>
      </c>
      <c r="H99" s="6" t="s">
        <v>4504</v>
      </c>
      <c r="I99" s="16" t="s">
        <v>4510</v>
      </c>
      <c r="J99" s="6" t="s">
        <v>4507</v>
      </c>
    </row>
    <row r="100" customFormat="false" ht="39.75" hidden="false" customHeight="true" outlineLevel="0" collapsed="false">
      <c r="A100" s="14" t="s">
        <v>4836</v>
      </c>
      <c r="B100" s="14" t="s">
        <v>374</v>
      </c>
      <c r="C100" s="14" t="s">
        <v>221</v>
      </c>
      <c r="D100" s="14" t="s">
        <v>4899</v>
      </c>
      <c r="E100" s="15" t="n">
        <v>103325</v>
      </c>
      <c r="F100" s="14" t="n">
        <v>14.1</v>
      </c>
      <c r="G100" s="14" t="n">
        <v>1</v>
      </c>
      <c r="H100" s="6" t="s">
        <v>4900</v>
      </c>
      <c r="I100" s="16" t="s">
        <v>4901</v>
      </c>
      <c r="J100" s="6"/>
    </row>
    <row r="101" customFormat="false" ht="39.75" hidden="false" customHeight="true" outlineLevel="0" collapsed="false">
      <c r="A101" s="14" t="s">
        <v>4836</v>
      </c>
      <c r="B101" s="14" t="s">
        <v>374</v>
      </c>
      <c r="C101" s="14" t="s">
        <v>221</v>
      </c>
      <c r="D101" s="14" t="s">
        <v>4899</v>
      </c>
      <c r="E101" s="15" t="n">
        <v>103325</v>
      </c>
      <c r="F101" s="14" t="n">
        <v>14.1</v>
      </c>
      <c r="G101" s="14" t="n">
        <v>1</v>
      </c>
      <c r="H101" s="6" t="s">
        <v>4900</v>
      </c>
      <c r="I101" s="16" t="s">
        <v>4902</v>
      </c>
      <c r="J101" s="6"/>
    </row>
    <row r="102" customFormat="false" ht="39.75" hidden="false" customHeight="true" outlineLevel="0" collapsed="false">
      <c r="A102" s="14" t="s">
        <v>4836</v>
      </c>
      <c r="B102" s="14" t="s">
        <v>374</v>
      </c>
      <c r="C102" s="14" t="s">
        <v>221</v>
      </c>
      <c r="D102" s="14" t="s">
        <v>4899</v>
      </c>
      <c r="E102" s="15" t="n">
        <v>103325</v>
      </c>
      <c r="F102" s="14" t="n">
        <v>14.1</v>
      </c>
      <c r="G102" s="14" t="n">
        <v>1</v>
      </c>
      <c r="H102" s="6" t="s">
        <v>4900</v>
      </c>
      <c r="I102" s="16" t="s">
        <v>4903</v>
      </c>
      <c r="J102" s="6"/>
    </row>
    <row r="103" customFormat="false" ht="39.75" hidden="false" customHeight="true" outlineLevel="0" collapsed="false">
      <c r="A103" s="14" t="s">
        <v>4836</v>
      </c>
      <c r="B103" s="14" t="s">
        <v>374</v>
      </c>
      <c r="C103" s="14" t="s">
        <v>221</v>
      </c>
      <c r="D103" s="14" t="s">
        <v>4899</v>
      </c>
      <c r="E103" s="15" t="n">
        <v>103325</v>
      </c>
      <c r="F103" s="14" t="n">
        <v>14.1</v>
      </c>
      <c r="G103" s="14" t="n">
        <v>1</v>
      </c>
      <c r="H103" s="6" t="s">
        <v>4900</v>
      </c>
      <c r="I103" s="16" t="s">
        <v>4904</v>
      </c>
      <c r="J103" s="6"/>
    </row>
    <row r="104" customFormat="false" ht="39.75" hidden="false" customHeight="true" outlineLevel="0" collapsed="false">
      <c r="A104" s="14" t="s">
        <v>4835</v>
      </c>
      <c r="B104" s="14" t="s">
        <v>220</v>
      </c>
      <c r="C104" s="14" t="s">
        <v>221</v>
      </c>
      <c r="D104" s="14" t="s">
        <v>1029</v>
      </c>
      <c r="E104" s="15" t="n">
        <v>17724</v>
      </c>
      <c r="F104" s="14" t="n">
        <v>13.4</v>
      </c>
      <c r="G104" s="14" t="n">
        <v>1</v>
      </c>
      <c r="H104" s="6" t="s">
        <v>4905</v>
      </c>
      <c r="I104" s="16" t="s">
        <v>4906</v>
      </c>
      <c r="J104" s="6" t="s">
        <v>4907</v>
      </c>
    </row>
    <row r="105" customFormat="false" ht="39.75" hidden="false" customHeight="true" outlineLevel="0" collapsed="false">
      <c r="A105" s="14" t="s">
        <v>4836</v>
      </c>
      <c r="B105" s="14" t="s">
        <v>374</v>
      </c>
      <c r="C105" s="14" t="s">
        <v>221</v>
      </c>
      <c r="D105" s="14" t="s">
        <v>4908</v>
      </c>
      <c r="E105" s="15" t="n">
        <v>50295</v>
      </c>
      <c r="F105" s="14" t="n">
        <v>13.2</v>
      </c>
      <c r="G105" s="14" t="n">
        <v>1</v>
      </c>
      <c r="H105" s="6" t="s">
        <v>4909</v>
      </c>
      <c r="I105" s="16" t="s">
        <v>4910</v>
      </c>
      <c r="J105" s="6" t="s">
        <v>4911</v>
      </c>
    </row>
    <row r="106" customFormat="false" ht="39.75" hidden="false" customHeight="true" outlineLevel="0" collapsed="false">
      <c r="A106" s="14" t="s">
        <v>4836</v>
      </c>
      <c r="B106" s="14" t="s">
        <v>247</v>
      </c>
      <c r="C106" s="14" t="s">
        <v>442</v>
      </c>
      <c r="D106" s="14" t="s">
        <v>4912</v>
      </c>
      <c r="E106" s="15" t="n">
        <v>43552</v>
      </c>
      <c r="F106" s="14" t="n">
        <v>12.5</v>
      </c>
      <c r="G106" s="14" t="n">
        <v>1</v>
      </c>
      <c r="H106" s="6" t="s">
        <v>4913</v>
      </c>
      <c r="I106" s="16" t="s">
        <v>4914</v>
      </c>
      <c r="J106" s="6" t="s">
        <v>4915</v>
      </c>
    </row>
    <row r="107" customFormat="false" ht="39.75" hidden="false" customHeight="true" outlineLevel="0" collapsed="false">
      <c r="A107" s="14" t="s">
        <v>4834</v>
      </c>
      <c r="B107" s="14" t="s">
        <v>247</v>
      </c>
      <c r="C107" s="14" t="s">
        <v>442</v>
      </c>
      <c r="D107" s="14" t="s">
        <v>4523</v>
      </c>
      <c r="E107" s="15" t="n">
        <v>14800</v>
      </c>
      <c r="F107" s="14" t="n">
        <v>9.6</v>
      </c>
      <c r="G107" s="14" t="n">
        <v>1</v>
      </c>
      <c r="H107" s="6" t="s">
        <v>4524</v>
      </c>
      <c r="I107" s="16" t="s">
        <v>4529</v>
      </c>
      <c r="J107" s="6" t="s">
        <v>4527</v>
      </c>
    </row>
    <row r="108" customFormat="false" ht="39.75" hidden="false" customHeight="true" outlineLevel="0" collapsed="false">
      <c r="A108" s="14" t="s">
        <v>4854</v>
      </c>
      <c r="B108" s="14" t="s">
        <v>247</v>
      </c>
      <c r="C108" s="14" t="s">
        <v>442</v>
      </c>
      <c r="D108" s="14" t="s">
        <v>4530</v>
      </c>
      <c r="E108" s="15" t="n">
        <v>18100</v>
      </c>
      <c r="F108" s="14" t="n">
        <v>9.2</v>
      </c>
      <c r="G108" s="14" t="n">
        <v>1</v>
      </c>
      <c r="H108" s="6" t="s">
        <v>4532</v>
      </c>
      <c r="I108" s="16" t="s">
        <v>4538</v>
      </c>
      <c r="J108" s="6" t="s">
        <v>4535</v>
      </c>
    </row>
    <row r="109" customFormat="false" ht="39.75" hidden="false" customHeight="true" outlineLevel="0" collapsed="false">
      <c r="A109" s="14" t="s">
        <v>4835</v>
      </c>
      <c r="B109" s="14" t="s">
        <v>247</v>
      </c>
      <c r="C109" s="14" t="s">
        <v>221</v>
      </c>
      <c r="D109" s="14" t="s">
        <v>4916</v>
      </c>
      <c r="E109" s="15" t="n">
        <v>18806</v>
      </c>
      <c r="F109" s="14" t="n">
        <v>8.9</v>
      </c>
      <c r="G109" s="14" t="n">
        <v>1</v>
      </c>
      <c r="H109" s="6" t="s">
        <v>4917</v>
      </c>
      <c r="I109" s="16" t="s">
        <v>4918</v>
      </c>
      <c r="J109" s="6" t="s">
        <v>4919</v>
      </c>
    </row>
    <row r="110" customFormat="false" ht="39.75" hidden="false" customHeight="true" outlineLevel="0" collapsed="false">
      <c r="A110" s="14" t="s">
        <v>4836</v>
      </c>
      <c r="B110" s="14" t="s">
        <v>247</v>
      </c>
      <c r="C110" s="14" t="s">
        <v>442</v>
      </c>
      <c r="D110" s="14" t="s">
        <v>4539</v>
      </c>
      <c r="E110" s="15" t="n">
        <v>68000</v>
      </c>
      <c r="F110" s="14" t="n">
        <v>8.5</v>
      </c>
      <c r="G110" s="14" t="n">
        <v>1</v>
      </c>
      <c r="H110" s="6" t="s">
        <v>4541</v>
      </c>
      <c r="I110" s="16" t="s">
        <v>4547</v>
      </c>
      <c r="J110" s="6" t="s">
        <v>4544</v>
      </c>
    </row>
    <row r="111" customFormat="false" ht="39.75" hidden="false" customHeight="true" outlineLevel="0" collapsed="false">
      <c r="A111" s="14" t="s">
        <v>4836</v>
      </c>
      <c r="B111" s="14" t="s">
        <v>374</v>
      </c>
      <c r="C111" s="14" t="s">
        <v>221</v>
      </c>
      <c r="D111" s="14" t="s">
        <v>4849</v>
      </c>
      <c r="E111" s="15" t="n">
        <v>38968</v>
      </c>
      <c r="F111" s="14" t="n">
        <v>7.7</v>
      </c>
      <c r="G111" s="14" t="n">
        <v>1</v>
      </c>
      <c r="H111" s="6" t="s">
        <v>4920</v>
      </c>
      <c r="I111" s="16" t="s">
        <v>4921</v>
      </c>
      <c r="J111" s="6"/>
    </row>
    <row r="112" customFormat="false" ht="39.75" hidden="false" customHeight="true" outlineLevel="0" collapsed="false">
      <c r="A112" s="14" t="s">
        <v>4836</v>
      </c>
      <c r="B112" s="14" t="s">
        <v>374</v>
      </c>
      <c r="C112" s="14" t="s">
        <v>221</v>
      </c>
      <c r="D112" s="14" t="s">
        <v>4922</v>
      </c>
      <c r="E112" s="15" t="n">
        <v>37328</v>
      </c>
      <c r="F112" s="14" t="n">
        <v>7.6</v>
      </c>
      <c r="G112" s="14" t="n">
        <v>1</v>
      </c>
      <c r="H112" s="6" t="s">
        <v>4923</v>
      </c>
      <c r="I112" s="16" t="s">
        <v>4924</v>
      </c>
      <c r="J112" s="6"/>
    </row>
    <row r="113" customFormat="false" ht="39.75" hidden="false" customHeight="true" outlineLevel="0" collapsed="false">
      <c r="A113" s="14" t="s">
        <v>4837</v>
      </c>
      <c r="B113" s="14" t="s">
        <v>247</v>
      </c>
      <c r="C113" s="14" t="s">
        <v>442</v>
      </c>
      <c r="D113" s="14" t="s">
        <v>4557</v>
      </c>
      <c r="E113" s="15" t="n">
        <v>20000</v>
      </c>
      <c r="F113" s="14" t="n">
        <v>6.9</v>
      </c>
      <c r="G113" s="14" t="n">
        <v>1</v>
      </c>
      <c r="H113" s="6" t="s">
        <v>4559</v>
      </c>
      <c r="I113" s="16" t="s">
        <v>4565</v>
      </c>
      <c r="J113" s="6" t="s">
        <v>4562</v>
      </c>
    </row>
    <row r="114" customFormat="false" ht="39.75" hidden="false" customHeight="true" outlineLevel="0" collapsed="false">
      <c r="A114" s="14" t="s">
        <v>4835</v>
      </c>
      <c r="B114" s="14" t="s">
        <v>247</v>
      </c>
      <c r="C114" s="14" t="s">
        <v>221</v>
      </c>
      <c r="D114" s="14" t="s">
        <v>4925</v>
      </c>
      <c r="E114" s="15" t="n">
        <v>93798</v>
      </c>
      <c r="F114" s="14" t="n">
        <v>6.2</v>
      </c>
      <c r="G114" s="14" t="n">
        <v>1</v>
      </c>
      <c r="H114" s="6" t="s">
        <v>4926</v>
      </c>
      <c r="I114" s="16" t="s">
        <v>4927</v>
      </c>
      <c r="J114" s="6"/>
    </row>
    <row r="115" customFormat="false" ht="39.75" hidden="false" customHeight="true" outlineLevel="0" collapsed="false">
      <c r="A115" s="14" t="s">
        <v>4836</v>
      </c>
      <c r="B115" s="14" t="s">
        <v>374</v>
      </c>
      <c r="C115" s="14" t="s">
        <v>221</v>
      </c>
      <c r="D115" s="14" t="s">
        <v>4928</v>
      </c>
      <c r="E115" s="15" t="n">
        <v>53668</v>
      </c>
      <c r="F115" s="14" t="n">
        <v>5.9</v>
      </c>
      <c r="G115" s="14" t="n">
        <v>1</v>
      </c>
      <c r="H115" s="6" t="s">
        <v>4929</v>
      </c>
      <c r="I115" s="16" t="s">
        <v>4930</v>
      </c>
      <c r="J115" s="6"/>
    </row>
    <row r="116" customFormat="false" ht="39.75" hidden="false" customHeight="true" outlineLevel="0" collapsed="false">
      <c r="A116" s="14" t="s">
        <v>4854</v>
      </c>
      <c r="B116" s="14" t="s">
        <v>247</v>
      </c>
      <c r="C116" s="14" t="s">
        <v>221</v>
      </c>
      <c r="D116" s="14" t="s">
        <v>4925</v>
      </c>
      <c r="E116" s="15" t="n">
        <v>93798</v>
      </c>
      <c r="F116" s="14" t="n">
        <v>5.8</v>
      </c>
      <c r="G116" s="14" t="n">
        <v>1</v>
      </c>
      <c r="H116" s="6" t="s">
        <v>4931</v>
      </c>
      <c r="I116" s="16" t="s">
        <v>4932</v>
      </c>
      <c r="J116" s="6"/>
    </row>
    <row r="117" customFormat="false" ht="39.75" hidden="false" customHeight="true" outlineLevel="0" collapsed="false">
      <c r="A117" s="14" t="s">
        <v>4836</v>
      </c>
      <c r="B117" s="14" t="s">
        <v>374</v>
      </c>
      <c r="C117" s="14" t="s">
        <v>221</v>
      </c>
      <c r="D117" s="14" t="s">
        <v>4849</v>
      </c>
      <c r="E117" s="15" t="n">
        <v>38968</v>
      </c>
      <c r="F117" s="14" t="n">
        <v>5.2</v>
      </c>
      <c r="G117" s="14" t="n">
        <v>1</v>
      </c>
      <c r="H117" s="6" t="s">
        <v>4933</v>
      </c>
      <c r="I117" s="16" t="s">
        <v>4934</v>
      </c>
      <c r="J117" s="6"/>
    </row>
    <row r="118" customFormat="false" ht="39.75" hidden="false" customHeight="true" outlineLevel="0" collapsed="false">
      <c r="A118" s="14" t="s">
        <v>4834</v>
      </c>
      <c r="B118" s="14" t="s">
        <v>247</v>
      </c>
      <c r="C118" s="14" t="s">
        <v>442</v>
      </c>
      <c r="D118" s="14" t="s">
        <v>4575</v>
      </c>
      <c r="E118" s="15" t="n">
        <v>70000</v>
      </c>
      <c r="F118" s="14" t="n">
        <v>4.7</v>
      </c>
      <c r="G118" s="14" t="n">
        <v>1</v>
      </c>
      <c r="H118" s="6" t="s">
        <v>4576</v>
      </c>
      <c r="I118" s="16" t="s">
        <v>4581</v>
      </c>
      <c r="J118" s="6" t="s">
        <v>4579</v>
      </c>
    </row>
  </sheetData>
  <autoFilter ref="A11:J118"/>
  <hyperlinks>
    <hyperlink ref="I12" r:id="rId1" display="https://www.instagram.com/reel/DV2q3zoErC3/"/>
    <hyperlink ref="I13" r:id="rId2" display="https://www.instagram.com/reel/DXwmJB0S7TG/"/>
    <hyperlink ref="I14" r:id="rId3" display="https://www.instagram.com/reel/DcGk3BOI4_r/"/>
    <hyperlink ref="I15" r:id="rId4" display="https://x.com/theroborourke/status/2000523290205364430"/>
    <hyperlink ref="I16" r:id="rId5" display="https://www.instagram.com/reel/DbYt14LMoeA/"/>
    <hyperlink ref="I17" r:id="rId6" display="https://x.com/Hartdrawss/status/2029852118723551289"/>
    <hyperlink ref="I18" r:id="rId7" display="https://www.linkedin.com/feed/update/urn:li:activity:7505869737239691264"/>
    <hyperlink ref="I19" r:id="rId8" display="https://www.instagram.com/p/DThOGx3gZ6T/"/>
    <hyperlink ref="I20" r:id="rId9" display="https://www.instagram.com/reel/DclVkO-ym1J/"/>
    <hyperlink ref="I21" r:id="rId10" display="https://www.instagram.com/reel/DbYHkLmtIBv/"/>
    <hyperlink ref="I22" r:id="rId11" display="https://www.instagram.com/reel/DcC-2k8zJqP/"/>
    <hyperlink ref="I23" r:id="rId12" display="https://www.instagram.com/reel/DW9CNBigZnZ/"/>
    <hyperlink ref="I24" r:id="rId13" display="https://www.instagram.com/reel/DctTCKgO6JQ/"/>
    <hyperlink ref="I25" r:id="rId14" display="https://www.linkedin.com/feed/update/urn:li:activity:7396769690724995072"/>
    <hyperlink ref="I26" r:id="rId15" display="https://x.com/DeepStarts/status/2055143109194068017"/>
    <hyperlink ref="I27" r:id="rId16" display="https://x.com/anuhariharan/status/1988453584099221689"/>
    <hyperlink ref="I28" r:id="rId17" display="https://www.instagram.com/reel/DbqZgYdC3Th/"/>
    <hyperlink ref="I29" r:id="rId18" display="https://www.instagram.com/reel/DcJTeGCvjdA/"/>
    <hyperlink ref="I30" r:id="rId19" display="https://www.instagram.com/reel/DdT6E3pyk6z/"/>
    <hyperlink ref="I31" r:id="rId20" display="https://www.instagram.com/reel/Db0WCUkOUwe/"/>
    <hyperlink ref="I32" r:id="rId21" display="https://www.instagram.com/reel/DdYuYOjTZnS/"/>
    <hyperlink ref="I33" r:id="rId22" display="https://www.instagram.com/reel/Ddin5MfRj-4/"/>
    <hyperlink ref="I34" r:id="rId23" display="https://www.instagram.com/reel/Dbaj1-HI7r5/"/>
    <hyperlink ref="I35" r:id="rId24" display="https://x.com/CAronitpereira/status/2010993908382343528"/>
    <hyperlink ref="I36" r:id="rId25" display="https://x.com/CAronitpereira/status/2054862822564364779"/>
    <hyperlink ref="I37" r:id="rId26" display="https://www.instagram.com/reel/DbfyZjwvktr/"/>
    <hyperlink ref="I38" r:id="rId27" display="https://www.instagram.com/reel/DbpmEFEzK1d/"/>
    <hyperlink ref="I39" r:id="rId28" display="https://www.instagram.com/reel/Db26XzEMB3d/"/>
    <hyperlink ref="I40" r:id="rId29" display="https://www.instagram.com/reel/DbKiMvsPtRE/"/>
    <hyperlink ref="I41" r:id="rId30" display="https://www.instagram.com/reel/Db2z_8uBAfN/"/>
    <hyperlink ref="I42" r:id="rId31" display="https://www.instagram.com/reel/DaFADRqhg61/"/>
    <hyperlink ref="I43" r:id="rId32" display="https://www.instagram.com/reel/Db7r2S2hEaF/"/>
    <hyperlink ref="I44" r:id="rId33" display="https://www.instagram.com/reel/DbatW3Uh2Ve/"/>
    <hyperlink ref="I45" r:id="rId34" display="https://www.linkedin.com/feed/update/urn:li:activity:7443528086735716352"/>
    <hyperlink ref="I46" r:id="rId35" display="https://www.linkedin.com/feed/update/urn:li:activity:7443190681994526720"/>
    <hyperlink ref="I47" r:id="rId36" display="https://www.instagram.com/reel/Dbv6XhYOAcM/"/>
    <hyperlink ref="I48" r:id="rId37" display="https://x.com/DiggingInTheDi1/status/2026311352503943626"/>
    <hyperlink ref="I49" r:id="rId38" display="https://www.linkedin.com/feed/update/urn:li:activity:7442759743301066752"/>
    <hyperlink ref="I50" r:id="rId39" display="https://www.linkedin.com/feed/update/urn:li:activity:7456985703294337024"/>
    <hyperlink ref="I51" r:id="rId40" display="https://www.linkedin.com/feed/update/urn:li:activity:7477548978302033921"/>
    <hyperlink ref="I52" r:id="rId41" display="https://www.instagram.com/reel/DeUUhkvS8SC/"/>
    <hyperlink ref="I53" r:id="rId42" display="https://www.instagram.com/reel/DbdpWQkKQTH/"/>
    <hyperlink ref="I54" r:id="rId43" display="https://www.instagram.com/reel/Dck9JK2EwiA/"/>
    <hyperlink ref="I55" r:id="rId44" display="https://www.instagram.com/reel/DVViJW5DLh3/"/>
    <hyperlink ref="I56" r:id="rId45" display="https://www.instagram.com/reel/Dcsr0stohJb/"/>
    <hyperlink ref="I57" r:id="rId46" display="https://www.instagram.com/reel/Dd-nhdoMBoB/"/>
    <hyperlink ref="I58" r:id="rId47" display="https://www.instagram.com/reel/DbvYo5hP02-/"/>
    <hyperlink ref="I59" r:id="rId48" display="https://www.instagram.com/reel/Db0wqFCR5CY/"/>
    <hyperlink ref="I60" r:id="rId49" display="https://www.instagram.com/reel/Db5pAbKzcjZ/"/>
    <hyperlink ref="I61" r:id="rId50" display="https://www.instagram.com/reel/Db_O1_Ypj_1/"/>
    <hyperlink ref="I62" r:id="rId51" display="https://www.instagram.com/reel/Dd5kTbzTdrf/"/>
    <hyperlink ref="I63" r:id="rId52" display="https://x.com/CAronitpereira/status/2054099226729320836"/>
    <hyperlink ref="I64" r:id="rId53" display="https://x.com/rvivek/status/2021843250605437222"/>
    <hyperlink ref="I65" r:id="rId54" display="https://www.instagram.com/reel/DbpS24qhgIU/"/>
    <hyperlink ref="I66" r:id="rId55" display="https://www.instagram.com/reel/DdWUcbhtFO2/"/>
    <hyperlink ref="I67" r:id="rId56" display="https://www.instagram.com/reel/Dbizw94SdJE/"/>
    <hyperlink ref="I68" r:id="rId57" display="https://www.instagram.com/reel/DQHCOH5D4za/"/>
    <hyperlink ref="I69" r:id="rId58" display="https://www.instagram.com/reel/DbYTssJsLln/"/>
    <hyperlink ref="I70" r:id="rId59" display="https://www.instagram.com/reel/DcumVGviFgS/"/>
    <hyperlink ref="I71" r:id="rId60" display="https://www.instagram.com/reel/DXuExUikt9F/"/>
    <hyperlink ref="I72" r:id="rId61" display="https://x.com/VivanVatsa/status/2004774182207586390"/>
    <hyperlink ref="I73" r:id="rId62" display="https://www.instagram.com/reel/Dcv4iVHNANs/"/>
    <hyperlink ref="I74" r:id="rId63" display="https://www.instagram.com/reel/Dbl44DJyZCB/"/>
    <hyperlink ref="I75" r:id="rId64" display="https://x.com/himanshustwts/status/2024352139162898928"/>
    <hyperlink ref="I76" r:id="rId65" display="https://www.instagram.com/reel/DcCXsWCyYnH/"/>
    <hyperlink ref="I77" r:id="rId66" display="https://www.instagram.com/reel/DbTGpCLP7Ov/"/>
    <hyperlink ref="I78" r:id="rId67" display="https://www.instagram.com/reel/DbPT69cBZqK/"/>
    <hyperlink ref="I79" r:id="rId68" display="https://www.instagram.com/reel/DbAloO8uOhI/"/>
    <hyperlink ref="I80" r:id="rId69" display="https://www.instagram.com/reel/DbWFuaZA7z7/"/>
    <hyperlink ref="I81" r:id="rId70" display="https://www.instagram.com/reel/DbQbyPCJQvD/"/>
    <hyperlink ref="I82" r:id="rId71" display="https://www.instagram.com/reel/DbR_qwxOrf1/"/>
    <hyperlink ref="I83" r:id="rId72" display="https://www.instagram.com/reel/Dbh8j_dScO5/"/>
    <hyperlink ref="I84" r:id="rId73" display="https://www.instagram.com/reel/DbdkB9ByqRX/"/>
    <hyperlink ref="I85" r:id="rId74" display="https://www.instagram.com/reel/Dbk4MG8ypXT/"/>
    <hyperlink ref="I86" r:id="rId75" display="https://www.linkedin.com/feed/update/urn:li:activity:7443903524800946176"/>
    <hyperlink ref="I87" r:id="rId76" display="https://www.instagram.com/reel/DbdCGYATNfU/"/>
    <hyperlink ref="I88" r:id="rId77" display="https://www.instagram.com/reel/DbIYTGqxWa0/"/>
    <hyperlink ref="I89" r:id="rId78" display="https://www.instagram.com/reel/DdCBvNZMrOY/"/>
    <hyperlink ref="I90" r:id="rId79" display="https://www.linkedin.com/feed/update/urn:li:activity:7441813506254979072"/>
    <hyperlink ref="I91" r:id="rId80" display="https://www.instagram.com/reel/DbbOmwGxNis/"/>
    <hyperlink ref="I92" r:id="rId81" display="https://www.linkedin.com/feed/update/urn:li:activity:7443927333851267073"/>
    <hyperlink ref="I93" r:id="rId82" display="https://www.linkedin.com/feed/update/urn:li:activity:7443541136532480000"/>
    <hyperlink ref="I94" r:id="rId83" display="https://www.instagram.com/reel/DcocuiVSB8i/"/>
    <hyperlink ref="I95" r:id="rId84" display="https://www.instagram.com/reel/Da6x47korYv/"/>
    <hyperlink ref="I96" r:id="rId85" display="https://www.instagram.com/reel/DbdUe5MT99a/"/>
    <hyperlink ref="I97" r:id="rId86" display="https://www.instagram.com/reel/DYR4yD6IpAy/"/>
    <hyperlink ref="I98" r:id="rId87" display="https://www.instagram.com/reel/DbLKg4pBYmD/"/>
    <hyperlink ref="I99" r:id="rId88" display="https://www.instagram.com/reel/Db7bfJ9TYda/"/>
    <hyperlink ref="I100" r:id="rId89" display="https://www.linkedin.com/feed/update/urn:li:activity:7408558193007783936"/>
    <hyperlink ref="I101" r:id="rId90" display="https://www.linkedin.com/feed/update/urn:li:activity:7408468775332933632"/>
    <hyperlink ref="I102" r:id="rId91" display="https://www.linkedin.com/feed/update/urn:li:activity:7408376664155389953"/>
    <hyperlink ref="I103" r:id="rId92" display="https://www.linkedin.com/feed/update/urn:li:activity:7408344219414618112"/>
    <hyperlink ref="I104" r:id="rId93" display="https://x.com/danielfazio/status/2008985587379044439"/>
    <hyperlink ref="I105" r:id="rId94" display="https://www.linkedin.com/feed/update/urn:li:activity:7483501350820151296"/>
    <hyperlink ref="I106" r:id="rId95" display="https://www.instagram.com/reel/Ddb6C_lhTyK/"/>
    <hyperlink ref="I107" r:id="rId96" display="https://www.instagram.com/reel/DbAGJJmOeEO/"/>
    <hyperlink ref="I108" r:id="rId97" display="https://www.instagram.com/reel/DaKT9OByawu/"/>
    <hyperlink ref="I109" r:id="rId98" display="https://www.instagram.com/reel/DckQPHbKv3O/"/>
    <hyperlink ref="I110" r:id="rId99" display="https://www.instagram.com/reel/Db979kMJpCS/"/>
    <hyperlink ref="I111" r:id="rId100" display="https://www.linkedin.com/feed/update/urn:li:activity:7406556935870713856"/>
    <hyperlink ref="I112" r:id="rId101" display="https://www.linkedin.com/feed/update/urn:li:activity:7411277491014819840"/>
    <hyperlink ref="I113" r:id="rId102" display="https://www.instagram.com/reel/DcbgeWkASYX/"/>
    <hyperlink ref="I114" r:id="rId103" display="https://www.instagram.com/reel/DdLNmpNydf6/"/>
    <hyperlink ref="I115" r:id="rId104" display="https://www.linkedin.com/feed/update/urn:li:activity:7496525271265767424"/>
    <hyperlink ref="I116" r:id="rId105" display="https://www.instagram.com/reel/DcxiomEpBzE/"/>
    <hyperlink ref="I117" r:id="rId106" display="https://www.linkedin.com/feed/update/urn:li:activity:7468568161349439488"/>
    <hyperlink ref="I118" r:id="rId107" display="https://www.instagram.com/reel/DbdG3_HzAY8/"/>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08"/>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0"/>
  </cols>
  <sheetData>
    <row r="1" customFormat="false" ht="19.7" hidden="false" customHeight="false" outlineLevel="0" collapsed="false">
      <c r="A1" s="1" t="s">
        <v>4935</v>
      </c>
    </row>
    <row r="2" customFormat="false" ht="15" hidden="false" customHeight="false" outlineLevel="0" collapsed="false">
      <c r="A2" s="2" t="s">
        <v>4936</v>
      </c>
    </row>
    <row r="4" customFormat="false" ht="27.75" hidden="false" customHeight="true" outlineLevel="0" collapsed="false">
      <c r="A4" s="5" t="s">
        <v>4937</v>
      </c>
      <c r="B4" s="6" t="s">
        <v>4938</v>
      </c>
    </row>
    <row r="5" customFormat="false" ht="27.75" hidden="false" customHeight="true" outlineLevel="0" collapsed="false">
      <c r="A5" s="5" t="s">
        <v>4939</v>
      </c>
      <c r="B5" s="6" t="s">
        <v>4940</v>
      </c>
    </row>
    <row r="6" customFormat="false" ht="27.75" hidden="false" customHeight="true" outlineLevel="0" collapsed="false">
      <c r="A6" s="5" t="s">
        <v>4941</v>
      </c>
      <c r="B6" s="6" t="s">
        <v>4942</v>
      </c>
    </row>
    <row r="7" customFormat="false" ht="27.75" hidden="false" customHeight="true" outlineLevel="0" collapsed="false">
      <c r="A7" s="5" t="s">
        <v>4943</v>
      </c>
      <c r="B7" s="6" t="s">
        <v>4944</v>
      </c>
    </row>
    <row r="8" customFormat="false" ht="27.75" hidden="false" customHeight="true" outlineLevel="0" collapsed="false">
      <c r="A8" s="5" t="s">
        <v>4945</v>
      </c>
      <c r="B8" s="6" t="s">
        <v>4946</v>
      </c>
    </row>
    <row r="9" customFormat="false" ht="15" hidden="false" customHeight="true" outlineLevel="0" collapsed="false">
      <c r="A9" s="5" t="s">
        <v>4947</v>
      </c>
      <c r="B9" s="6" t="s">
        <v>4948</v>
      </c>
    </row>
    <row r="10" customFormat="false" ht="42" hidden="false" customHeight="true" outlineLevel="0" collapsed="false">
      <c r="A10" s="5" t="s">
        <v>4949</v>
      </c>
      <c r="B10" s="6" t="s">
        <v>4950</v>
      </c>
    </row>
    <row r="12" customFormat="false" ht="15" hidden="false" customHeight="false" outlineLevel="0" collapsed="false">
      <c r="A12" s="3" t="s">
        <v>4951</v>
      </c>
      <c r="B12" s="4"/>
    </row>
    <row r="13" customFormat="false" ht="15" hidden="false" customHeight="true" outlineLevel="0" collapsed="false">
      <c r="A13" s="5" t="s">
        <v>4952</v>
      </c>
      <c r="B13" s="6" t="s">
        <v>4953</v>
      </c>
    </row>
    <row r="14" customFormat="false" ht="15" hidden="false" customHeight="true" outlineLevel="0" collapsed="false">
      <c r="A14" s="5" t="s">
        <v>4954</v>
      </c>
      <c r="B14" s="6" t="s">
        <v>4955</v>
      </c>
    </row>
    <row r="15" customFormat="false" ht="15" hidden="false" customHeight="true" outlineLevel="0" collapsed="false">
      <c r="A15" s="5" t="s">
        <v>4956</v>
      </c>
      <c r="B15" s="6" t="s">
        <v>4957</v>
      </c>
    </row>
    <row r="16" customFormat="false" ht="15" hidden="false" customHeight="true" outlineLevel="0" collapsed="false">
      <c r="A16" s="5" t="s">
        <v>4958</v>
      </c>
      <c r="B16" s="6" t="s">
        <v>4959</v>
      </c>
    </row>
    <row r="17" customFormat="false" ht="15" hidden="false" customHeight="true" outlineLevel="0" collapsed="false">
      <c r="A17" s="5" t="s">
        <v>4960</v>
      </c>
      <c r="B17" s="6" t="s">
        <v>4961</v>
      </c>
    </row>
    <row r="18" customFormat="false" ht="15" hidden="false" customHeight="true" outlineLevel="0" collapsed="false">
      <c r="A18" s="5" t="s">
        <v>4962</v>
      </c>
      <c r="B18" s="6" t="s">
        <v>4963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22"/>
    <col collapsed="false" customWidth="true" hidden="false" outlineLevel="0" max="4" min="4" style="0" width="10"/>
    <col collapsed="false" customWidth="true" hidden="false" outlineLevel="0" max="5" min="5" style="0" width="9"/>
    <col collapsed="false" customWidth="true" hidden="false" outlineLevel="0" max="6" min="6" style="0" width="22"/>
    <col collapsed="false" customWidth="true" hidden="false" outlineLevel="0" max="7" min="7" style="0" width="60"/>
    <col collapsed="false" customWidth="true" hidden="false" outlineLevel="0" max="8" min="8" style="0" width="24"/>
    <col collapsed="false" customWidth="true" hidden="false" outlineLevel="0" max="9" min="9" style="0" width="32"/>
    <col collapsed="false" customWidth="true" hidden="false" outlineLevel="0" max="10" min="10" style="0" width="60"/>
  </cols>
  <sheetData>
    <row r="1" customFormat="false" ht="15" hidden="false" customHeight="false" outlineLevel="0" collapsed="false">
      <c r="A1" s="25" t="s">
        <v>4964</v>
      </c>
    </row>
    <row r="2" customFormat="false" ht="31.5" hidden="false" customHeight="true" outlineLevel="0" collapsed="false">
      <c r="A2" s="13" t="s">
        <v>178</v>
      </c>
      <c r="B2" s="13" t="s">
        <v>179</v>
      </c>
      <c r="C2" s="13" t="s">
        <v>186</v>
      </c>
      <c r="D2" s="13" t="s">
        <v>188</v>
      </c>
      <c r="E2" s="13" t="s">
        <v>40</v>
      </c>
      <c r="F2" s="13" t="s">
        <v>194</v>
      </c>
      <c r="G2" s="13" t="s">
        <v>3396</v>
      </c>
      <c r="H2" s="13" t="s">
        <v>197</v>
      </c>
      <c r="I2" s="13" t="s">
        <v>191</v>
      </c>
      <c r="J2" s="13" t="s">
        <v>4965</v>
      </c>
    </row>
    <row r="3" customFormat="false" ht="39.75" hidden="false" customHeight="true" outlineLevel="0" collapsed="false">
      <c r="A3" s="14" t="n">
        <v>1</v>
      </c>
      <c r="B3" s="14" t="s">
        <v>247</v>
      </c>
      <c r="C3" s="14" t="s">
        <v>3646</v>
      </c>
      <c r="D3" s="15" t="n">
        <v>18200</v>
      </c>
      <c r="E3" s="18" t="n">
        <v>937.1</v>
      </c>
      <c r="F3" s="14" t="s">
        <v>255</v>
      </c>
      <c r="G3" s="6" t="s">
        <v>3648</v>
      </c>
      <c r="H3" s="14" t="s">
        <v>4966</v>
      </c>
      <c r="I3" s="16" t="s">
        <v>3654</v>
      </c>
      <c r="J3" s="6" t="s">
        <v>4967</v>
      </c>
    </row>
    <row r="4" customFormat="false" ht="39.75" hidden="false" customHeight="true" outlineLevel="0" collapsed="false">
      <c r="A4" s="14" t="n">
        <v>2</v>
      </c>
      <c r="B4" s="14" t="s">
        <v>247</v>
      </c>
      <c r="C4" s="14" t="s">
        <v>4968</v>
      </c>
      <c r="D4" s="15" t="n">
        <v>78728</v>
      </c>
      <c r="E4" s="18" t="n">
        <v>830</v>
      </c>
      <c r="F4" s="14" t="s">
        <v>255</v>
      </c>
      <c r="G4" s="6" t="s">
        <v>4969</v>
      </c>
      <c r="H4" s="14" t="s">
        <v>810</v>
      </c>
      <c r="I4" s="16" t="s">
        <v>4970</v>
      </c>
      <c r="J4" s="6" t="s">
        <v>534</v>
      </c>
    </row>
    <row r="5" customFormat="false" ht="39.75" hidden="false" customHeight="true" outlineLevel="0" collapsed="false">
      <c r="A5" s="14" t="n">
        <v>3</v>
      </c>
      <c r="B5" s="14" t="s">
        <v>247</v>
      </c>
      <c r="C5" s="14" t="s">
        <v>4971</v>
      </c>
      <c r="D5" s="15" t="n">
        <v>46551</v>
      </c>
      <c r="E5" s="18" t="n">
        <v>758.7</v>
      </c>
      <c r="F5" s="14" t="s">
        <v>330</v>
      </c>
      <c r="G5" s="6" t="s">
        <v>4972</v>
      </c>
      <c r="H5" s="14" t="s">
        <v>810</v>
      </c>
      <c r="I5" s="16" t="s">
        <v>4973</v>
      </c>
      <c r="J5" s="6" t="s">
        <v>334</v>
      </c>
    </row>
    <row r="6" customFormat="false" ht="39.75" hidden="false" customHeight="true" outlineLevel="0" collapsed="false">
      <c r="A6" s="14" t="n">
        <v>4</v>
      </c>
      <c r="B6" s="14" t="s">
        <v>220</v>
      </c>
      <c r="C6" s="14" t="s">
        <v>4974</v>
      </c>
      <c r="D6" s="15" t="n">
        <v>9539</v>
      </c>
      <c r="E6" s="18" t="n">
        <v>559.9</v>
      </c>
      <c r="F6" s="14" t="s">
        <v>255</v>
      </c>
      <c r="G6" s="6" t="s">
        <v>4975</v>
      </c>
      <c r="H6" s="14" t="s">
        <v>237</v>
      </c>
      <c r="I6" s="16" t="s">
        <v>4976</v>
      </c>
      <c r="J6" s="6" t="s">
        <v>259</v>
      </c>
    </row>
    <row r="7" customFormat="false" ht="39.75" hidden="false" customHeight="true" outlineLevel="0" collapsed="false">
      <c r="A7" s="14" t="n">
        <v>5</v>
      </c>
      <c r="B7" s="14" t="s">
        <v>247</v>
      </c>
      <c r="C7" s="14" t="s">
        <v>3669</v>
      </c>
      <c r="D7" s="15" t="n">
        <v>75000</v>
      </c>
      <c r="E7" s="18" t="n">
        <v>511.4</v>
      </c>
      <c r="F7" s="14" t="s">
        <v>330</v>
      </c>
      <c r="G7" s="6" t="s">
        <v>3671</v>
      </c>
      <c r="H7" s="14" t="s">
        <v>4977</v>
      </c>
      <c r="I7" s="16" t="s">
        <v>3677</v>
      </c>
      <c r="J7" s="6" t="s">
        <v>4978</v>
      </c>
    </row>
    <row r="8" customFormat="false" ht="39.75" hidden="false" customHeight="true" outlineLevel="0" collapsed="false">
      <c r="A8" s="14" t="n">
        <v>6</v>
      </c>
      <c r="B8" s="14" t="s">
        <v>247</v>
      </c>
      <c r="C8" s="14" t="s">
        <v>3683</v>
      </c>
      <c r="D8" s="15" t="n">
        <v>13200</v>
      </c>
      <c r="E8" s="18" t="n">
        <v>408.1</v>
      </c>
      <c r="F8" s="14" t="s">
        <v>255</v>
      </c>
      <c r="G8" s="6" t="s">
        <v>3684</v>
      </c>
      <c r="H8" s="14" t="s">
        <v>4979</v>
      </c>
      <c r="I8" s="16" t="s">
        <v>3690</v>
      </c>
      <c r="J8" s="6" t="s">
        <v>4980</v>
      </c>
    </row>
    <row r="9" customFormat="false" ht="39.75" hidden="false" customHeight="true" outlineLevel="0" collapsed="false">
      <c r="A9" s="14" t="n">
        <v>7</v>
      </c>
      <c r="B9" s="14" t="s">
        <v>247</v>
      </c>
      <c r="C9" s="14" t="s">
        <v>3691</v>
      </c>
      <c r="D9" s="15" t="n">
        <v>11500</v>
      </c>
      <c r="E9" s="18" t="n">
        <v>389.8</v>
      </c>
      <c r="F9" s="14" t="s">
        <v>255</v>
      </c>
      <c r="G9" s="6" t="s">
        <v>3692</v>
      </c>
      <c r="H9" s="14" t="s">
        <v>4981</v>
      </c>
      <c r="I9" s="16" t="s">
        <v>3698</v>
      </c>
      <c r="J9" s="6" t="s">
        <v>4982</v>
      </c>
    </row>
    <row r="10" customFormat="false" ht="39.75" hidden="false" customHeight="true" outlineLevel="0" collapsed="false">
      <c r="A10" s="14" t="n">
        <v>8</v>
      </c>
      <c r="B10" s="14" t="s">
        <v>247</v>
      </c>
      <c r="C10" s="14" t="s">
        <v>3699</v>
      </c>
      <c r="D10" s="15" t="n">
        <v>30500</v>
      </c>
      <c r="E10" s="18" t="n">
        <v>375.8</v>
      </c>
      <c r="F10" s="14" t="s">
        <v>513</v>
      </c>
      <c r="G10" s="6" t="s">
        <v>3701</v>
      </c>
      <c r="H10" s="14" t="s">
        <v>4983</v>
      </c>
      <c r="I10" s="16" t="s">
        <v>3707</v>
      </c>
      <c r="J10" s="6" t="s">
        <v>4984</v>
      </c>
    </row>
    <row r="11" customFormat="false" ht="39.75" hidden="false" customHeight="true" outlineLevel="0" collapsed="false">
      <c r="A11" s="14" t="n">
        <v>9</v>
      </c>
      <c r="B11" s="14" t="s">
        <v>220</v>
      </c>
      <c r="C11" s="14" t="s">
        <v>4985</v>
      </c>
      <c r="D11" s="15" t="n">
        <v>47616</v>
      </c>
      <c r="E11" s="18" t="n">
        <v>357.4</v>
      </c>
      <c r="F11" s="14" t="s">
        <v>255</v>
      </c>
      <c r="G11" s="6" t="s">
        <v>4986</v>
      </c>
      <c r="H11" s="14" t="s">
        <v>288</v>
      </c>
      <c r="I11" s="16" t="s">
        <v>4987</v>
      </c>
      <c r="J11" s="6" t="s">
        <v>534</v>
      </c>
    </row>
    <row r="12" customFormat="false" ht="39.75" hidden="false" customHeight="true" outlineLevel="0" collapsed="false">
      <c r="A12" s="14" t="n">
        <v>10</v>
      </c>
      <c r="B12" s="14" t="s">
        <v>247</v>
      </c>
      <c r="C12" s="14" t="s">
        <v>3708</v>
      </c>
      <c r="D12" s="15" t="n">
        <v>36000</v>
      </c>
      <c r="E12" s="18" t="n">
        <v>356.8</v>
      </c>
      <c r="F12" s="14" t="s">
        <v>255</v>
      </c>
      <c r="G12" s="6" t="s">
        <v>3709</v>
      </c>
      <c r="H12" s="14" t="s">
        <v>1256</v>
      </c>
      <c r="I12" s="16" t="s">
        <v>3714</v>
      </c>
      <c r="J12" s="6" t="s">
        <v>4988</v>
      </c>
    </row>
    <row r="13" customFormat="false" ht="39.75" hidden="false" customHeight="true" outlineLevel="0" collapsed="false">
      <c r="A13" s="14" t="n">
        <v>11</v>
      </c>
      <c r="B13" s="14" t="s">
        <v>247</v>
      </c>
      <c r="C13" s="14" t="s">
        <v>3715</v>
      </c>
      <c r="D13" s="15" t="n">
        <v>8400</v>
      </c>
      <c r="E13" s="18" t="n">
        <v>349.8</v>
      </c>
      <c r="F13" s="14" t="s">
        <v>685</v>
      </c>
      <c r="G13" s="6" t="s">
        <v>3717</v>
      </c>
      <c r="H13" s="14" t="s">
        <v>4989</v>
      </c>
      <c r="I13" s="16" t="s">
        <v>3723</v>
      </c>
      <c r="J13" s="6" t="s">
        <v>4990</v>
      </c>
    </row>
    <row r="14" customFormat="false" ht="39.75" hidden="false" customHeight="true" outlineLevel="0" collapsed="false">
      <c r="A14" s="14" t="n">
        <v>12</v>
      </c>
      <c r="B14" s="14" t="s">
        <v>247</v>
      </c>
      <c r="C14" s="14" t="s">
        <v>3724</v>
      </c>
      <c r="D14" s="15" t="n">
        <v>9000</v>
      </c>
      <c r="E14" s="18" t="n">
        <v>338.3</v>
      </c>
      <c r="F14" s="14" t="s">
        <v>255</v>
      </c>
      <c r="G14" s="6" t="s">
        <v>3725</v>
      </c>
      <c r="H14" s="14" t="s">
        <v>4991</v>
      </c>
      <c r="I14" s="16" t="s">
        <v>3731</v>
      </c>
      <c r="J14" s="6" t="s">
        <v>4992</v>
      </c>
    </row>
    <row r="15" customFormat="false" ht="39.75" hidden="false" customHeight="true" outlineLevel="0" collapsed="false">
      <c r="A15" s="14" t="n">
        <v>13</v>
      </c>
      <c r="B15" s="14" t="s">
        <v>247</v>
      </c>
      <c r="C15" s="14" t="s">
        <v>3732</v>
      </c>
      <c r="D15" s="15" t="n">
        <v>6100</v>
      </c>
      <c r="E15" s="18" t="n">
        <v>320.8</v>
      </c>
      <c r="F15" s="14" t="s">
        <v>685</v>
      </c>
      <c r="G15" s="6" t="s">
        <v>3734</v>
      </c>
      <c r="H15" s="14" t="s">
        <v>930</v>
      </c>
      <c r="I15" s="16" t="s">
        <v>3739</v>
      </c>
      <c r="J15" s="6" t="s">
        <v>4993</v>
      </c>
    </row>
    <row r="16" customFormat="false" ht="39.75" hidden="false" customHeight="true" outlineLevel="0" collapsed="false">
      <c r="A16" s="14" t="n">
        <v>14</v>
      </c>
      <c r="B16" s="14" t="s">
        <v>247</v>
      </c>
      <c r="C16" s="14" t="s">
        <v>3740</v>
      </c>
      <c r="D16" s="15" t="n">
        <v>24500</v>
      </c>
      <c r="E16" s="18" t="n">
        <v>318.2</v>
      </c>
      <c r="F16" s="14" t="s">
        <v>255</v>
      </c>
      <c r="G16" s="6" t="s">
        <v>3741</v>
      </c>
      <c r="H16" s="14" t="s">
        <v>4994</v>
      </c>
      <c r="I16" s="16" t="s">
        <v>3747</v>
      </c>
      <c r="J16" s="6" t="s">
        <v>4995</v>
      </c>
    </row>
    <row r="17" customFormat="false" ht="39.75" hidden="false" customHeight="true" outlineLevel="0" collapsed="false">
      <c r="A17" s="14" t="n">
        <v>15</v>
      </c>
      <c r="B17" s="14" t="s">
        <v>247</v>
      </c>
      <c r="C17" s="14" t="s">
        <v>3748</v>
      </c>
      <c r="D17" s="15" t="n">
        <v>9700</v>
      </c>
      <c r="E17" s="18" t="n">
        <v>309.5</v>
      </c>
      <c r="F17" s="14" t="s">
        <v>330</v>
      </c>
      <c r="G17" s="6" t="s">
        <v>3750</v>
      </c>
      <c r="H17" s="14" t="s">
        <v>4996</v>
      </c>
      <c r="I17" s="16" t="s">
        <v>3756</v>
      </c>
      <c r="J17" s="6" t="s">
        <v>4997</v>
      </c>
    </row>
    <row r="18" customFormat="false" ht="39.75" hidden="false" customHeight="true" outlineLevel="0" collapsed="false">
      <c r="A18" s="14" t="n">
        <v>16</v>
      </c>
      <c r="B18" s="14" t="s">
        <v>247</v>
      </c>
      <c r="C18" s="14" t="s">
        <v>4998</v>
      </c>
      <c r="D18" s="15" t="n">
        <v>51579</v>
      </c>
      <c r="E18" s="18" t="n">
        <v>292.4</v>
      </c>
      <c r="F18" s="14" t="s">
        <v>255</v>
      </c>
      <c r="G18" s="6" t="s">
        <v>4999</v>
      </c>
      <c r="H18" s="14" t="s">
        <v>810</v>
      </c>
      <c r="I18" s="16" t="s">
        <v>5000</v>
      </c>
      <c r="J18" s="6" t="s">
        <v>534</v>
      </c>
    </row>
    <row r="19" customFormat="false" ht="39.75" hidden="false" customHeight="true" outlineLevel="0" collapsed="false">
      <c r="A19" s="14" t="n">
        <v>17</v>
      </c>
      <c r="B19" s="14" t="s">
        <v>374</v>
      </c>
      <c r="C19" s="14" t="s">
        <v>5001</v>
      </c>
      <c r="D19" s="15" t="n">
        <v>11978</v>
      </c>
      <c r="E19" s="18" t="n">
        <v>287.7</v>
      </c>
      <c r="F19" s="14" t="s">
        <v>255</v>
      </c>
      <c r="G19" s="6" t="s">
        <v>5002</v>
      </c>
      <c r="H19" s="14" t="s">
        <v>383</v>
      </c>
      <c r="I19" s="16" t="s">
        <v>5003</v>
      </c>
      <c r="J19" s="6" t="s">
        <v>2666</v>
      </c>
    </row>
    <row r="20" customFormat="false" ht="39.75" hidden="false" customHeight="true" outlineLevel="0" collapsed="false">
      <c r="A20" s="14" t="n">
        <v>18</v>
      </c>
      <c r="B20" s="14" t="s">
        <v>374</v>
      </c>
      <c r="C20" s="14" t="s">
        <v>5001</v>
      </c>
      <c r="D20" s="15" t="n">
        <v>11978</v>
      </c>
      <c r="E20" s="18" t="n">
        <v>286</v>
      </c>
      <c r="F20" s="14" t="s">
        <v>1635</v>
      </c>
      <c r="G20" s="6" t="s">
        <v>5004</v>
      </c>
      <c r="H20" s="14" t="s">
        <v>383</v>
      </c>
      <c r="I20" s="16" t="s">
        <v>5005</v>
      </c>
      <c r="J20" s="6" t="s">
        <v>259</v>
      </c>
    </row>
    <row r="21" customFormat="false" ht="39.75" hidden="false" customHeight="true" outlineLevel="0" collapsed="false">
      <c r="A21" s="14" t="n">
        <v>19</v>
      </c>
      <c r="B21" s="14" t="s">
        <v>374</v>
      </c>
      <c r="C21" s="14" t="s">
        <v>5001</v>
      </c>
      <c r="D21" s="15" t="n">
        <v>11978</v>
      </c>
      <c r="E21" s="18" t="n">
        <v>286</v>
      </c>
      <c r="F21" s="14" t="s">
        <v>1635</v>
      </c>
      <c r="G21" s="6" t="s">
        <v>5004</v>
      </c>
      <c r="H21" s="14" t="s">
        <v>383</v>
      </c>
      <c r="I21" s="16" t="s">
        <v>5006</v>
      </c>
      <c r="J21" s="6" t="s">
        <v>259</v>
      </c>
    </row>
    <row r="22" customFormat="false" ht="39.75" hidden="false" customHeight="true" outlineLevel="0" collapsed="false">
      <c r="A22" s="14" t="n">
        <v>20</v>
      </c>
      <c r="B22" s="14" t="s">
        <v>247</v>
      </c>
      <c r="C22" s="14" t="s">
        <v>3757</v>
      </c>
      <c r="D22" s="15" t="n">
        <v>18000</v>
      </c>
      <c r="E22" s="18" t="n">
        <v>281.1</v>
      </c>
      <c r="F22" s="14" t="s">
        <v>255</v>
      </c>
      <c r="G22" s="6" t="s">
        <v>3758</v>
      </c>
      <c r="H22" s="14" t="s">
        <v>5007</v>
      </c>
      <c r="I22" s="16" t="s">
        <v>3764</v>
      </c>
      <c r="J22" s="6" t="s">
        <v>5008</v>
      </c>
    </row>
    <row r="23" customFormat="false" ht="39.75" hidden="false" customHeight="true" outlineLevel="0" collapsed="false">
      <c r="A23" s="14" t="n">
        <v>21</v>
      </c>
      <c r="B23" s="14" t="s">
        <v>247</v>
      </c>
      <c r="C23" s="14" t="s">
        <v>3765</v>
      </c>
      <c r="D23" s="15" t="n">
        <v>49400</v>
      </c>
      <c r="E23" s="18" t="n">
        <v>269.3</v>
      </c>
      <c r="F23" s="14" t="s">
        <v>1635</v>
      </c>
      <c r="G23" s="6" t="s">
        <v>3767</v>
      </c>
      <c r="H23" s="14" t="s">
        <v>5009</v>
      </c>
      <c r="I23" s="16" t="s">
        <v>3773</v>
      </c>
      <c r="J23" s="6" t="s">
        <v>5010</v>
      </c>
    </row>
    <row r="24" customFormat="false" ht="39.75" hidden="false" customHeight="true" outlineLevel="0" collapsed="false">
      <c r="A24" s="14" t="n">
        <v>22</v>
      </c>
      <c r="B24" s="14" t="s">
        <v>247</v>
      </c>
      <c r="C24" s="14" t="s">
        <v>3774</v>
      </c>
      <c r="D24" s="15" t="n">
        <v>6300</v>
      </c>
      <c r="E24" s="18" t="n">
        <v>267</v>
      </c>
      <c r="F24" s="14" t="s">
        <v>255</v>
      </c>
      <c r="G24" s="6" t="s">
        <v>3776</v>
      </c>
      <c r="H24" s="14" t="s">
        <v>5011</v>
      </c>
      <c r="I24" s="16" t="s">
        <v>3782</v>
      </c>
      <c r="J24" s="6" t="s">
        <v>5012</v>
      </c>
    </row>
    <row r="25" customFormat="false" ht="39.75" hidden="false" customHeight="true" outlineLevel="0" collapsed="false">
      <c r="A25" s="14" t="n">
        <v>23</v>
      </c>
      <c r="B25" s="14" t="s">
        <v>220</v>
      </c>
      <c r="C25" s="14" t="s">
        <v>5013</v>
      </c>
      <c r="D25" s="15" t="n">
        <v>23672</v>
      </c>
      <c r="E25" s="18" t="n">
        <v>266.6</v>
      </c>
      <c r="F25" s="14" t="s">
        <v>330</v>
      </c>
      <c r="G25" s="6" t="s">
        <v>5014</v>
      </c>
      <c r="H25" s="14" t="s">
        <v>237</v>
      </c>
      <c r="I25" s="16" t="s">
        <v>5015</v>
      </c>
      <c r="J25" s="6" t="s">
        <v>1117</v>
      </c>
    </row>
    <row r="26" customFormat="false" ht="39.75" hidden="false" customHeight="true" outlineLevel="0" collapsed="false">
      <c r="A26" s="14" t="n">
        <v>24</v>
      </c>
      <c r="B26" s="14" t="s">
        <v>247</v>
      </c>
      <c r="C26" s="14" t="s">
        <v>3783</v>
      </c>
      <c r="D26" s="15" t="n">
        <v>41000</v>
      </c>
      <c r="E26" s="18" t="n">
        <v>265.1</v>
      </c>
      <c r="F26" s="14" t="s">
        <v>255</v>
      </c>
      <c r="G26" s="6" t="s">
        <v>3785</v>
      </c>
      <c r="H26" s="14" t="s">
        <v>5016</v>
      </c>
      <c r="I26" s="16" t="s">
        <v>3790</v>
      </c>
      <c r="J26" s="6" t="s">
        <v>5017</v>
      </c>
    </row>
    <row r="27" customFormat="false" ht="39.75" hidden="false" customHeight="true" outlineLevel="0" collapsed="false">
      <c r="A27" s="14" t="n">
        <v>25</v>
      </c>
      <c r="B27" s="14" t="s">
        <v>247</v>
      </c>
      <c r="C27" s="14" t="s">
        <v>1917</v>
      </c>
      <c r="D27" s="15" t="n">
        <v>6411</v>
      </c>
      <c r="E27" s="18" t="n">
        <v>263.4</v>
      </c>
      <c r="F27" s="14" t="s">
        <v>255</v>
      </c>
      <c r="G27" s="6" t="s">
        <v>5018</v>
      </c>
      <c r="H27" s="14" t="s">
        <v>256</v>
      </c>
      <c r="I27" s="16" t="s">
        <v>5019</v>
      </c>
      <c r="J27" s="6" t="s">
        <v>259</v>
      </c>
    </row>
    <row r="28" customFormat="false" ht="39.75" hidden="false" customHeight="true" outlineLevel="0" collapsed="false">
      <c r="A28" s="14" t="n">
        <v>26</v>
      </c>
      <c r="B28" s="14" t="s">
        <v>220</v>
      </c>
      <c r="C28" s="14" t="s">
        <v>5020</v>
      </c>
      <c r="D28" s="15" t="n">
        <v>23512</v>
      </c>
      <c r="E28" s="18" t="n">
        <v>261.1</v>
      </c>
      <c r="F28" s="14" t="s">
        <v>255</v>
      </c>
      <c r="G28" s="6" t="s">
        <v>5021</v>
      </c>
      <c r="H28" s="14" t="s">
        <v>237</v>
      </c>
      <c r="I28" s="16" t="s">
        <v>5022</v>
      </c>
      <c r="J28" s="6" t="s">
        <v>534</v>
      </c>
    </row>
    <row r="29" customFormat="false" ht="39.75" hidden="false" customHeight="true" outlineLevel="0" collapsed="false">
      <c r="A29" s="14" t="n">
        <v>27</v>
      </c>
      <c r="B29" s="14" t="s">
        <v>247</v>
      </c>
      <c r="C29" s="14" t="s">
        <v>3791</v>
      </c>
      <c r="D29" s="15" t="n">
        <v>6500</v>
      </c>
      <c r="E29" s="18" t="n">
        <v>229.6</v>
      </c>
      <c r="F29" s="14" t="s">
        <v>330</v>
      </c>
      <c r="G29" s="6" t="s">
        <v>3792</v>
      </c>
      <c r="H29" s="14" t="s">
        <v>5023</v>
      </c>
      <c r="I29" s="16" t="s">
        <v>3798</v>
      </c>
      <c r="J29" s="6" t="s">
        <v>5024</v>
      </c>
    </row>
    <row r="30" customFormat="false" ht="39.75" hidden="false" customHeight="true" outlineLevel="0" collapsed="false">
      <c r="A30" s="14" t="n">
        <v>28</v>
      </c>
      <c r="B30" s="14" t="s">
        <v>247</v>
      </c>
      <c r="C30" s="14" t="s">
        <v>5025</v>
      </c>
      <c r="D30" s="15" t="n">
        <v>52788</v>
      </c>
      <c r="E30" s="18" t="n">
        <v>228.4</v>
      </c>
      <c r="F30" s="14" t="s">
        <v>255</v>
      </c>
      <c r="G30" s="6" t="s">
        <v>5026</v>
      </c>
      <c r="H30" s="14" t="s">
        <v>810</v>
      </c>
      <c r="I30" s="16" t="s">
        <v>5027</v>
      </c>
      <c r="J30" s="6" t="s">
        <v>1902</v>
      </c>
    </row>
    <row r="31" customFormat="false" ht="39.75" hidden="false" customHeight="true" outlineLevel="0" collapsed="false">
      <c r="A31" s="14" t="n">
        <v>29</v>
      </c>
      <c r="B31" s="14" t="s">
        <v>220</v>
      </c>
      <c r="C31" s="14" t="s">
        <v>5028</v>
      </c>
      <c r="D31" s="15" t="n">
        <v>11750</v>
      </c>
      <c r="E31" s="18" t="n">
        <v>214.6</v>
      </c>
      <c r="F31" s="14" t="s">
        <v>255</v>
      </c>
      <c r="G31" s="6" t="s">
        <v>5029</v>
      </c>
      <c r="H31" s="14" t="s">
        <v>237</v>
      </c>
      <c r="I31" s="16" t="s">
        <v>5030</v>
      </c>
      <c r="J31" s="6" t="s">
        <v>259</v>
      </c>
    </row>
    <row r="32" customFormat="false" ht="39.75" hidden="false" customHeight="true" outlineLevel="0" collapsed="false">
      <c r="A32" s="14" t="n">
        <v>30</v>
      </c>
      <c r="B32" s="14" t="s">
        <v>220</v>
      </c>
      <c r="C32" s="14" t="s">
        <v>5031</v>
      </c>
      <c r="D32" s="15" t="n">
        <v>48713</v>
      </c>
      <c r="E32" s="18" t="n">
        <v>211.5</v>
      </c>
      <c r="F32" s="14" t="s">
        <v>330</v>
      </c>
      <c r="G32" s="6" t="s">
        <v>5032</v>
      </c>
      <c r="H32" s="14" t="s">
        <v>288</v>
      </c>
      <c r="I32" s="16" t="s">
        <v>5033</v>
      </c>
      <c r="J32" s="6" t="s">
        <v>334</v>
      </c>
    </row>
    <row r="33" customFormat="false" ht="39.75" hidden="false" customHeight="true" outlineLevel="0" collapsed="false">
      <c r="A33" s="14" t="n">
        <v>31</v>
      </c>
      <c r="B33" s="14" t="s">
        <v>247</v>
      </c>
      <c r="C33" s="14" t="s">
        <v>3799</v>
      </c>
      <c r="D33" s="15" t="n">
        <v>8300</v>
      </c>
      <c r="E33" s="18" t="n">
        <v>207.9</v>
      </c>
      <c r="F33" s="14" t="s">
        <v>255</v>
      </c>
      <c r="G33" s="6" t="s">
        <v>3801</v>
      </c>
      <c r="H33" s="14" t="s">
        <v>895</v>
      </c>
      <c r="I33" s="16" t="s">
        <v>3806</v>
      </c>
      <c r="J33" s="6" t="s">
        <v>5034</v>
      </c>
    </row>
    <row r="34" customFormat="false" ht="39.75" hidden="false" customHeight="true" outlineLevel="0" collapsed="false">
      <c r="A34" s="14" t="n">
        <v>32</v>
      </c>
      <c r="B34" s="14" t="s">
        <v>247</v>
      </c>
      <c r="C34" s="14" t="s">
        <v>3807</v>
      </c>
      <c r="D34" s="15" t="n">
        <v>15800</v>
      </c>
      <c r="E34" s="18" t="n">
        <v>205.8</v>
      </c>
      <c r="F34" s="14" t="s">
        <v>685</v>
      </c>
      <c r="G34" s="6" t="s">
        <v>3809</v>
      </c>
      <c r="H34" s="14" t="s">
        <v>5035</v>
      </c>
      <c r="I34" s="16" t="s">
        <v>3815</v>
      </c>
      <c r="J34" s="6" t="s">
        <v>5036</v>
      </c>
    </row>
    <row r="35" customFormat="false" ht="39.75" hidden="false" customHeight="true" outlineLevel="0" collapsed="false">
      <c r="A35" s="14" t="n">
        <v>33</v>
      </c>
      <c r="B35" s="14" t="s">
        <v>247</v>
      </c>
      <c r="C35" s="14" t="s">
        <v>5037</v>
      </c>
      <c r="D35" s="15" t="n">
        <v>62406</v>
      </c>
      <c r="E35" s="18" t="n">
        <v>202.6</v>
      </c>
      <c r="F35" s="14" t="s">
        <v>884</v>
      </c>
      <c r="G35" s="6" t="s">
        <v>5038</v>
      </c>
      <c r="H35" s="14" t="s">
        <v>810</v>
      </c>
      <c r="I35" s="16" t="s">
        <v>5039</v>
      </c>
      <c r="J35" s="6" t="s">
        <v>2221</v>
      </c>
    </row>
    <row r="36" customFormat="false" ht="39.75" hidden="false" customHeight="true" outlineLevel="0" collapsed="false">
      <c r="A36" s="14" t="n">
        <v>34</v>
      </c>
      <c r="B36" s="14" t="s">
        <v>247</v>
      </c>
      <c r="C36" s="14" t="s">
        <v>3820</v>
      </c>
      <c r="D36" s="15" t="n">
        <v>44100</v>
      </c>
      <c r="E36" s="18" t="n">
        <v>196.5</v>
      </c>
      <c r="F36" s="14" t="s">
        <v>685</v>
      </c>
      <c r="G36" s="6" t="s">
        <v>3822</v>
      </c>
      <c r="H36" s="14" t="s">
        <v>5040</v>
      </c>
      <c r="I36" s="16" t="s">
        <v>3828</v>
      </c>
      <c r="J36" s="6" t="s">
        <v>5041</v>
      </c>
    </row>
    <row r="37" customFormat="false" ht="39.75" hidden="false" customHeight="true" outlineLevel="0" collapsed="false">
      <c r="A37" s="14" t="n">
        <v>35</v>
      </c>
      <c r="B37" s="14" t="s">
        <v>220</v>
      </c>
      <c r="C37" s="14" t="s">
        <v>649</v>
      </c>
      <c r="D37" s="15" t="n">
        <v>12481</v>
      </c>
      <c r="E37" s="18" t="n">
        <v>194.1</v>
      </c>
      <c r="F37" s="14" t="s">
        <v>330</v>
      </c>
      <c r="G37" s="6" t="s">
        <v>5042</v>
      </c>
      <c r="H37" s="14" t="s">
        <v>288</v>
      </c>
      <c r="I37" s="16" t="s">
        <v>5043</v>
      </c>
      <c r="J37" s="6" t="s">
        <v>415</v>
      </c>
    </row>
    <row r="38" customFormat="false" ht="39.75" hidden="false" customHeight="true" outlineLevel="0" collapsed="false">
      <c r="A38" s="14" t="n">
        <v>36</v>
      </c>
      <c r="B38" s="14" t="s">
        <v>220</v>
      </c>
      <c r="C38" s="14" t="s">
        <v>5044</v>
      </c>
      <c r="D38" s="15" t="n">
        <v>11823</v>
      </c>
      <c r="E38" s="18" t="n">
        <v>193.6</v>
      </c>
      <c r="F38" s="14" t="s">
        <v>330</v>
      </c>
      <c r="G38" s="6" t="s">
        <v>5045</v>
      </c>
      <c r="H38" s="14" t="s">
        <v>237</v>
      </c>
      <c r="I38" s="16" t="s">
        <v>5046</v>
      </c>
      <c r="J38" s="6" t="s">
        <v>415</v>
      </c>
    </row>
    <row r="39" customFormat="false" ht="39.75" hidden="false" customHeight="true" outlineLevel="0" collapsed="false">
      <c r="A39" s="14" t="n">
        <v>37</v>
      </c>
      <c r="B39" s="14" t="s">
        <v>220</v>
      </c>
      <c r="C39" s="14" t="s">
        <v>5047</v>
      </c>
      <c r="D39" s="15" t="n">
        <v>63801</v>
      </c>
      <c r="E39" s="18" t="n">
        <v>192.3</v>
      </c>
      <c r="F39" s="14" t="s">
        <v>234</v>
      </c>
      <c r="G39" s="6" t="s">
        <v>5048</v>
      </c>
      <c r="H39" s="14" t="s">
        <v>331</v>
      </c>
      <c r="I39" s="16" t="s">
        <v>5049</v>
      </c>
      <c r="J39" s="6" t="s">
        <v>1307</v>
      </c>
    </row>
    <row r="40" customFormat="false" ht="39.75" hidden="false" customHeight="true" outlineLevel="0" collapsed="false">
      <c r="A40" s="14" t="n">
        <v>38</v>
      </c>
      <c r="B40" s="14" t="s">
        <v>220</v>
      </c>
      <c r="C40" s="14" t="s">
        <v>5050</v>
      </c>
      <c r="D40" s="15" t="n">
        <v>11711</v>
      </c>
      <c r="E40" s="18" t="n">
        <v>190.4</v>
      </c>
      <c r="F40" s="14" t="s">
        <v>255</v>
      </c>
      <c r="G40" s="6" t="s">
        <v>5051</v>
      </c>
      <c r="H40" s="14" t="s">
        <v>256</v>
      </c>
      <c r="I40" s="16" t="s">
        <v>5052</v>
      </c>
      <c r="J40" s="6" t="s">
        <v>2666</v>
      </c>
    </row>
    <row r="41" customFormat="false" ht="39.75" hidden="false" customHeight="true" outlineLevel="0" collapsed="false">
      <c r="A41" s="14" t="n">
        <v>39</v>
      </c>
      <c r="B41" s="14" t="s">
        <v>247</v>
      </c>
      <c r="C41" s="14" t="s">
        <v>3829</v>
      </c>
      <c r="D41" s="15" t="n">
        <v>9400</v>
      </c>
      <c r="E41" s="18" t="n">
        <v>185.7</v>
      </c>
      <c r="F41" s="14" t="s">
        <v>330</v>
      </c>
      <c r="G41" s="6" t="s">
        <v>3830</v>
      </c>
      <c r="H41" s="14" t="s">
        <v>5053</v>
      </c>
      <c r="I41" s="16" t="s">
        <v>3836</v>
      </c>
      <c r="J41" s="6" t="s">
        <v>5054</v>
      </c>
    </row>
    <row r="42" customFormat="false" ht="39.75" hidden="false" customHeight="true" outlineLevel="0" collapsed="false">
      <c r="A42" s="14" t="n">
        <v>40</v>
      </c>
      <c r="B42" s="14" t="s">
        <v>220</v>
      </c>
      <c r="C42" s="14" t="s">
        <v>5055</v>
      </c>
      <c r="D42" s="15" t="n">
        <v>18775</v>
      </c>
      <c r="E42" s="18" t="n">
        <v>182</v>
      </c>
      <c r="F42" s="14" t="s">
        <v>234</v>
      </c>
      <c r="G42" s="6" t="s">
        <v>5056</v>
      </c>
      <c r="H42" s="14" t="s">
        <v>439</v>
      </c>
      <c r="I42" s="16" t="s">
        <v>5057</v>
      </c>
      <c r="J42" s="6" t="s">
        <v>290</v>
      </c>
    </row>
    <row r="43" customFormat="false" ht="39.75" hidden="false" customHeight="true" outlineLevel="0" collapsed="false">
      <c r="A43" s="14" t="n">
        <v>41</v>
      </c>
      <c r="B43" s="14" t="s">
        <v>220</v>
      </c>
      <c r="C43" s="14" t="s">
        <v>5058</v>
      </c>
      <c r="D43" s="15" t="n">
        <v>37563</v>
      </c>
      <c r="E43" s="18" t="n">
        <v>179.9</v>
      </c>
      <c r="F43" s="14" t="s">
        <v>1495</v>
      </c>
      <c r="G43" s="6" t="s">
        <v>5059</v>
      </c>
      <c r="H43" s="14" t="s">
        <v>237</v>
      </c>
      <c r="I43" s="16" t="s">
        <v>5060</v>
      </c>
      <c r="J43" s="6" t="s">
        <v>1787</v>
      </c>
    </row>
    <row r="44" customFormat="false" ht="39.75" hidden="false" customHeight="true" outlineLevel="0" collapsed="false">
      <c r="A44" s="14" t="n">
        <v>42</v>
      </c>
      <c r="B44" s="14" t="s">
        <v>247</v>
      </c>
      <c r="C44" s="14" t="s">
        <v>3837</v>
      </c>
      <c r="D44" s="15" t="n">
        <v>58300</v>
      </c>
      <c r="E44" s="18" t="n">
        <v>177.5</v>
      </c>
      <c r="F44" s="14" t="s">
        <v>330</v>
      </c>
      <c r="G44" s="6" t="s">
        <v>3838</v>
      </c>
      <c r="H44" s="14" t="s">
        <v>1256</v>
      </c>
      <c r="I44" s="16" t="s">
        <v>3842</v>
      </c>
      <c r="J44" s="6" t="s">
        <v>5061</v>
      </c>
    </row>
    <row r="45" customFormat="false" ht="39.75" hidden="false" customHeight="true" outlineLevel="0" collapsed="false">
      <c r="A45" s="14" t="n">
        <v>43</v>
      </c>
      <c r="B45" s="14" t="s">
        <v>247</v>
      </c>
      <c r="C45" s="14" t="s">
        <v>2582</v>
      </c>
      <c r="D45" s="15" t="n">
        <v>79125</v>
      </c>
      <c r="E45" s="18" t="n">
        <v>176.9</v>
      </c>
      <c r="F45" s="14" t="s">
        <v>255</v>
      </c>
      <c r="G45" s="6" t="s">
        <v>5062</v>
      </c>
      <c r="H45" s="14" t="s">
        <v>810</v>
      </c>
      <c r="I45" s="16" t="s">
        <v>5063</v>
      </c>
      <c r="J45" s="6" t="s">
        <v>534</v>
      </c>
    </row>
    <row r="46" customFormat="false" ht="39.75" hidden="false" customHeight="true" outlineLevel="0" collapsed="false">
      <c r="A46" s="14" t="n">
        <v>44</v>
      </c>
      <c r="B46" s="14" t="s">
        <v>247</v>
      </c>
      <c r="C46" s="14" t="s">
        <v>3847</v>
      </c>
      <c r="D46" s="15" t="n">
        <v>8200</v>
      </c>
      <c r="E46" s="18" t="n">
        <v>165.9</v>
      </c>
      <c r="F46" s="14" t="s">
        <v>255</v>
      </c>
      <c r="G46" s="6" t="s">
        <v>3848</v>
      </c>
      <c r="H46" s="14" t="s">
        <v>5064</v>
      </c>
      <c r="I46" s="16" t="s">
        <v>3853</v>
      </c>
      <c r="J46" s="6" t="s">
        <v>5065</v>
      </c>
    </row>
    <row r="47" customFormat="false" ht="39.75" hidden="false" customHeight="true" outlineLevel="0" collapsed="false">
      <c r="A47" s="14" t="n">
        <v>45</v>
      </c>
      <c r="B47" s="14" t="s">
        <v>247</v>
      </c>
      <c r="C47" s="14" t="s">
        <v>3854</v>
      </c>
      <c r="D47" s="15" t="n">
        <v>10100</v>
      </c>
      <c r="E47" s="18" t="n">
        <v>161.9</v>
      </c>
      <c r="F47" s="14" t="s">
        <v>330</v>
      </c>
      <c r="G47" s="6" t="s">
        <v>3855</v>
      </c>
      <c r="H47" s="14" t="s">
        <v>4994</v>
      </c>
      <c r="I47" s="16" t="s">
        <v>3860</v>
      </c>
      <c r="J47" s="6" t="s">
        <v>5066</v>
      </c>
    </row>
    <row r="48" customFormat="false" ht="39.75" hidden="false" customHeight="true" outlineLevel="0" collapsed="false">
      <c r="A48" s="14" t="n">
        <v>46</v>
      </c>
      <c r="B48" s="14" t="s">
        <v>220</v>
      </c>
      <c r="C48" s="14" t="s">
        <v>5067</v>
      </c>
      <c r="D48" s="15" t="n">
        <v>8041</v>
      </c>
      <c r="E48" s="18" t="n">
        <v>158</v>
      </c>
      <c r="F48" s="14" t="s">
        <v>234</v>
      </c>
      <c r="G48" s="6" t="s">
        <v>5068</v>
      </c>
      <c r="H48" s="14" t="s">
        <v>237</v>
      </c>
      <c r="I48" s="16" t="s">
        <v>5069</v>
      </c>
      <c r="J48" s="6" t="s">
        <v>290</v>
      </c>
    </row>
    <row r="49" customFormat="false" ht="39.75" hidden="false" customHeight="true" outlineLevel="0" collapsed="false">
      <c r="A49" s="14" t="n">
        <v>47</v>
      </c>
      <c r="B49" s="14" t="s">
        <v>220</v>
      </c>
      <c r="C49" s="14" t="s">
        <v>5070</v>
      </c>
      <c r="D49" s="15" t="n">
        <v>6960</v>
      </c>
      <c r="E49" s="18" t="n">
        <v>151.4</v>
      </c>
      <c r="F49" s="14" t="s">
        <v>255</v>
      </c>
      <c r="G49" s="6" t="s">
        <v>5071</v>
      </c>
      <c r="H49" s="14" t="s">
        <v>237</v>
      </c>
      <c r="I49" s="16" t="s">
        <v>5072</v>
      </c>
      <c r="J49" s="6" t="s">
        <v>259</v>
      </c>
    </row>
    <row r="50" customFormat="false" ht="39.75" hidden="false" customHeight="true" outlineLevel="0" collapsed="false">
      <c r="A50" s="14" t="n">
        <v>48</v>
      </c>
      <c r="B50" s="14" t="s">
        <v>220</v>
      </c>
      <c r="C50" s="14" t="s">
        <v>5073</v>
      </c>
      <c r="D50" s="15" t="n">
        <v>12258</v>
      </c>
      <c r="E50" s="18" t="n">
        <v>151</v>
      </c>
      <c r="F50" s="14" t="s">
        <v>234</v>
      </c>
      <c r="G50" s="6" t="s">
        <v>5074</v>
      </c>
      <c r="H50" s="14" t="s">
        <v>439</v>
      </c>
      <c r="I50" s="16" t="s">
        <v>5075</v>
      </c>
      <c r="J50" s="6" t="s">
        <v>290</v>
      </c>
    </row>
    <row r="51" customFormat="false" ht="39.75" hidden="false" customHeight="true" outlineLevel="0" collapsed="false">
      <c r="A51" s="14" t="n">
        <v>49</v>
      </c>
      <c r="B51" s="14" t="s">
        <v>220</v>
      </c>
      <c r="C51" s="14" t="s">
        <v>864</v>
      </c>
      <c r="D51" s="15" t="n">
        <v>20541</v>
      </c>
      <c r="E51" s="18" t="n">
        <v>149.8</v>
      </c>
      <c r="F51" s="14" t="s">
        <v>234</v>
      </c>
      <c r="G51" s="6" t="s">
        <v>5076</v>
      </c>
      <c r="H51" s="14" t="s">
        <v>439</v>
      </c>
      <c r="I51" s="16" t="s">
        <v>5077</v>
      </c>
      <c r="J51" s="6" t="s">
        <v>958</v>
      </c>
    </row>
    <row r="52" customFormat="false" ht="39.75" hidden="false" customHeight="true" outlineLevel="0" collapsed="false">
      <c r="A52" s="14" t="n">
        <v>50</v>
      </c>
      <c r="B52" s="14" t="s">
        <v>374</v>
      </c>
      <c r="C52" s="14" t="s">
        <v>5078</v>
      </c>
      <c r="D52" s="15" t="n">
        <v>9628</v>
      </c>
      <c r="E52" s="18" t="n">
        <v>145</v>
      </c>
      <c r="F52" s="14" t="s">
        <v>255</v>
      </c>
      <c r="G52" s="6" t="s">
        <v>5079</v>
      </c>
      <c r="H52" s="14" t="s">
        <v>383</v>
      </c>
      <c r="I52" s="16" t="s">
        <v>5080</v>
      </c>
      <c r="J52" s="6" t="s">
        <v>259</v>
      </c>
    </row>
    <row r="53" customFormat="false" ht="39.75" hidden="false" customHeight="true" outlineLevel="0" collapsed="false">
      <c r="A53" s="14" t="n">
        <v>51</v>
      </c>
      <c r="B53" s="14" t="s">
        <v>220</v>
      </c>
      <c r="C53" s="14" t="s">
        <v>508</v>
      </c>
      <c r="D53" s="15" t="n">
        <v>12398</v>
      </c>
      <c r="E53" s="18" t="n">
        <v>142.7</v>
      </c>
      <c r="F53" s="14" t="s">
        <v>513</v>
      </c>
      <c r="G53" s="6" t="s">
        <v>5081</v>
      </c>
      <c r="H53" s="14" t="s">
        <v>237</v>
      </c>
      <c r="I53" s="16" t="s">
        <v>5082</v>
      </c>
      <c r="J53" s="6" t="s">
        <v>514</v>
      </c>
    </row>
    <row r="54" customFormat="false" ht="39.75" hidden="false" customHeight="true" outlineLevel="0" collapsed="false">
      <c r="A54" s="14" t="n">
        <v>52</v>
      </c>
      <c r="B54" s="14" t="s">
        <v>247</v>
      </c>
      <c r="C54" s="14" t="s">
        <v>5083</v>
      </c>
      <c r="D54" s="15" t="n">
        <v>40247</v>
      </c>
      <c r="E54" s="18" t="n">
        <v>141.7</v>
      </c>
      <c r="F54" s="14" t="s">
        <v>1635</v>
      </c>
      <c r="G54" s="6" t="s">
        <v>5084</v>
      </c>
      <c r="H54" s="14" t="s">
        <v>810</v>
      </c>
      <c r="I54" s="16" t="s">
        <v>5085</v>
      </c>
      <c r="J54" s="6" t="s">
        <v>534</v>
      </c>
    </row>
    <row r="55" customFormat="false" ht="39.75" hidden="false" customHeight="true" outlineLevel="0" collapsed="false">
      <c r="A55" s="14" t="n">
        <v>53</v>
      </c>
      <c r="B55" s="14" t="s">
        <v>247</v>
      </c>
      <c r="C55" s="14" t="s">
        <v>3861</v>
      </c>
      <c r="D55" s="15" t="n">
        <v>13000</v>
      </c>
      <c r="E55" s="18" t="n">
        <v>137.4</v>
      </c>
      <c r="F55" s="14" t="s">
        <v>255</v>
      </c>
      <c r="G55" s="6" t="s">
        <v>3863</v>
      </c>
      <c r="H55" s="14" t="s">
        <v>5016</v>
      </c>
      <c r="I55" s="16" t="s">
        <v>3868</v>
      </c>
      <c r="J55" s="6" t="s">
        <v>5086</v>
      </c>
    </row>
    <row r="56" customFormat="false" ht="39.75" hidden="false" customHeight="true" outlineLevel="0" collapsed="false">
      <c r="A56" s="14" t="n">
        <v>54</v>
      </c>
      <c r="B56" s="14" t="s">
        <v>247</v>
      </c>
      <c r="C56" s="14" t="s">
        <v>3874</v>
      </c>
      <c r="D56" s="15" t="n">
        <v>22500</v>
      </c>
      <c r="E56" s="18" t="n">
        <v>134</v>
      </c>
      <c r="F56" s="14" t="s">
        <v>255</v>
      </c>
      <c r="G56" s="6" t="s">
        <v>3876</v>
      </c>
      <c r="H56" s="14" t="s">
        <v>5087</v>
      </c>
      <c r="I56" s="16" t="s">
        <v>3882</v>
      </c>
      <c r="J56" s="6" t="s">
        <v>5088</v>
      </c>
    </row>
    <row r="57" customFormat="false" ht="39.75" hidden="false" customHeight="true" outlineLevel="0" collapsed="false">
      <c r="A57" s="14" t="n">
        <v>55</v>
      </c>
      <c r="B57" s="14" t="s">
        <v>247</v>
      </c>
      <c r="C57" s="14" t="s">
        <v>5089</v>
      </c>
      <c r="D57" s="15" t="n">
        <v>82061</v>
      </c>
      <c r="E57" s="18" t="n">
        <v>132</v>
      </c>
      <c r="F57" s="14" t="s">
        <v>255</v>
      </c>
      <c r="G57" s="6" t="s">
        <v>5090</v>
      </c>
      <c r="H57" s="14" t="s">
        <v>810</v>
      </c>
      <c r="I57" s="16" t="s">
        <v>5091</v>
      </c>
      <c r="J57" s="6" t="s">
        <v>534</v>
      </c>
    </row>
    <row r="58" customFormat="false" ht="39.75" hidden="false" customHeight="true" outlineLevel="0" collapsed="false">
      <c r="A58" s="14" t="n">
        <v>56</v>
      </c>
      <c r="B58" s="14" t="s">
        <v>247</v>
      </c>
      <c r="C58" s="14" t="s">
        <v>5092</v>
      </c>
      <c r="D58" s="15" t="n">
        <v>67120</v>
      </c>
      <c r="E58" s="18" t="n">
        <v>131.4</v>
      </c>
      <c r="F58" s="14" t="s">
        <v>916</v>
      </c>
      <c r="G58" s="6" t="s">
        <v>5093</v>
      </c>
      <c r="H58" s="14" t="s">
        <v>810</v>
      </c>
      <c r="I58" s="16" t="s">
        <v>5094</v>
      </c>
      <c r="J58" s="6" t="s">
        <v>2587</v>
      </c>
    </row>
    <row r="59" customFormat="false" ht="39.75" hidden="false" customHeight="true" outlineLevel="0" collapsed="false">
      <c r="A59" s="14" t="n">
        <v>57</v>
      </c>
      <c r="B59" s="14" t="s">
        <v>220</v>
      </c>
      <c r="C59" s="14" t="s">
        <v>864</v>
      </c>
      <c r="D59" s="15" t="n">
        <v>20541</v>
      </c>
      <c r="E59" s="18" t="n">
        <v>130.7</v>
      </c>
      <c r="F59" s="14" t="s">
        <v>234</v>
      </c>
      <c r="G59" s="6" t="s">
        <v>5076</v>
      </c>
      <c r="H59" s="14" t="s">
        <v>439</v>
      </c>
      <c r="I59" s="16" t="s">
        <v>5095</v>
      </c>
      <c r="J59" s="6" t="s">
        <v>958</v>
      </c>
    </row>
    <row r="60" customFormat="false" ht="39.75" hidden="false" customHeight="true" outlineLevel="0" collapsed="false">
      <c r="A60" s="14" t="n">
        <v>58</v>
      </c>
      <c r="B60" s="14" t="s">
        <v>220</v>
      </c>
      <c r="C60" s="14" t="s">
        <v>5096</v>
      </c>
      <c r="D60" s="15" t="n">
        <v>58740</v>
      </c>
      <c r="E60" s="18" t="n">
        <v>124.1</v>
      </c>
      <c r="F60" s="14" t="s">
        <v>3017</v>
      </c>
      <c r="G60" s="6" t="s">
        <v>5097</v>
      </c>
      <c r="H60" s="14" t="s">
        <v>439</v>
      </c>
      <c r="I60" s="16" t="s">
        <v>5098</v>
      </c>
      <c r="J60" s="6" t="s">
        <v>534</v>
      </c>
    </row>
    <row r="61" customFormat="false" ht="39.75" hidden="false" customHeight="true" outlineLevel="0" collapsed="false">
      <c r="A61" s="14" t="n">
        <v>59</v>
      </c>
      <c r="B61" s="14" t="s">
        <v>220</v>
      </c>
      <c r="C61" s="14" t="s">
        <v>1475</v>
      </c>
      <c r="D61" s="15" t="n">
        <v>18320</v>
      </c>
      <c r="E61" s="18" t="n">
        <v>122.6</v>
      </c>
      <c r="F61" s="14" t="s">
        <v>741</v>
      </c>
      <c r="G61" s="6" t="s">
        <v>4860</v>
      </c>
      <c r="H61" s="14" t="s">
        <v>288</v>
      </c>
      <c r="I61" s="16" t="s">
        <v>4861</v>
      </c>
      <c r="J61" s="6" t="s">
        <v>1487</v>
      </c>
    </row>
    <row r="62" customFormat="false" ht="39.75" hidden="false" customHeight="true" outlineLevel="0" collapsed="false">
      <c r="A62" s="14" t="n">
        <v>60</v>
      </c>
      <c r="B62" s="14" t="s">
        <v>220</v>
      </c>
      <c r="C62" s="14" t="s">
        <v>4863</v>
      </c>
      <c r="D62" s="15" t="n">
        <v>14456</v>
      </c>
      <c r="E62" s="18" t="n">
        <v>118.4</v>
      </c>
      <c r="F62" s="14" t="s">
        <v>255</v>
      </c>
      <c r="G62" s="6" t="s">
        <v>4864</v>
      </c>
      <c r="H62" s="14" t="s">
        <v>439</v>
      </c>
      <c r="I62" s="16" t="s">
        <v>4865</v>
      </c>
      <c r="J62" s="6" t="s">
        <v>259</v>
      </c>
    </row>
    <row r="63" customFormat="false" ht="39.75" hidden="false" customHeight="true" outlineLevel="0" collapsed="false">
      <c r="A63" s="14" t="n">
        <v>61</v>
      </c>
      <c r="B63" s="14" t="s">
        <v>247</v>
      </c>
      <c r="C63" s="14" t="s">
        <v>3892</v>
      </c>
      <c r="D63" s="15" t="n">
        <v>9400</v>
      </c>
      <c r="E63" s="18" t="n">
        <v>115.6</v>
      </c>
      <c r="F63" s="14" t="s">
        <v>330</v>
      </c>
      <c r="G63" s="6" t="s">
        <v>3893</v>
      </c>
      <c r="H63" s="14" t="s">
        <v>5099</v>
      </c>
      <c r="I63" s="16" t="s">
        <v>3899</v>
      </c>
      <c r="J63" s="6" t="s">
        <v>5100</v>
      </c>
    </row>
    <row r="64" customFormat="false" ht="39.75" hidden="false" customHeight="true" outlineLevel="0" collapsed="false">
      <c r="A64" s="14" t="n">
        <v>62</v>
      </c>
      <c r="B64" s="14" t="s">
        <v>220</v>
      </c>
      <c r="C64" s="14" t="s">
        <v>5070</v>
      </c>
      <c r="D64" s="15" t="n">
        <v>6960</v>
      </c>
      <c r="E64" s="18" t="n">
        <v>112.8</v>
      </c>
      <c r="F64" s="14" t="s">
        <v>255</v>
      </c>
      <c r="G64" s="6" t="s">
        <v>5101</v>
      </c>
      <c r="H64" s="14" t="s">
        <v>237</v>
      </c>
      <c r="I64" s="16" t="s">
        <v>5102</v>
      </c>
      <c r="J64" s="6" t="s">
        <v>259</v>
      </c>
    </row>
    <row r="65" customFormat="false" ht="39.75" hidden="false" customHeight="true" outlineLevel="0" collapsed="false">
      <c r="A65" s="14" t="n">
        <v>63</v>
      </c>
      <c r="B65" s="14" t="s">
        <v>220</v>
      </c>
      <c r="C65" s="14" t="s">
        <v>1991</v>
      </c>
      <c r="D65" s="15" t="n">
        <v>9464</v>
      </c>
      <c r="E65" s="18" t="n">
        <v>109.6</v>
      </c>
      <c r="F65" s="14" t="s">
        <v>255</v>
      </c>
      <c r="G65" s="6" t="s">
        <v>5103</v>
      </c>
      <c r="H65" s="14" t="s">
        <v>237</v>
      </c>
      <c r="I65" s="16" t="s">
        <v>5104</v>
      </c>
      <c r="J65" s="6" t="s">
        <v>259</v>
      </c>
    </row>
    <row r="66" customFormat="false" ht="39.75" hidden="false" customHeight="true" outlineLevel="0" collapsed="false">
      <c r="A66" s="14" t="n">
        <v>64</v>
      </c>
      <c r="B66" s="14" t="s">
        <v>220</v>
      </c>
      <c r="C66" s="14" t="s">
        <v>5105</v>
      </c>
      <c r="D66" s="15" t="n">
        <v>10432</v>
      </c>
      <c r="E66" s="18" t="n">
        <v>107.7</v>
      </c>
      <c r="F66" s="14" t="s">
        <v>234</v>
      </c>
      <c r="G66" s="6" t="s">
        <v>5106</v>
      </c>
      <c r="H66" s="14" t="s">
        <v>439</v>
      </c>
      <c r="I66" s="16" t="s">
        <v>5107</v>
      </c>
      <c r="J66" s="6" t="s">
        <v>290</v>
      </c>
    </row>
    <row r="67" customFormat="false" ht="39.75" hidden="false" customHeight="true" outlineLevel="0" collapsed="false">
      <c r="A67" s="14" t="n">
        <v>65</v>
      </c>
      <c r="B67" s="14" t="s">
        <v>220</v>
      </c>
      <c r="C67" s="14" t="s">
        <v>1820</v>
      </c>
      <c r="D67" s="15" t="n">
        <v>45971</v>
      </c>
      <c r="E67" s="18" t="n">
        <v>107.5</v>
      </c>
      <c r="F67" s="14" t="s">
        <v>330</v>
      </c>
      <c r="G67" s="6" t="s">
        <v>1822</v>
      </c>
      <c r="H67" s="14" t="s">
        <v>331</v>
      </c>
      <c r="I67" s="16" t="s">
        <v>5108</v>
      </c>
      <c r="J67" s="6" t="s">
        <v>1824</v>
      </c>
    </row>
    <row r="68" customFormat="false" ht="39.75" hidden="false" customHeight="true" outlineLevel="0" collapsed="false">
      <c r="A68" s="14" t="n">
        <v>66</v>
      </c>
      <c r="B68" s="14" t="s">
        <v>220</v>
      </c>
      <c r="C68" s="14" t="s">
        <v>5109</v>
      </c>
      <c r="D68" s="15" t="n">
        <v>91839</v>
      </c>
      <c r="E68" s="18" t="n">
        <v>107.2</v>
      </c>
      <c r="F68" s="14" t="s">
        <v>906</v>
      </c>
      <c r="G68" s="6" t="s">
        <v>5110</v>
      </c>
      <c r="H68" s="14" t="s">
        <v>439</v>
      </c>
      <c r="I68" s="16" t="s">
        <v>5111</v>
      </c>
      <c r="J68" s="6" t="s">
        <v>3126</v>
      </c>
    </row>
    <row r="69" customFormat="false" ht="39.75" hidden="false" customHeight="true" outlineLevel="0" collapsed="false">
      <c r="A69" s="14" t="n">
        <v>67</v>
      </c>
      <c r="B69" s="14" t="s">
        <v>247</v>
      </c>
      <c r="C69" s="14" t="s">
        <v>3905</v>
      </c>
      <c r="D69" s="15" t="n">
        <v>10000</v>
      </c>
      <c r="E69" s="18" t="n">
        <v>104.2</v>
      </c>
      <c r="F69" s="14" t="s">
        <v>3017</v>
      </c>
      <c r="G69" s="6" t="s">
        <v>3907</v>
      </c>
      <c r="H69" s="14" t="s">
        <v>642</v>
      </c>
      <c r="I69" s="16" t="s">
        <v>3911</v>
      </c>
      <c r="J69" s="6" t="s">
        <v>5112</v>
      </c>
    </row>
    <row r="70" customFormat="false" ht="39.75" hidden="false" customHeight="true" outlineLevel="0" collapsed="false">
      <c r="A70" s="14" t="n">
        <v>68</v>
      </c>
      <c r="B70" s="14" t="s">
        <v>374</v>
      </c>
      <c r="C70" s="14" t="s">
        <v>2334</v>
      </c>
      <c r="D70" s="15" t="n">
        <v>36586</v>
      </c>
      <c r="E70" s="18" t="n">
        <v>101.3</v>
      </c>
      <c r="F70" s="14" t="s">
        <v>3017</v>
      </c>
      <c r="G70" s="6" t="s">
        <v>5113</v>
      </c>
      <c r="H70" s="14" t="s">
        <v>331</v>
      </c>
      <c r="I70" s="16" t="s">
        <v>5114</v>
      </c>
      <c r="J70" s="6" t="s">
        <v>491</v>
      </c>
    </row>
    <row r="71" customFormat="false" ht="39.75" hidden="false" customHeight="true" outlineLevel="0" collapsed="false">
      <c r="A71" s="14" t="n">
        <v>69</v>
      </c>
      <c r="B71" s="14" t="s">
        <v>220</v>
      </c>
      <c r="C71" s="14" t="s">
        <v>5115</v>
      </c>
      <c r="D71" s="15" t="n">
        <v>94469</v>
      </c>
      <c r="E71" s="18" t="n">
        <v>101.1</v>
      </c>
      <c r="F71" s="14" t="s">
        <v>234</v>
      </c>
      <c r="G71" s="6" t="s">
        <v>5116</v>
      </c>
      <c r="H71" s="14" t="s">
        <v>331</v>
      </c>
      <c r="I71" s="16" t="s">
        <v>5117</v>
      </c>
      <c r="J71" s="6" t="s">
        <v>503</v>
      </c>
    </row>
    <row r="72" customFormat="false" ht="39.75" hidden="false" customHeight="true" outlineLevel="0" collapsed="false">
      <c r="A72" s="14" t="n">
        <v>70</v>
      </c>
      <c r="B72" s="14" t="s">
        <v>220</v>
      </c>
      <c r="C72" s="14" t="s">
        <v>864</v>
      </c>
      <c r="D72" s="15" t="n">
        <v>20541</v>
      </c>
      <c r="E72" s="18" t="n">
        <v>99</v>
      </c>
      <c r="F72" s="14" t="s">
        <v>234</v>
      </c>
      <c r="G72" s="6" t="s">
        <v>5118</v>
      </c>
      <c r="H72" s="14" t="s">
        <v>439</v>
      </c>
      <c r="I72" s="16" t="s">
        <v>5119</v>
      </c>
      <c r="J72" s="6" t="s">
        <v>958</v>
      </c>
    </row>
  </sheetData>
  <autoFilter ref="A2:J72"/>
  <hyperlinks>
    <hyperlink ref="I3" r:id="rId1" display="https://www.instagram.com/reel/DbTB3wQgppY/"/>
    <hyperlink ref="I4" r:id="rId2" display="https://www.instagram.com/reel/DarluGBCixc/"/>
    <hyperlink ref="I5" r:id="rId3" display="https://www.instagram.com/reel/DYPHe6BBSJA/"/>
    <hyperlink ref="I6" r:id="rId4" display="https://x.com/abhijitwt/status/2009532719408243038"/>
    <hyperlink ref="I7" r:id="rId5" display="https://www.instagram.com/reel/DbvYo5hP02-/"/>
    <hyperlink ref="I8" r:id="rId6" display="https://www.instagram.com/reel/Db2z_8uBAfN/"/>
    <hyperlink ref="I9" r:id="rId7" display="https://www.instagram.com/reel/DdM6Cb5Izm_/"/>
    <hyperlink ref="I10" r:id="rId8" display="https://www.instagram.com/reel/Dba9mtoNCkx/"/>
    <hyperlink ref="I11" r:id="rId9" display="https://x.com/yasminekho/status/2052004770966352188"/>
    <hyperlink ref="I12" r:id="rId10" display="https://www.instagram.com/reel/DaFADRqhg61/"/>
    <hyperlink ref="I13" r:id="rId11" display="https://www.instagram.com/reel/DbZ6M1POQd8/"/>
    <hyperlink ref="I14" r:id="rId12" display="https://www.instagram.com/reel/Db0wqFCR5CY/"/>
    <hyperlink ref="I15" r:id="rId13" display="https://www.instagram.com/reel/DbGwmecqr-l/"/>
    <hyperlink ref="I16" r:id="rId14" display="https://www.instagram.com/reel/Db5pAbKzcjZ/"/>
    <hyperlink ref="I17" r:id="rId15" display="https://www.instagram.com/reel/Db7r2S2hEaF/"/>
    <hyperlink ref="I18" r:id="rId16" display="https://www.instagram.com/reel/DcOm_j4BVmM/"/>
    <hyperlink ref="I19" r:id="rId17" display="https://www.linkedin.com/feed/update/urn:li:activity:7448385267477934080"/>
    <hyperlink ref="I20" r:id="rId18" display="https://www.linkedin.com/feed/update/urn:li:activity:7448378943121821698"/>
    <hyperlink ref="I21" r:id="rId19" display="https://www.linkedin.com/feed/update/urn:li:activity:7429039465710596097"/>
    <hyperlink ref="I22" r:id="rId20" display="https://www.instagram.com/reel/Dbvp84OT0fl/"/>
    <hyperlink ref="I23" r:id="rId21" display="https://www.instagram.com/reel/DcrH-24xJqR/"/>
    <hyperlink ref="I24" r:id="rId22" display="https://www.instagram.com/reel/Dbaw8kltc2v/"/>
    <hyperlink ref="I25" r:id="rId23" display="https://x.com/0x_kaize/status/2032527256355221954"/>
    <hyperlink ref="I26" r:id="rId24" display="https://www.instagram.com/reel/DdCUrHBsS69/"/>
    <hyperlink ref="I27" r:id="rId25" display="https://www.instagram.com/reel/DVvbyk7COiy/"/>
    <hyperlink ref="I28" r:id="rId26" display="https://x.com/theonejvo/status/2015401219746128322"/>
    <hyperlink ref="I29" r:id="rId27" display="https://www.instagram.com/reel/Db_O1_Ypj_1/"/>
    <hyperlink ref="I30" r:id="rId28" display="https://www.instagram.com/reel/DS_B2dhEuGq/"/>
    <hyperlink ref="I31" r:id="rId29" display="https://x.com/RianSweetDoris/status/2014076788951961864"/>
    <hyperlink ref="I32" r:id="rId30" display="https://x.com/Ric_RTP/status/2037892374928429463"/>
    <hyperlink ref="I33" r:id="rId31" display="https://www.instagram.com/reel/DbDsu4BAPys/"/>
    <hyperlink ref="I34" r:id="rId32" display="https://www.instagram.com/reel/DceS_3uCg_K/"/>
    <hyperlink ref="I35" r:id="rId33" display="https://www.instagram.com/reel/DZNjLunMSg7/"/>
    <hyperlink ref="I36" r:id="rId34" display="https://www.instagram.com/reel/Dc9E6jqpda-/"/>
    <hyperlink ref="I37" r:id="rId35" display="https://x.com/marlowxbt/status/2050011880886784235"/>
    <hyperlink ref="I38" r:id="rId36" display="https://x.com/AleiahLock/status/2038295590354755683"/>
    <hyperlink ref="I39" r:id="rId37" display="https://x.com/zackpaid/status/2061488295981220206"/>
    <hyperlink ref="I40" r:id="rId38" display="https://x.com/kidpakerot/status/2051138554986942894"/>
    <hyperlink ref="I41" r:id="rId39" display="https://www.instagram.com/reel/Dd5kTbzTdrf/"/>
    <hyperlink ref="I42" r:id="rId40" display="https://x.com/theseoguy_/status/2033182707283280191"/>
    <hyperlink ref="I43" r:id="rId41" display="https://x.com/ideabrowser/status/2028111088449896826"/>
    <hyperlink ref="I44" r:id="rId42" display="https://www.instagram.com/reel/DcgdeTdN89i/"/>
    <hyperlink ref="I45" r:id="rId43" display="https://www.instagram.com/reel/DWwXEcdgkCQ/"/>
    <hyperlink ref="I46" r:id="rId44" display="https://www.instagram.com/reel/DbtNXYjx4U0/"/>
    <hyperlink ref="I47" r:id="rId45" display="https://www.instagram.com/reel/DeUUhkvS8SC/"/>
    <hyperlink ref="I48" r:id="rId46" display="https://x.com/froessell/status/2025833621299351613"/>
    <hyperlink ref="I49" r:id="rId47" display="https://x.com/bprintco/status/1998854923157422115"/>
    <hyperlink ref="I50" r:id="rId48" display="https://x.com/trentjhughes/status/2028602131343986825"/>
    <hyperlink ref="I51" r:id="rId49" display="https://x.com/scaling_shields/status/2081303008168878410"/>
    <hyperlink ref="I52" r:id="rId50" display="https://www.linkedin.com/feed/update/urn:li:activity:7404577361116991489"/>
    <hyperlink ref="I53" r:id="rId51" display="https://x.com/ecomchigga/status/2027874734218563816"/>
    <hyperlink ref="I54" r:id="rId52" display="https://www.instagram.com/reel/DbBNpaCMWi1/"/>
    <hyperlink ref="I55" r:id="rId53" display="https://www.instagram.com/reel/Db5tqZmgFZi/"/>
    <hyperlink ref="I56" r:id="rId54" display="https://www.instagram.com/reel/DbqdYRZNeHC/"/>
    <hyperlink ref="I57" r:id="rId55" display="https://www.instagram.com/reel/DXiZt6giPbT/"/>
    <hyperlink ref="I58" r:id="rId56" display="https://www.instagram.com/reel/DbAVKe-tmcN/"/>
    <hyperlink ref="I59" r:id="rId57" display="https://x.com/scaling_shields/status/2042324679759978780"/>
    <hyperlink ref="I60" r:id="rId58" display="https://x.com/darren_stallcup/status/2046271505852760516"/>
    <hyperlink ref="I61" r:id="rId59" display="https://x.com/CAronitpereira/status/2054099226729320836"/>
    <hyperlink ref="I62" r:id="rId60" display="https://x.com/rvivek/status/2021843250605437222"/>
    <hyperlink ref="I63" r:id="rId61" display="https://www.instagram.com/reel/DbpS24qhgIU/"/>
    <hyperlink ref="I64" r:id="rId62" display="https://x.com/bprintco/status/2012595972090605685"/>
    <hyperlink ref="I65" r:id="rId63" display="https://x.com/DeepStarts/status/2032000055763484971"/>
    <hyperlink ref="I66" r:id="rId64" display="https://x.com/teachthemx3/status/1992227200515399845"/>
    <hyperlink ref="I67" r:id="rId65" display="https://x.com/maverickecom/status/2036464786255360106"/>
    <hyperlink ref="I68" r:id="rId66" display="https://x.com/drinkonsaturday/status/2037307358523879904"/>
    <hyperlink ref="I69" r:id="rId67" display="https://www.instagram.com/reel/DcCH5OTxT_L/"/>
    <hyperlink ref="I70" r:id="rId68" display="https://www.linkedin.com/feed/update/urn:li:activity:7472472044153151488"/>
    <hyperlink ref="I71" r:id="rId69" display="https://x.com/Indian_Bronson/status/2027500542017028361"/>
    <hyperlink ref="I72" r:id="rId70" display="https://x.com/scaling_shields/status/2034705473296044327"/>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19.7" hidden="false" customHeight="false" outlineLevel="0" collapsed="false">
      <c r="A1" s="1" t="s">
        <v>5120</v>
      </c>
    </row>
    <row r="2" customFormat="false" ht="42" hidden="false" customHeight="true" outlineLevel="0" collapsed="false">
      <c r="A2" s="5" t="s">
        <v>5121</v>
      </c>
      <c r="B2" s="6" t="s">
        <v>5122</v>
      </c>
    </row>
    <row r="3" customFormat="false" ht="42" hidden="false" customHeight="true" outlineLevel="0" collapsed="false">
      <c r="A3" s="5" t="s">
        <v>5123</v>
      </c>
      <c r="B3" s="6" t="s">
        <v>5124</v>
      </c>
    </row>
    <row r="4" customFormat="false" ht="27.75" hidden="false" customHeight="true" outlineLevel="0" collapsed="false">
      <c r="A4" s="5" t="s">
        <v>5125</v>
      </c>
      <c r="B4" s="6" t="s">
        <v>5126</v>
      </c>
    </row>
    <row r="5" customFormat="false" ht="27.75" hidden="false" customHeight="true" outlineLevel="0" collapsed="false">
      <c r="A5" s="5" t="s">
        <v>5127</v>
      </c>
      <c r="B5" s="6" t="s">
        <v>5128</v>
      </c>
    </row>
    <row r="6" customFormat="false" ht="27.75" hidden="false" customHeight="true" outlineLevel="0" collapsed="false">
      <c r="A6" s="5" t="s">
        <v>5129</v>
      </c>
      <c r="B6" s="6" t="s">
        <v>5130</v>
      </c>
    </row>
    <row r="7" customFormat="false" ht="42" hidden="false" customHeight="true" outlineLevel="0" collapsed="false">
      <c r="A7" s="10" t="s">
        <v>5131</v>
      </c>
      <c r="B7" s="11" t="s">
        <v>5132</v>
      </c>
    </row>
    <row r="8" customFormat="false" ht="27.75" hidden="false" customHeight="true" outlineLevel="0" collapsed="false">
      <c r="A8" s="10" t="s">
        <v>5133</v>
      </c>
      <c r="B8" s="11" t="s">
        <v>5134</v>
      </c>
    </row>
    <row r="9" customFormat="false" ht="27.75" hidden="false" customHeight="true" outlineLevel="0" collapsed="false">
      <c r="A9" s="10" t="s">
        <v>5135</v>
      </c>
      <c r="B9" s="11" t="s">
        <v>5136</v>
      </c>
    </row>
    <row r="10" customFormat="false" ht="27.75" hidden="false" customHeight="true" outlineLevel="0" collapsed="false">
      <c r="A10" s="10" t="s">
        <v>5137</v>
      </c>
      <c r="B10" s="11" t="s">
        <v>5138</v>
      </c>
    </row>
    <row r="11" customFormat="false" ht="27.75" hidden="false" customHeight="true" outlineLevel="0" collapsed="false">
      <c r="A11" s="10" t="s">
        <v>5139</v>
      </c>
      <c r="B11" s="11" t="s">
        <v>5140</v>
      </c>
    </row>
    <row r="12" customFormat="false" ht="15" hidden="false" customHeight="true" outlineLevel="0" collapsed="false">
      <c r="A12" s="5" t="s">
        <v>5141</v>
      </c>
      <c r="B12" s="6" t="s">
        <v>5142</v>
      </c>
    </row>
    <row r="14" customFormat="false" ht="15" hidden="false" customHeight="false" outlineLevel="0" collapsed="false">
      <c r="A14" s="3" t="s">
        <v>5143</v>
      </c>
      <c r="B14" s="4"/>
    </row>
    <row r="15" customFormat="false" ht="15" hidden="false" customHeight="true" outlineLevel="0" collapsed="false">
      <c r="A15" s="5" t="s">
        <v>5144</v>
      </c>
      <c r="B15" s="6" t="s">
        <v>351</v>
      </c>
    </row>
    <row r="16" customFormat="false" ht="15" hidden="false" customHeight="true" outlineLevel="0" collapsed="false">
      <c r="A16" s="5" t="s">
        <v>5145</v>
      </c>
      <c r="B16" s="6" t="s">
        <v>1280</v>
      </c>
    </row>
    <row r="17" customFormat="false" ht="15" hidden="false" customHeight="true" outlineLevel="0" collapsed="false">
      <c r="A17" s="5" t="s">
        <v>5146</v>
      </c>
      <c r="B17" s="6" t="s">
        <v>1640</v>
      </c>
    </row>
    <row r="18" customFormat="false" ht="15" hidden="false" customHeight="true" outlineLevel="0" collapsed="false">
      <c r="A18" s="5" t="s">
        <v>5147</v>
      </c>
      <c r="B18" s="6" t="s">
        <v>952</v>
      </c>
    </row>
    <row r="19" customFormat="false" ht="15" hidden="false" customHeight="true" outlineLevel="0" collapsed="false">
      <c r="A19" s="5" t="s">
        <v>5148</v>
      </c>
      <c r="B19" s="6" t="s">
        <v>923</v>
      </c>
    </row>
    <row r="20" customFormat="false" ht="15" hidden="false" customHeight="true" outlineLevel="0" collapsed="false">
      <c r="A20" s="5" t="s">
        <v>5149</v>
      </c>
      <c r="B20" s="6" t="s">
        <v>2555</v>
      </c>
    </row>
    <row r="21" customFormat="false" ht="15" hidden="false" customHeight="true" outlineLevel="0" collapsed="false">
      <c r="A21" s="5" t="s">
        <v>5150</v>
      </c>
      <c r="B21" s="6" t="s">
        <v>574</v>
      </c>
    </row>
    <row r="22" customFormat="false" ht="15" hidden="false" customHeight="true" outlineLevel="0" collapsed="false">
      <c r="A22" s="5" t="s">
        <v>5151</v>
      </c>
      <c r="B22" s="6" t="s">
        <v>1289</v>
      </c>
    </row>
    <row r="23" customFormat="false" ht="15" hidden="false" customHeight="true" outlineLevel="0" collapsed="false">
      <c r="A23" s="5" t="s">
        <v>5152</v>
      </c>
      <c r="B23" s="6" t="s">
        <v>747</v>
      </c>
    </row>
    <row r="24" customFormat="false" ht="15" hidden="false" customHeight="true" outlineLevel="0" collapsed="false">
      <c r="A24" s="5" t="s">
        <v>5153</v>
      </c>
      <c r="B24" s="6" t="s">
        <v>1203</v>
      </c>
    </row>
    <row r="25" customFormat="false" ht="15" hidden="false" customHeight="true" outlineLevel="0" collapsed="false">
      <c r="A25" s="5" t="s">
        <v>5154</v>
      </c>
      <c r="B25" s="6" t="s">
        <v>2772</v>
      </c>
    </row>
    <row r="26" customFormat="false" ht="15" hidden="false" customHeight="true" outlineLevel="0" collapsed="false">
      <c r="A26" s="5" t="s">
        <v>5155</v>
      </c>
      <c r="B26" s="6" t="s">
        <v>1593</v>
      </c>
    </row>
    <row r="27" customFormat="false" ht="15" hidden="false" customHeight="true" outlineLevel="0" collapsed="false">
      <c r="A27" s="5" t="s">
        <v>5156</v>
      </c>
      <c r="B27" s="6" t="s">
        <v>363</v>
      </c>
    </row>
    <row r="28" customFormat="false" ht="15" hidden="false" customHeight="true" outlineLevel="0" collapsed="false">
      <c r="A28" s="5" t="s">
        <v>5157</v>
      </c>
      <c r="B28" s="6" t="s">
        <v>431</v>
      </c>
    </row>
    <row r="29" customFormat="false" ht="15" hidden="false" customHeight="true" outlineLevel="0" collapsed="false">
      <c r="A29" s="5" t="s">
        <v>5158</v>
      </c>
      <c r="B29" s="6" t="s">
        <v>386</v>
      </c>
    </row>
    <row r="30" customFormat="false" ht="15" hidden="false" customHeight="true" outlineLevel="0" collapsed="false">
      <c r="A30" s="5" t="s">
        <v>5159</v>
      </c>
      <c r="B30" s="6" t="s">
        <v>735</v>
      </c>
    </row>
    <row r="31" customFormat="false" ht="15" hidden="false" customHeight="true" outlineLevel="0" collapsed="false">
      <c r="A31" s="5" t="s">
        <v>5160</v>
      </c>
      <c r="B31" s="6" t="s">
        <v>1184</v>
      </c>
    </row>
    <row r="32" customFormat="false" ht="15" hidden="false" customHeight="true" outlineLevel="0" collapsed="false">
      <c r="A32" s="5" t="s">
        <v>5161</v>
      </c>
      <c r="B32" s="6" t="s">
        <v>524</v>
      </c>
    </row>
    <row r="33" customFormat="false" ht="15" hidden="false" customHeight="true" outlineLevel="0" collapsed="false">
      <c r="A33" s="5" t="s">
        <v>5162</v>
      </c>
      <c r="B33" s="6" t="s">
        <v>294</v>
      </c>
    </row>
    <row r="34" customFormat="false" ht="15" hidden="false" customHeight="true" outlineLevel="0" collapsed="false">
      <c r="A34" s="5" t="s">
        <v>5163</v>
      </c>
      <c r="B34" s="6" t="s">
        <v>657</v>
      </c>
    </row>
    <row r="35" customFormat="false" ht="15" hidden="false" customHeight="true" outlineLevel="0" collapsed="false">
      <c r="A35" s="5" t="s">
        <v>5164</v>
      </c>
      <c r="B35" s="6" t="s">
        <v>1310</v>
      </c>
    </row>
    <row r="36" customFormat="false" ht="15" hidden="false" customHeight="true" outlineLevel="0" collapsed="false">
      <c r="A36" s="5" t="s">
        <v>5165</v>
      </c>
      <c r="B36" s="6" t="s">
        <v>495</v>
      </c>
    </row>
    <row r="37" customFormat="false" ht="15" hidden="false" customHeight="true" outlineLevel="0" collapsed="false">
      <c r="A37" s="5" t="s">
        <v>5166</v>
      </c>
      <c r="B37" s="6" t="s">
        <v>1120</v>
      </c>
    </row>
    <row r="38" customFormat="false" ht="15" hidden="false" customHeight="true" outlineLevel="0" collapsed="false">
      <c r="A38" s="5" t="s">
        <v>5167</v>
      </c>
      <c r="B38" s="6" t="s">
        <v>307</v>
      </c>
    </row>
    <row r="39" customFormat="false" ht="15" hidden="false" customHeight="true" outlineLevel="0" collapsed="false">
      <c r="A39" s="5" t="s">
        <v>5168</v>
      </c>
      <c r="B39" s="6" t="s">
        <v>2399</v>
      </c>
    </row>
    <row r="40" customFormat="false" ht="15" hidden="false" customHeight="true" outlineLevel="0" collapsed="false">
      <c r="A40" s="5" t="s">
        <v>5169</v>
      </c>
      <c r="B40" s="6" t="s">
        <v>373</v>
      </c>
    </row>
    <row r="41" customFormat="false" ht="15" hidden="false" customHeight="true" outlineLevel="0" collapsed="false">
      <c r="A41" s="5" t="s">
        <v>5170</v>
      </c>
      <c r="B41" s="6" t="s">
        <v>538</v>
      </c>
    </row>
    <row r="42" customFormat="false" ht="15" hidden="false" customHeight="true" outlineLevel="0" collapsed="false">
      <c r="A42" s="5" t="s">
        <v>5171</v>
      </c>
      <c r="B42" s="6" t="s">
        <v>2015</v>
      </c>
    </row>
    <row r="43" customFormat="false" ht="15" hidden="false" customHeight="true" outlineLevel="0" collapsed="false">
      <c r="A43" s="5" t="s">
        <v>5172</v>
      </c>
      <c r="B43" s="6" t="s">
        <v>1070</v>
      </c>
    </row>
    <row r="44" customFormat="false" ht="15" hidden="false" customHeight="true" outlineLevel="0" collapsed="false">
      <c r="A44" s="5" t="s">
        <v>5173</v>
      </c>
      <c r="B44" s="6" t="s">
        <v>718</v>
      </c>
    </row>
    <row r="45" customFormat="false" ht="15" hidden="false" customHeight="true" outlineLevel="0" collapsed="false">
      <c r="A45" s="5" t="s">
        <v>5174</v>
      </c>
      <c r="B45" s="6" t="s">
        <v>1672</v>
      </c>
    </row>
    <row r="46" customFormat="false" ht="15" hidden="false" customHeight="true" outlineLevel="0" collapsed="false">
      <c r="A46" s="5" t="s">
        <v>5175</v>
      </c>
      <c r="B46" s="6" t="s">
        <v>263</v>
      </c>
    </row>
    <row r="47" customFormat="false" ht="15" hidden="false" customHeight="true" outlineLevel="0" collapsed="false">
      <c r="A47" s="5" t="s">
        <v>5176</v>
      </c>
      <c r="B47" s="6" t="s">
        <v>677</v>
      </c>
    </row>
    <row r="48" customFormat="false" ht="15" hidden="false" customHeight="true" outlineLevel="0" collapsed="false">
      <c r="A48" s="5" t="s">
        <v>5177</v>
      </c>
      <c r="B48" s="6" t="s">
        <v>409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2026-10-17T15:37:25Z</dcterms:created>
  <dc:creator>openpyxl</dc:creator>
  <dc:description/>
  <dc:language>en-US</dc:language>
  <cp:lastModifiedBy/>
  <dcterms:modified xsi:type="dcterms:W3CDTF">2026-10-17T15:37:27Z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